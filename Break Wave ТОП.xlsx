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🏠 Обложка" sheetId="1" state="visible" r:id="rId1"/>
    <sheet xmlns:r="http://schemas.openxmlformats.org/officeDocument/2006/relationships" name="👥 Участники" sheetId="2" state="visible" r:id="rId2"/>
    <sheet xmlns:r="http://schemas.openxmlformats.org/officeDocument/2006/relationships" name="❄️ Winter" sheetId="3" state="visible" r:id="rId3"/>
    <sheet xmlns:r="http://schemas.openxmlformats.org/officeDocument/2006/relationships" name="🌸 Spring" sheetId="4" state="visible" r:id="rId4"/>
    <sheet xmlns:r="http://schemas.openxmlformats.org/officeDocument/2006/relationships" name="☀️ Summer" sheetId="5" state="visible" r:id="rId5"/>
    <sheet xmlns:r="http://schemas.openxmlformats.org/officeDocument/2006/relationships" name="🍂 Autumn" sheetId="6" state="visible" r:id="rId6"/>
    <sheet xmlns:r="http://schemas.openxmlformats.org/officeDocument/2006/relationships" name="🔥 Final" sheetId="7" state="visible" r:id="rId7"/>
    <sheet xmlns:r="http://schemas.openxmlformats.org/officeDocument/2006/relationships" name="🏆 Дашборд" sheetId="8" state="visible" r:id="rId8"/>
    <sheet xmlns:r="http://schemas.openxmlformats.org/officeDocument/2006/relationships" name="📈 Статистика" sheetId="9" state="visible" r:id="rId9"/>
    <sheet xmlns:r="http://schemas.openxmlformats.org/officeDocument/2006/relationships" name="📊 Общий рейтинг" sheetId="10" state="visible" r:id="rId10"/>
  </sheets>
  <definedNames>
    <definedName name="_xlnm._FilterDatabase" localSheetId="2" hidden="1">'❄️ Winter'!$B$3:$I$103</definedName>
    <definedName name="_xlnm._FilterDatabase" localSheetId="3" hidden="1">'🌸 Spring'!$B$3:$I$103</definedName>
    <definedName name="_xlnm._FilterDatabase" localSheetId="4" hidden="1">'☀️ Summer'!$B$3:$I$103</definedName>
    <definedName name="_xlnm._FilterDatabase" localSheetId="5" hidden="1">'🍂 Autumn'!$B$3:$I$103</definedName>
    <definedName name="_xlnm._FilterDatabase" localSheetId="6" hidden="1">'🔥 Final'!$B$3:$I$103</definedName>
    <definedName name="_xlnm._FilterDatabase" localSheetId="9" hidden="1">'📊 Общий рейтинг'!$B$3:$L$103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3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rgb="FFFFFFFF"/>
      <sz val="22"/>
    </font>
    <font/>
    <font>
      <name val="Arial"/>
      <color rgb="FFFFFFFF"/>
      <sz val="12"/>
    </font>
    <font>
      <name val="Arial"/>
      <b val="1"/>
      <color rgb="FFFFFFFF"/>
      <sz val="13"/>
    </font>
    <font>
      <name val="Arial"/>
      <color rgb="FF1F2937"/>
      <sz val="11"/>
    </font>
    <font>
      <name val="Arial"/>
      <b val="1"/>
      <color rgb="FF1F2937"/>
      <sz val="10"/>
    </font>
    <font>
      <name val="Arial"/>
      <color rgb="FF4B5563"/>
      <sz val="10"/>
    </font>
    <font>
      <name val="Arial"/>
      <b val="1"/>
      <color rgb="FFFFFFFF"/>
      <sz val="16"/>
    </font>
    <font>
      <name val="Arial"/>
      <b val="1"/>
      <color rgb="FFFFFFFF"/>
      <sz val="10"/>
    </font>
    <font>
      <name val="Arial"/>
      <color rgb="FF9CA3AF"/>
      <sz val="10"/>
    </font>
    <font>
      <name val="Arial"/>
      <color rgb="FF1F2937"/>
      <sz val="10"/>
    </font>
    <font>
      <name val="Arial"/>
      <b val="1"/>
      <color rgb="FFFFFFFF"/>
      <sz val="9"/>
    </font>
    <font>
      <name val="Arial"/>
      <color rgb="FF9CA3AF"/>
      <sz val="9"/>
    </font>
    <font>
      <name val="Arial"/>
      <color rgb="FF1F2937"/>
      <sz val="9"/>
    </font>
    <font>
      <name val="Arial"/>
      <b val="1"/>
      <color rgb="FFFFFFFF"/>
      <sz val="18"/>
    </font>
    <font>
      <name val="Arial"/>
      <i val="1"/>
      <color rgb="FF9CA3AF"/>
      <sz val="10"/>
    </font>
    <font>
      <name val="Arial"/>
      <b val="1"/>
      <color rgb="FFF57F17"/>
      <sz val="11"/>
    </font>
    <font>
      <name val="Arial"/>
      <b val="1"/>
      <color rgb="FF01579B"/>
      <sz val="11"/>
    </font>
    <font>
      <name val="Arial"/>
      <b val="1"/>
      <color rgb="FF1B5E20"/>
      <sz val="11"/>
    </font>
    <font>
      <name val="Arial"/>
      <b val="1"/>
      <color rgb="FF6B7280"/>
      <sz val="8"/>
    </font>
    <font>
      <name val="Arial"/>
      <b val="1"/>
      <color rgb="FF92400E"/>
      <sz val="10"/>
    </font>
    <font>
      <name val="Arial"/>
      <b val="1"/>
      <color rgb="FF92400E"/>
      <sz val="11"/>
    </font>
    <font>
      <name val="Arial"/>
      <i val="1"/>
      <color rgb="FF6B7280"/>
      <sz val="8"/>
    </font>
    <font>
      <name val="Arial"/>
      <color rgb="FF374151"/>
      <sz val="10"/>
    </font>
    <font>
      <name val="Arial"/>
      <b val="1"/>
      <color rgb="FF374151"/>
      <sz val="11"/>
    </font>
    <font>
      <name val="Arial"/>
      <color rgb="FF7C2D12"/>
      <sz val="10"/>
    </font>
    <font>
      <name val="Arial"/>
      <b val="1"/>
      <color rgb="FF7C2D12"/>
      <sz val="11"/>
    </font>
    <font>
      <name val="Arial"/>
      <b val="1"/>
      <color rgb="FF0D47A1"/>
      <sz val="11"/>
    </font>
    <font>
      <name val="Arial"/>
      <b val="1"/>
      <color rgb="FFB71C1C"/>
      <sz val="11"/>
    </font>
    <font>
      <name val="Arial"/>
      <b val="1"/>
      <color rgb="FF4A148C"/>
      <sz val="11"/>
    </font>
    <font>
      <name val="Arial"/>
      <b val="1"/>
      <color rgb="FF880E4F"/>
      <sz val="11"/>
    </font>
    <font>
      <name val="Arial"/>
      <i val="1"/>
      <color rgb="FF9CA3AF"/>
      <sz val="8"/>
    </font>
    <font>
      <name val="Arial"/>
      <i val="1"/>
      <color rgb="FF6B7280"/>
      <sz val="9"/>
    </font>
    <font>
      <name val="Arial"/>
      <b val="1"/>
      <color rgb="FFFFFFFF"/>
      <sz val="11"/>
    </font>
    <font>
      <name val="Arial"/>
      <b val="1"/>
      <color rgb="FF1E40AF"/>
      <sz val="18"/>
    </font>
    <font>
      <name val="Arial"/>
      <b val="1"/>
      <color rgb="FF065F46"/>
      <sz val="18"/>
    </font>
    <font>
      <name val="Arial"/>
      <b val="1"/>
      <color rgb="FF92400E"/>
      <sz val="18"/>
    </font>
    <font>
      <name val="Arial"/>
      <b val="1"/>
      <color rgb="FF831843"/>
      <sz val="18"/>
    </font>
    <font>
      <name val="Arial"/>
      <b val="1"/>
      <color rgb="FF4C1D95"/>
      <sz val="18"/>
    </font>
    <font>
      <name val="Arial"/>
      <b val="1"/>
      <color rgb="FF991B1B"/>
      <sz val="18"/>
    </font>
    <font>
      <name val="Arial"/>
      <color rgb="FF6B7280"/>
      <sz val="8"/>
    </font>
    <font>
      <name val="Arial"/>
      <b val="1"/>
      <color rgb="FFF57F17"/>
      <sz val="10"/>
    </font>
    <font>
      <name val="Arial"/>
      <color rgb="FFF57F17"/>
      <sz val="10"/>
    </font>
    <font>
      <name val="Arial"/>
      <b val="1"/>
      <color rgb="FF01579B"/>
      <sz val="10"/>
    </font>
    <font>
      <name val="Arial"/>
      <color rgb="FF01579B"/>
      <sz val="10"/>
    </font>
    <font>
      <name val="Arial"/>
      <b val="1"/>
      <color rgb="FF1B5E20"/>
      <sz val="10"/>
    </font>
    <font>
      <name val="Arial"/>
      <color rgb="FF1B5E20"/>
      <sz val="10"/>
    </font>
    <font>
      <name val="Arial"/>
      <b val="1"/>
      <color rgb="FF0D47A1"/>
      <sz val="10"/>
    </font>
    <font>
      <name val="Arial"/>
      <color rgb="FF0D47A1"/>
      <sz val="10"/>
    </font>
    <font>
      <name val="Arial"/>
      <b val="1"/>
      <color rgb="FFB71C1C"/>
      <sz val="10"/>
    </font>
    <font>
      <name val="Arial"/>
      <color rgb="FFB71C1C"/>
      <sz val="10"/>
    </font>
    <font>
      <name val="Arial"/>
      <b val="1"/>
      <color rgb="FF4A148C"/>
      <sz val="10"/>
    </font>
    <font>
      <name val="Arial"/>
      <color rgb="FF4A148C"/>
      <sz val="10"/>
    </font>
    <font>
      <name val="Arial"/>
      <b val="1"/>
      <color rgb="FF880E4F"/>
      <sz val="10"/>
    </font>
    <font>
      <name val="Arial"/>
      <color rgb="FF880E4F"/>
      <sz val="10"/>
    </font>
    <font>
      <name val="Calibri"/>
      <color rgb="FFFFFFFF"/>
      <sz val="11"/>
    </font>
    <font>
      <name val="Calibri"/>
      <color rgb="FFFFFFFF"/>
      <scheme val="minor"/>
    </font>
    <font>
      <name val="Arial"/>
      <color rgb="FF92400E"/>
      <sz val="10"/>
    </font>
    <font>
      <name val="Arial"/>
      <b val="1"/>
      <color rgb="FF374151"/>
      <sz val="10"/>
    </font>
    <font>
      <name val="Arial"/>
      <b val="1"/>
      <color rgb="FF7C2D12"/>
      <sz val="10"/>
    </font>
    <font>
      <name val="Calibri"/>
      <color theme="1"/>
      <scheme val="minor"/>
    </font>
  </fonts>
  <fills count="37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374151"/>
        <bgColor rgb="FF374151"/>
      </patternFill>
    </fill>
    <fill>
      <patternFill patternType="solid">
        <fgColor rgb="FFEFF6FF"/>
        <bgColor rgb="FFEFF6FF"/>
      </patternFill>
    </fill>
    <fill>
      <patternFill patternType="solid">
        <fgColor rgb="FFFEF2F2"/>
        <bgColor rgb="FFFEF2F2"/>
      </patternFill>
    </fill>
    <fill>
      <patternFill patternType="solid">
        <fgColor rgb="FFF0FDF4"/>
        <bgColor rgb="FFF0FDF4"/>
      </patternFill>
    </fill>
    <fill>
      <patternFill patternType="solid">
        <fgColor rgb="FFDBEAFE"/>
        <bgColor rgb="FFDBEAFE"/>
      </patternFill>
    </fill>
    <fill>
      <patternFill patternType="solid">
        <fgColor rgb="FFF9FAFB"/>
        <bgColor rgb="FFF9FAFB"/>
      </patternFill>
    </fill>
    <fill>
      <patternFill patternType="solid">
        <fgColor rgb="FFBFD7ED"/>
        <bgColor rgb="FFBFD7ED"/>
      </patternFill>
    </fill>
    <fill>
      <patternFill patternType="solid">
        <fgColor rgb="FFFCE4EC"/>
        <bgColor rgb="FFFCE4EC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  <fill>
      <patternFill patternType="solid">
        <fgColor rgb="FFFFCDD2"/>
        <bgColor rgb="FFFFCDD2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1E3A5F"/>
        <bgColor rgb="FF1E3A5F"/>
      </patternFill>
    </fill>
    <fill>
      <patternFill patternType="solid">
        <fgColor rgb="FFECFDF5"/>
        <bgColor rgb="FFECFDF5"/>
      </patternFill>
    </fill>
    <fill>
      <patternFill patternType="solid">
        <fgColor rgb="FF7F1D1D"/>
        <bgColor rgb="FF7F1D1D"/>
      </patternFill>
    </fill>
    <fill>
      <patternFill patternType="solid">
        <fgColor rgb="FFFFF1F0"/>
        <bgColor rgb="FFFFF1F0"/>
      </patternFill>
    </fill>
    <fill>
      <patternFill patternType="solid">
        <fgColor rgb="FFFFF7ED"/>
        <bgColor rgb="FFFFF7ED"/>
      </patternFill>
    </fill>
    <fill>
      <patternFill patternType="solid">
        <fgColor rgb="FFB3E5FC"/>
        <bgColor rgb="FFB3E5FC"/>
      </patternFill>
    </fill>
    <fill>
      <patternFill patternType="solid">
        <fgColor rgb="FFC8E6C9"/>
        <bgColor rgb="FFC8E6C9"/>
      </patternFill>
    </fill>
    <fill>
      <patternFill patternType="solid">
        <fgColor rgb="FFF3F4F6"/>
        <bgColor rgb="FFF3F4F6"/>
      </patternFill>
    </fill>
    <fill>
      <patternFill patternType="solid">
        <fgColor rgb="FFFFD700"/>
        <bgColor rgb="FFFFD700"/>
      </patternFill>
    </fill>
    <fill>
      <patternFill patternType="solid">
        <fgColor rgb="FFFFFBEB"/>
        <bgColor rgb="FFFFFBEB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BBDEFB"/>
        <bgColor rgb="FFBBDEFB"/>
      </patternFill>
    </fill>
    <fill>
      <patternFill patternType="solid">
        <fgColor rgb="FFE1BEE7"/>
        <bgColor rgb="FFE1BEE7"/>
      </patternFill>
    </fill>
    <fill>
      <patternFill patternType="solid">
        <fgColor rgb="FFFCE7F3"/>
        <bgColor rgb="FFFCE7F3"/>
      </patternFill>
    </fill>
    <fill>
      <patternFill patternType="solid">
        <fgColor rgb="FFEDE9FE"/>
        <bgColor rgb="FFEDE9FE"/>
      </patternFill>
    </fill>
    <fill>
      <patternFill patternType="solid">
        <fgColor rgb="FFFEE2E2"/>
        <bgColor rgb="FFFEE2E2"/>
      </patternFill>
    </fill>
    <fill>
      <patternFill patternType="solid">
        <fgColor rgb="FFFEF9C3"/>
        <bgColor rgb="FFFEF9C3"/>
      </patternFill>
    </fill>
    <fill>
      <patternFill patternType="solid">
        <fgColor rgb="FFFEF08A"/>
        <bgColor rgb="FFFEF08A"/>
      </patternFill>
    </fill>
    <fill>
      <patternFill patternType="solid">
        <fgColor rgb="FFDDD6FE"/>
        <bgColor rgb="FFDDD6FE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bottom style="thin">
        <color rgb="FFD1D5DB"/>
      </bottom>
    </border>
    <border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/>
      <right/>
      <top/>
      <bottom/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right style="thin">
        <color rgb="FFD1D5DB"/>
      </right>
    </border>
  </borders>
  <cellStyleXfs count="1">
    <xf numFmtId="0" fontId="0" fillId="0" borderId="0"/>
  </cellStyleXfs>
  <cellXfs count="17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4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3" fillId="0" borderId="5" pivotButton="0" quotePrefix="0" xfId="0"/>
    <xf numFmtId="0" fontId="8" fillId="8" borderId="4" applyAlignment="1" pivotButton="0" quotePrefix="0" xfId="0">
      <alignment horizontal="left" vertical="center"/>
    </xf>
    <xf numFmtId="0" fontId="3" fillId="0" borderId="6" pivotButton="0" quotePrefix="0" xfId="0"/>
    <xf numFmtId="0" fontId="7" fillId="9" borderId="4" applyAlignment="1" pivotButton="0" quotePrefix="0" xfId="0">
      <alignment horizontal="center" vertical="center"/>
    </xf>
    <xf numFmtId="0" fontId="7" fillId="10" borderId="4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7" fillId="12" borderId="4" applyAlignment="1" pivotButton="0" quotePrefix="0" xfId="0">
      <alignment horizontal="center" vertical="center"/>
    </xf>
    <xf numFmtId="0" fontId="7" fillId="13" borderId="4" applyAlignment="1" pivotButton="0" quotePrefix="0" xfId="0">
      <alignment horizontal="center" vertical="center"/>
    </xf>
    <xf numFmtId="0" fontId="7" fillId="14" borderId="4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 wrapText="1"/>
    </xf>
    <xf numFmtId="0" fontId="11" fillId="16" borderId="8" applyAlignment="1" pivotButton="0" quotePrefix="0" xfId="0">
      <alignment horizontal="center" vertical="center"/>
    </xf>
    <xf numFmtId="0" fontId="12" fillId="4" borderId="8" applyAlignment="1" pivotButton="0" quotePrefix="0" xfId="0">
      <alignment horizontal="left" vertical="center"/>
    </xf>
    <xf numFmtId="0" fontId="12" fillId="4" borderId="8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2" fillId="4" borderId="8" applyAlignment="1" pivotButton="0" quotePrefix="0" xfId="0">
      <alignment horizontal="center" vertical="center"/>
    </xf>
    <xf numFmtId="0" fontId="12" fillId="4" borderId="8" applyAlignment="1" pivotButton="0" quotePrefix="0" xfId="0">
      <alignment horizontal="left" vertical="center"/>
    </xf>
    <xf numFmtId="0" fontId="13" fillId="2" borderId="7" applyAlignment="1" pivotButton="0" quotePrefix="0" xfId="0">
      <alignment horizontal="center" vertical="center" wrapText="1"/>
    </xf>
    <xf numFmtId="0" fontId="13" fillId="17" borderId="7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4" fillId="16" borderId="8" applyAlignment="1" pivotButton="0" quotePrefix="0" xfId="0">
      <alignment horizontal="center" vertical="center"/>
    </xf>
    <xf numFmtId="0" fontId="12" fillId="16" borderId="8" applyAlignment="1" pivotButton="0" quotePrefix="0" xfId="0">
      <alignment horizontal="left" vertical="center"/>
    </xf>
    <xf numFmtId="0" fontId="15" fillId="16" borderId="8" applyAlignment="1" pivotButton="0" quotePrefix="0" xfId="0">
      <alignment horizontal="center" vertical="center"/>
    </xf>
    <xf numFmtId="0" fontId="1" fillId="4" borderId="8" applyAlignment="1" pivotButton="0" quotePrefix="0" xfId="0">
      <alignment horizontal="center" vertical="center"/>
    </xf>
    <xf numFmtId="0" fontId="7" fillId="18" borderId="8" applyAlignment="1" pivotButton="0" quotePrefix="0" xfId="0">
      <alignment horizontal="center" vertical="center"/>
    </xf>
    <xf numFmtId="0" fontId="14" fillId="8" borderId="8" applyAlignment="1" pivotButton="0" quotePrefix="0" xfId="0">
      <alignment horizontal="center" vertical="center"/>
    </xf>
    <xf numFmtId="0" fontId="12" fillId="8" borderId="8" applyAlignment="1" pivotButton="0" quotePrefix="0" xfId="0">
      <alignment horizontal="left" vertical="center"/>
    </xf>
    <xf numFmtId="0" fontId="15" fillId="8" borderId="8" applyAlignment="1" pivotButton="0" quotePrefix="0" xfId="0">
      <alignment horizontal="center" vertical="center"/>
    </xf>
    <xf numFmtId="0" fontId="1" fillId="4" borderId="8" applyAlignment="1" pivotButton="0" quotePrefix="0" xfId="0">
      <alignment horizontal="center" vertical="center"/>
    </xf>
    <xf numFmtId="0" fontId="13" fillId="19" borderId="7" applyAlignment="1" pivotButton="0" quotePrefix="0" xfId="0">
      <alignment horizontal="center" vertical="center" wrapText="1"/>
    </xf>
    <xf numFmtId="0" fontId="1" fillId="20" borderId="8" applyAlignment="1" pivotButton="0" quotePrefix="0" xfId="0">
      <alignment horizontal="center" vertical="center"/>
    </xf>
    <xf numFmtId="0" fontId="7" fillId="21" borderId="8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11" borderId="4" applyAlignment="1" pivotButton="0" quotePrefix="0" xfId="0">
      <alignment horizontal="center" vertical="center"/>
    </xf>
    <xf numFmtId="0" fontId="19" fillId="22" borderId="4" applyAlignment="1" pivotButton="0" quotePrefix="0" xfId="0">
      <alignment horizontal="center" vertical="center"/>
    </xf>
    <xf numFmtId="0" fontId="20" fillId="23" borderId="4" applyAlignment="1" pivotButton="0" quotePrefix="0" xfId="0">
      <alignment horizontal="center" vertical="center"/>
    </xf>
    <xf numFmtId="0" fontId="21" fillId="24" borderId="4" applyAlignment="1" pivotButton="0" quotePrefix="0" xfId="0">
      <alignment horizontal="center" vertical="center"/>
    </xf>
    <xf numFmtId="0" fontId="21" fillId="24" borderId="8" applyAlignment="1" pivotButton="0" quotePrefix="0" xfId="0">
      <alignment horizontal="center" vertical="center"/>
    </xf>
    <xf numFmtId="0" fontId="22" fillId="25" borderId="4" applyAlignment="1" pivotButton="0" quotePrefix="0" xfId="0">
      <alignment horizontal="center" vertical="center" wrapText="1"/>
    </xf>
    <xf numFmtId="0" fontId="23" fillId="25" borderId="8" applyAlignment="1" pivotButton="0" quotePrefix="0" xfId="0">
      <alignment horizontal="center" vertical="center"/>
    </xf>
    <xf numFmtId="0" fontId="24" fillId="26" borderId="4" applyAlignment="1" pivotButton="0" quotePrefix="0" xfId="0">
      <alignment horizontal="center" vertical="center"/>
    </xf>
    <xf numFmtId="0" fontId="25" fillId="27" borderId="4" applyAlignment="1" pivotButton="0" quotePrefix="0" xfId="0">
      <alignment horizontal="center" vertical="center" wrapText="1"/>
    </xf>
    <xf numFmtId="0" fontId="26" fillId="27" borderId="8" applyAlignment="1" pivotButton="0" quotePrefix="0" xfId="0">
      <alignment horizontal="center" vertical="center"/>
    </xf>
    <xf numFmtId="0" fontId="27" fillId="28" borderId="4" applyAlignment="1" pivotButton="0" quotePrefix="0" xfId="0">
      <alignment horizontal="center" vertical="center" wrapText="1"/>
    </xf>
    <xf numFmtId="0" fontId="28" fillId="28" borderId="8" applyAlignment="1" pivotButton="0" quotePrefix="0" xfId="0">
      <alignment horizontal="center" vertical="center"/>
    </xf>
    <xf numFmtId="0" fontId="29" fillId="29" borderId="4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31" fillId="30" borderId="4" applyAlignment="1" pivotButton="0" quotePrefix="0" xfId="0">
      <alignment horizontal="center" vertical="center"/>
    </xf>
    <xf numFmtId="0" fontId="32" fillId="16" borderId="0" applyAlignment="1" pivotButton="0" quotePrefix="0" xfId="0">
      <alignment horizontal="center" vertical="center"/>
    </xf>
    <xf numFmtId="0" fontId="32" fillId="13" borderId="0" applyAlignment="1" pivotButton="0" quotePrefix="0" xfId="0">
      <alignment horizontal="center" vertical="center"/>
    </xf>
    <xf numFmtId="0" fontId="21" fillId="24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21" fillId="24" borderId="12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/>
    </xf>
    <xf numFmtId="0" fontId="35" fillId="3" borderId="0" applyAlignment="1" pivotButton="0" quotePrefix="0" xfId="0">
      <alignment horizontal="center" vertical="center"/>
    </xf>
    <xf numFmtId="0" fontId="36" fillId="7" borderId="8" applyAlignment="1" pivotButton="0" quotePrefix="0" xfId="0">
      <alignment horizontal="center" vertical="center"/>
    </xf>
    <xf numFmtId="0" fontId="37" fillId="14" borderId="8" applyAlignment="1" pivotButton="0" quotePrefix="0" xfId="0">
      <alignment horizontal="center" vertical="center"/>
    </xf>
    <xf numFmtId="0" fontId="38" fillId="15" borderId="8" applyAlignment="1" pivotButton="0" quotePrefix="0" xfId="0">
      <alignment horizontal="center" vertical="center"/>
    </xf>
    <xf numFmtId="0" fontId="39" fillId="31" borderId="8" applyAlignment="1" pivotButton="0" quotePrefix="0" xfId="0">
      <alignment horizontal="center" vertical="center"/>
    </xf>
    <xf numFmtId="0" fontId="40" fillId="32" borderId="8" applyAlignment="1" pivotButton="0" quotePrefix="0" xfId="0">
      <alignment horizontal="center" vertical="center"/>
    </xf>
    <xf numFmtId="0" fontId="41" fillId="33" borderId="8" applyAlignment="1" pivotButton="0" quotePrefix="0" xfId="0">
      <alignment horizontal="center" vertical="center"/>
    </xf>
    <xf numFmtId="0" fontId="42" fillId="7" borderId="8" applyAlignment="1" pivotButton="0" quotePrefix="0" xfId="0">
      <alignment horizontal="center" vertical="center" wrapText="1"/>
    </xf>
    <xf numFmtId="0" fontId="42" fillId="14" borderId="8" applyAlignment="1" pivotButton="0" quotePrefix="0" xfId="0">
      <alignment horizontal="center" vertical="center" wrapText="1"/>
    </xf>
    <xf numFmtId="0" fontId="42" fillId="15" borderId="8" applyAlignment="1" pivotButton="0" quotePrefix="0" xfId="0">
      <alignment horizontal="center" vertical="center" wrapText="1"/>
    </xf>
    <xf numFmtId="0" fontId="42" fillId="31" borderId="8" applyAlignment="1" pivotButton="0" quotePrefix="0" xfId="0">
      <alignment horizontal="center" vertical="center" wrapText="1"/>
    </xf>
    <xf numFmtId="0" fontId="42" fillId="32" borderId="8" applyAlignment="1" pivotButton="0" quotePrefix="0" xfId="0">
      <alignment horizontal="center" vertical="center" wrapText="1"/>
    </xf>
    <xf numFmtId="0" fontId="42" fillId="33" borderId="8" applyAlignment="1" pivotButton="0" quotePrefix="0" xfId="0">
      <alignment horizontal="center" vertical="center" wrapText="1"/>
    </xf>
    <xf numFmtId="0" fontId="43" fillId="11" borderId="8" applyAlignment="1" pivotButton="0" quotePrefix="0" xfId="0">
      <alignment horizontal="left" vertical="center"/>
    </xf>
    <xf numFmtId="0" fontId="44" fillId="11" borderId="8" applyAlignment="1" pivotButton="0" quotePrefix="0" xfId="0">
      <alignment horizontal="center" vertical="center"/>
    </xf>
    <xf numFmtId="9" fontId="44" fillId="11" borderId="8" applyAlignment="1" pivotButton="0" quotePrefix="0" xfId="0">
      <alignment horizontal="center" vertical="center"/>
    </xf>
    <xf numFmtId="0" fontId="45" fillId="22" borderId="8" applyAlignment="1" pivotButton="0" quotePrefix="0" xfId="0">
      <alignment horizontal="left" vertical="center"/>
    </xf>
    <xf numFmtId="0" fontId="46" fillId="22" borderId="8" applyAlignment="1" pivotButton="0" quotePrefix="0" xfId="0">
      <alignment horizontal="center" vertical="center"/>
    </xf>
    <xf numFmtId="9" fontId="46" fillId="22" borderId="8" applyAlignment="1" pivotButton="0" quotePrefix="0" xfId="0">
      <alignment horizontal="center" vertical="center"/>
    </xf>
    <xf numFmtId="0" fontId="47" fillId="23" borderId="8" applyAlignment="1" pivotButton="0" quotePrefix="0" xfId="0">
      <alignment horizontal="left" vertical="center"/>
    </xf>
    <xf numFmtId="0" fontId="48" fillId="23" borderId="8" applyAlignment="1" pivotButton="0" quotePrefix="0" xfId="0">
      <alignment horizontal="center" vertical="center"/>
    </xf>
    <xf numFmtId="9" fontId="48" fillId="23" borderId="8" applyAlignment="1" pivotButton="0" quotePrefix="0" xfId="0">
      <alignment horizontal="center" vertical="center"/>
    </xf>
    <xf numFmtId="0" fontId="49" fillId="29" borderId="8" applyAlignment="1" pivotButton="0" quotePrefix="0" xfId="0">
      <alignment horizontal="left" vertical="center"/>
    </xf>
    <xf numFmtId="0" fontId="50" fillId="29" borderId="8" applyAlignment="1" pivotButton="0" quotePrefix="0" xfId="0">
      <alignment horizontal="center" vertical="center"/>
    </xf>
    <xf numFmtId="9" fontId="50" fillId="29" borderId="8" applyAlignment="1" pivotButton="0" quotePrefix="0" xfId="0">
      <alignment horizontal="center" vertical="center"/>
    </xf>
    <xf numFmtId="0" fontId="51" fillId="13" borderId="8" applyAlignment="1" pivotButton="0" quotePrefix="0" xfId="0">
      <alignment horizontal="left" vertical="center"/>
    </xf>
    <xf numFmtId="0" fontId="52" fillId="13" borderId="8" applyAlignment="1" pivotButton="0" quotePrefix="0" xfId="0">
      <alignment horizontal="center" vertical="center"/>
    </xf>
    <xf numFmtId="9" fontId="52" fillId="13" borderId="8" applyAlignment="1" pivotButton="0" quotePrefix="0" xfId="0">
      <alignment horizontal="center" vertical="center"/>
    </xf>
    <xf numFmtId="0" fontId="53" fillId="30" borderId="8" applyAlignment="1" pivotButton="0" quotePrefix="0" xfId="0">
      <alignment horizontal="left" vertical="center"/>
    </xf>
    <xf numFmtId="0" fontId="54" fillId="30" borderId="8" applyAlignment="1" pivotButton="0" quotePrefix="0" xfId="0">
      <alignment horizontal="center" vertical="center"/>
    </xf>
    <xf numFmtId="9" fontId="54" fillId="30" borderId="8" applyAlignment="1" pivotButton="0" quotePrefix="0" xfId="0">
      <alignment horizontal="center" vertical="center"/>
    </xf>
    <xf numFmtId="0" fontId="55" fillId="10" borderId="8" applyAlignment="1" pivotButton="0" quotePrefix="0" xfId="0">
      <alignment horizontal="left" vertical="center"/>
    </xf>
    <xf numFmtId="0" fontId="56" fillId="10" borderId="8" applyAlignment="1" pivotButton="0" quotePrefix="0" xfId="0">
      <alignment horizontal="center" vertical="center"/>
    </xf>
    <xf numFmtId="9" fontId="56" fillId="10" borderId="8" applyAlignment="1" pivotButton="0" quotePrefix="0" xfId="0">
      <alignment horizontal="center" vertical="center"/>
    </xf>
    <xf numFmtId="0" fontId="57" fillId="16" borderId="0" pivotButton="0" quotePrefix="0" xfId="0"/>
    <xf numFmtId="0" fontId="35" fillId="16" borderId="0" applyAlignment="1" pivotButton="0" quotePrefix="0" xfId="0">
      <alignment horizontal="center" vertical="center"/>
    </xf>
    <xf numFmtId="0" fontId="58" fillId="16" borderId="0" pivotButton="0" quotePrefix="0" xfId="0"/>
    <xf numFmtId="0" fontId="12" fillId="9" borderId="8" applyAlignment="1" pivotButton="0" quotePrefix="0" xfId="0">
      <alignment horizontal="left" vertical="center"/>
    </xf>
    <xf numFmtId="0" fontId="12" fillId="9" borderId="8" applyAlignment="1" pivotButton="0" quotePrefix="0" xfId="0">
      <alignment horizontal="center" vertical="center"/>
    </xf>
    <xf numFmtId="9" fontId="12" fillId="9" borderId="8" applyAlignment="1" pivotButton="0" quotePrefix="0" xfId="0">
      <alignment horizontal="center" vertical="center"/>
    </xf>
    <xf numFmtId="0" fontId="12" fillId="10" borderId="8" applyAlignment="1" pivotButton="0" quotePrefix="0" xfId="0">
      <alignment horizontal="left" vertical="center"/>
    </xf>
    <xf numFmtId="0" fontId="12" fillId="10" borderId="8" applyAlignment="1" pivotButton="0" quotePrefix="0" xfId="0">
      <alignment horizontal="center" vertical="center"/>
    </xf>
    <xf numFmtId="9" fontId="12" fillId="10" borderId="8" applyAlignment="1" pivotButton="0" quotePrefix="0" xfId="0">
      <alignment horizontal="center" vertical="center"/>
    </xf>
    <xf numFmtId="0" fontId="12" fillId="11" borderId="8" applyAlignment="1" pivotButton="0" quotePrefix="0" xfId="0">
      <alignment horizontal="left" vertical="center"/>
    </xf>
    <xf numFmtId="0" fontId="12" fillId="11" borderId="8" applyAlignment="1" pivotButton="0" quotePrefix="0" xfId="0">
      <alignment horizontal="center" vertical="center"/>
    </xf>
    <xf numFmtId="9" fontId="12" fillId="11" borderId="8" applyAlignment="1" pivotButton="0" quotePrefix="0" xfId="0">
      <alignment horizontal="center" vertical="center"/>
    </xf>
    <xf numFmtId="0" fontId="12" fillId="12" borderId="8" applyAlignment="1" pivotButton="0" quotePrefix="0" xfId="0">
      <alignment horizontal="left" vertical="center"/>
    </xf>
    <xf numFmtId="0" fontId="12" fillId="12" borderId="8" applyAlignment="1" pivotButton="0" quotePrefix="0" xfId="0">
      <alignment horizontal="center" vertical="center"/>
    </xf>
    <xf numFmtId="9" fontId="12" fillId="12" borderId="8" applyAlignment="1" pivotButton="0" quotePrefix="0" xfId="0">
      <alignment horizontal="center" vertical="center"/>
    </xf>
    <xf numFmtId="0" fontId="12" fillId="13" borderId="8" applyAlignment="1" pivotButton="0" quotePrefix="0" xfId="0">
      <alignment horizontal="left" vertical="center"/>
    </xf>
    <xf numFmtId="0" fontId="12" fillId="13" borderId="8" applyAlignment="1" pivotButton="0" quotePrefix="0" xfId="0">
      <alignment horizontal="center" vertical="center"/>
    </xf>
    <xf numFmtId="9" fontId="12" fillId="13" borderId="8" applyAlignment="1" pivotButton="0" quotePrefix="0" xfId="0">
      <alignment horizontal="center" vertical="center"/>
    </xf>
    <xf numFmtId="0" fontId="22" fillId="25" borderId="8" applyAlignment="1" pivotButton="0" quotePrefix="0" xfId="0">
      <alignment horizontal="center" vertical="center"/>
    </xf>
    <xf numFmtId="0" fontId="22" fillId="25" borderId="8" applyAlignment="1" pivotButton="0" quotePrefix="0" xfId="0">
      <alignment horizontal="left" vertical="center"/>
    </xf>
    <xf numFmtId="0" fontId="59" fillId="25" borderId="8" applyAlignment="1" pivotButton="0" quotePrefix="0" xfId="0">
      <alignment horizontal="center" vertical="center"/>
    </xf>
    <xf numFmtId="0" fontId="60" fillId="27" borderId="8" applyAlignment="1" pivotButton="0" quotePrefix="0" xfId="0">
      <alignment horizontal="center" vertical="center"/>
    </xf>
    <xf numFmtId="0" fontId="60" fillId="27" borderId="8" applyAlignment="1" pivotButton="0" quotePrefix="0" xfId="0">
      <alignment horizontal="left" vertical="center"/>
    </xf>
    <xf numFmtId="0" fontId="25" fillId="27" borderId="8" applyAlignment="1" pivotButton="0" quotePrefix="0" xfId="0">
      <alignment horizontal="center" vertical="center"/>
    </xf>
    <xf numFmtId="0" fontId="61" fillId="28" borderId="8" applyAlignment="1" pivotButton="0" quotePrefix="0" xfId="0">
      <alignment horizontal="center" vertical="center"/>
    </xf>
    <xf numFmtId="0" fontId="61" fillId="28" borderId="8" applyAlignment="1" pivotButton="0" quotePrefix="0" xfId="0">
      <alignment horizontal="left" vertical="center"/>
    </xf>
    <xf numFmtId="0" fontId="27" fillId="28" borderId="8" applyAlignment="1" pivotButton="0" quotePrefix="0" xfId="0">
      <alignment horizontal="center" vertical="center"/>
    </xf>
    <xf numFmtId="0" fontId="12" fillId="8" borderId="8" applyAlignment="1" pivotButton="0" quotePrefix="0" xfId="0">
      <alignment horizontal="center" vertical="center"/>
    </xf>
    <xf numFmtId="0" fontId="12" fillId="16" borderId="8" applyAlignment="1" pivotButton="0" quotePrefix="0" xfId="0">
      <alignment horizontal="center" vertical="center"/>
    </xf>
    <xf numFmtId="0" fontId="13" fillId="9" borderId="7" applyAlignment="1" pivotButton="0" quotePrefix="0" xfId="0">
      <alignment horizontal="center" vertical="center" wrapText="1"/>
    </xf>
    <xf numFmtId="0" fontId="13" fillId="10" borderId="7" applyAlignment="1" pivotButton="0" quotePrefix="0" xfId="0">
      <alignment horizontal="center" vertical="center" wrapText="1"/>
    </xf>
    <xf numFmtId="0" fontId="13" fillId="11" borderId="7" applyAlignment="1" pivotButton="0" quotePrefix="0" xfId="0">
      <alignment horizontal="center" vertical="center" wrapText="1"/>
    </xf>
    <xf numFmtId="0" fontId="13" fillId="12" borderId="7" applyAlignment="1" pivotButton="0" quotePrefix="0" xfId="0">
      <alignment horizontal="center" vertical="center" wrapText="1"/>
    </xf>
    <xf numFmtId="0" fontId="13" fillId="13" borderId="7" applyAlignment="1" pivotButton="0" quotePrefix="0" xfId="0">
      <alignment horizontal="center" vertical="center" wrapText="1"/>
    </xf>
    <xf numFmtId="0" fontId="7" fillId="14" borderId="8" applyAlignment="1" pivotButton="0" quotePrefix="0" xfId="0">
      <alignment horizontal="center" vertical="center"/>
    </xf>
    <xf numFmtId="0" fontId="7" fillId="34" borderId="8" applyAlignment="1" pivotButton="0" quotePrefix="0" xfId="0">
      <alignment horizontal="center" vertical="center"/>
    </xf>
    <xf numFmtId="0" fontId="7" fillId="32" borderId="8" applyAlignment="1" pivotButton="0" quotePrefix="0" xfId="0">
      <alignment horizontal="center" vertical="center"/>
    </xf>
    <xf numFmtId="0" fontId="7" fillId="35" borderId="8" applyAlignment="1" pivotButton="0" quotePrefix="0" xfId="0">
      <alignment horizontal="center" vertical="center"/>
    </xf>
    <xf numFmtId="0" fontId="7" fillId="36" borderId="8" applyAlignment="1" pivotButton="0" quotePrefix="0" xfId="0">
      <alignment horizontal="center" vertical="center"/>
    </xf>
    <xf numFmtId="0" fontId="62" fillId="0" borderId="0" pivotButton="0" quotePrefix="0" xfId="0"/>
    <xf numFmtId="0" fontId="0" fillId="0" borderId="0" pivotButton="0" quotePrefix="0" xfId="0"/>
    <xf numFmtId="0" fontId="2" fillId="2" borderId="13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5" fillId="2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6" fillId="6" borderId="13" applyAlignment="1" pivotButton="0" quotePrefix="0" xfId="0">
      <alignment horizontal="center" vertical="center"/>
    </xf>
    <xf numFmtId="0" fontId="7" fillId="7" borderId="8" applyAlignment="1" pivotButton="0" quotePrefix="0" xfId="0">
      <alignment horizontal="center" vertical="center"/>
    </xf>
    <xf numFmtId="0" fontId="0" fillId="0" borderId="5" pivotButton="0" quotePrefix="0" xfId="0"/>
    <xf numFmtId="0" fontId="8" fillId="8" borderId="8" applyAlignment="1" pivotButton="0" quotePrefix="0" xfId="0">
      <alignment horizontal="left" vertical="center"/>
    </xf>
    <xf numFmtId="0" fontId="0" fillId="0" borderId="6" pivotButton="0" quotePrefix="0" xfId="0"/>
    <xf numFmtId="0" fontId="7" fillId="9" borderId="8" applyAlignment="1" pivotButton="0" quotePrefix="0" xfId="0">
      <alignment horizontal="center" vertical="center"/>
    </xf>
    <xf numFmtId="0" fontId="7" fillId="10" borderId="8" applyAlignment="1" pivotButton="0" quotePrefix="0" xfId="0">
      <alignment horizontal="center" vertical="center"/>
    </xf>
    <xf numFmtId="0" fontId="7" fillId="11" borderId="8" applyAlignment="1" pivotButton="0" quotePrefix="0" xfId="0">
      <alignment horizontal="center" vertical="center"/>
    </xf>
    <xf numFmtId="0" fontId="7" fillId="12" borderId="8" applyAlignment="1" pivotButton="0" quotePrefix="0" xfId="0">
      <alignment horizontal="center" vertical="center"/>
    </xf>
    <xf numFmtId="0" fontId="7" fillId="13" borderId="8" applyAlignment="1" pivotButton="0" quotePrefix="0" xfId="0">
      <alignment horizontal="center" vertical="center"/>
    </xf>
    <xf numFmtId="0" fontId="7" fillId="15" borderId="8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0" fontId="18" fillId="11" borderId="8" applyAlignment="1" pivotButton="0" quotePrefix="0" xfId="0">
      <alignment horizontal="center" vertical="center"/>
    </xf>
    <xf numFmtId="0" fontId="19" fillId="22" borderId="8" applyAlignment="1" pivotButton="0" quotePrefix="0" xfId="0">
      <alignment horizontal="center" vertical="center"/>
    </xf>
    <xf numFmtId="0" fontId="20" fillId="23" borderId="8" applyAlignment="1" pivotButton="0" quotePrefix="0" xfId="0">
      <alignment horizontal="center" vertical="center"/>
    </xf>
    <xf numFmtId="0" fontId="22" fillId="25" borderId="8" applyAlignment="1" pivotButton="0" quotePrefix="0" xfId="0">
      <alignment horizontal="center" vertical="center" wrapText="1"/>
    </xf>
    <xf numFmtId="0" fontId="24" fillId="26" borderId="8" applyAlignment="1" pivotButton="0" quotePrefix="0" xfId="0">
      <alignment horizontal="center" vertical="center"/>
    </xf>
    <xf numFmtId="0" fontId="25" fillId="27" borderId="8" applyAlignment="1" pivotButton="0" quotePrefix="0" xfId="0">
      <alignment horizontal="center" vertical="center" wrapText="1"/>
    </xf>
    <xf numFmtId="0" fontId="27" fillId="28" borderId="8" applyAlignment="1" pivotButton="0" quotePrefix="0" xfId="0">
      <alignment horizontal="center" vertical="center" wrapText="1"/>
    </xf>
    <xf numFmtId="0" fontId="29" fillId="29" borderId="8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31" fillId="30" borderId="8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dxfs count="6">
    <dxf>
      <font>
        <name val="Arial"/>
        <color rgb="FF880E4F"/>
        <sz val="10"/>
      </font>
      <fill>
        <patternFill patternType="solid">
          <fgColor rgb="FFFCE4EC"/>
          <bgColor rgb="FFFCE4EC"/>
        </patternFill>
      </fill>
      <border/>
    </dxf>
    <dxf>
      <font>
        <b val="1"/>
        <color rgb="FFFFFFFF"/>
      </font>
      <fill>
        <patternFill patternType="solid">
          <fgColor rgb="FFFFD700"/>
          <bgColor rgb="FFFFD700"/>
        </patternFill>
      </fill>
      <border/>
    </dxf>
    <dxf>
      <font>
        <b val="1"/>
        <color rgb="FFFFFFFF"/>
      </font>
      <fill>
        <patternFill patternType="solid">
          <fgColor rgb="FF999999"/>
          <bgColor rgb="FF999999"/>
        </patternFill>
      </fill>
      <border/>
    </dxf>
    <dxf>
      <font>
        <b val="1"/>
        <color rgb="FFFFFFFF"/>
      </font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3" min="1" max="1"/>
    <col width="18" customWidth="1" style="143" min="2" max="8"/>
  </cols>
  <sheetData>
    <row r="1" ht="9.75" customHeight="1" s="14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49.5" customHeight="1" s="143">
      <c r="A2" s="1" t="n"/>
      <c r="B2" s="144" t="inlineStr">
        <is>
          <t>🏆  BREAK WAVE RANKING SYSTEM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7.75" customHeight="1" s="143">
      <c r="A3" s="1" t="n"/>
      <c r="B3" s="145" t="inlineStr">
        <is>
          <t>Рейтинговая система школы брейк-данса Break Wave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143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 s="143">
      <c r="A5" s="1" t="n"/>
      <c r="B5" s="146" t="inlineStr">
        <is>
          <t>📅 СЕЗОННЫЕ МЕРОПРИЯТИЯ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5.5" customHeight="1" s="143">
      <c r="A6" s="1" t="n"/>
      <c r="B6" s="147" t="inlineStr">
        <is>
          <t>❄️  Winter / 🌸 Spring / ☀️ Summer / 🍂 Autumn → x1 балл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 s="143">
      <c r="A7" s="1" t="n"/>
      <c r="B7" s="148" t="inlineStr">
        <is>
          <t>🔥  Break Wave Final → x2 балла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7.5" customHeight="1" s="143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 s="143">
      <c r="A9" s="1" t="n"/>
      <c r="B9" s="146" t="inlineStr">
        <is>
          <t>🎯 СИСТЕМА НАЧИСЛЕНИЯ БАЛЛОВ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5.5" customHeight="1" s="143">
      <c r="A10" s="1" t="n"/>
      <c r="B10" s="149" t="inlineStr">
        <is>
          <t>🥇 1 место → 30 баллов   |   🥈 2 место → 20 баллов   |   🥉 3 место → 10 баллов   |   🎫 Участник → 1 балл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7.5" customHeight="1" s="143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5.5" customHeight="1" s="143">
      <c r="A12" s="1" t="n"/>
      <c r="B12" s="146" t="inlineStr">
        <is>
          <t>📋 СТРУКТУРА ФАЙЛА</t>
        </is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4" customHeight="1" s="143">
      <c r="A13" s="1" t="n"/>
      <c r="B13" s="150" t="inlineStr">
        <is>
          <t>→ 👥 Участники</t>
        </is>
      </c>
      <c r="C13" s="151" t="n"/>
      <c r="D13" s="152" t="inlineStr">
        <is>
          <t>Единый список участников и номинации (заполнить 1 раз)</t>
        </is>
      </c>
      <c r="E13" s="153" t="n"/>
      <c r="F13" s="153" t="n"/>
      <c r="G13" s="153" t="n"/>
      <c r="H13" s="15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4" customHeight="1" s="143">
      <c r="A14" s="1" t="n"/>
      <c r="B14" s="154" t="inlineStr">
        <is>
          <t>→ ❄️ Winter</t>
        </is>
      </c>
      <c r="C14" s="151" t="n"/>
      <c r="D14" s="152" t="inlineStr">
        <is>
          <t>Результаты зимнего мероприятия</t>
        </is>
      </c>
      <c r="E14" s="153" t="n"/>
      <c r="F14" s="153" t="n"/>
      <c r="G14" s="153" t="n"/>
      <c r="H14" s="15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4" customHeight="1" s="143">
      <c r="A15" s="1" t="n"/>
      <c r="B15" s="155" t="inlineStr">
        <is>
          <t>→ 🌸 Spring</t>
        </is>
      </c>
      <c r="C15" s="151" t="n"/>
      <c r="D15" s="152" t="inlineStr">
        <is>
          <t>Результаты весеннего мероприятия</t>
        </is>
      </c>
      <c r="E15" s="153" t="n"/>
      <c r="F15" s="153" t="n"/>
      <c r="G15" s="153" t="n"/>
      <c r="H15" s="15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4" customHeight="1" s="143">
      <c r="A16" s="1" t="n"/>
      <c r="B16" s="156" t="inlineStr">
        <is>
          <t>→ ☀️ Summer</t>
        </is>
      </c>
      <c r="C16" s="151" t="n"/>
      <c r="D16" s="152" t="inlineStr">
        <is>
          <t>Результаты летнего мероприятия</t>
        </is>
      </c>
      <c r="E16" s="153" t="n"/>
      <c r="F16" s="153" t="n"/>
      <c r="G16" s="153" t="n"/>
      <c r="H16" s="15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4" customHeight="1" s="143">
      <c r="A17" s="1" t="n"/>
      <c r="B17" s="157" t="inlineStr">
        <is>
          <t>→ 🍂 Autumn</t>
        </is>
      </c>
      <c r="C17" s="151" t="n"/>
      <c r="D17" s="152" t="inlineStr">
        <is>
          <t>Результаты осеннего мероприятия</t>
        </is>
      </c>
      <c r="E17" s="153" t="n"/>
      <c r="F17" s="153" t="n"/>
      <c r="G17" s="153" t="n"/>
      <c r="H17" s="15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4" customHeight="1" s="143">
      <c r="A18" s="1" t="n"/>
      <c r="B18" s="158" t="inlineStr">
        <is>
          <t>→ 🔥 Final</t>
        </is>
      </c>
      <c r="C18" s="151" t="n"/>
      <c r="D18" s="152" t="inlineStr">
        <is>
          <t>Финальное мероприятие (баллы x2)</t>
        </is>
      </c>
      <c r="E18" s="153" t="n"/>
      <c r="F18" s="153" t="n"/>
      <c r="G18" s="153" t="n"/>
      <c r="H18" s="15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4" customHeight="1" s="143">
      <c r="A19" s="1" t="n"/>
      <c r="B19" s="137" t="inlineStr">
        <is>
          <t>→ 📊 Общий рейтинг</t>
        </is>
      </c>
      <c r="C19" s="151" t="n"/>
      <c r="D19" s="152" t="inlineStr">
        <is>
          <t>Сводная таблица всех баллов за сезон</t>
        </is>
      </c>
      <c r="E19" s="153" t="n"/>
      <c r="F19" s="153" t="n"/>
      <c r="G19" s="153" t="n"/>
      <c r="H19" s="15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4" customHeight="1" s="143">
      <c r="A20" s="1" t="n"/>
      <c r="B20" s="159" t="inlineStr">
        <is>
          <t>→ 🏆 Дашборд</t>
        </is>
      </c>
      <c r="C20" s="151" t="n"/>
      <c r="D20" s="152" t="inlineStr">
        <is>
          <t>Топ-3 победителей по каждой номинации</t>
        </is>
      </c>
      <c r="E20" s="153" t="n"/>
      <c r="F20" s="153" t="n"/>
      <c r="G20" s="153" t="n"/>
      <c r="H20" s="15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14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4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4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4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4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4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4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4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4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4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4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4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4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4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4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4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4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4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4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4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4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4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4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4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4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4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4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4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4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4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4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4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4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4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4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4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4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4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4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4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4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4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4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4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4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4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4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4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4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4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4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4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4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4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4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4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4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4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4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4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4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4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4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4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4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4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4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4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4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4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4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4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4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4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4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4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4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4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4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4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4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4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4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4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4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4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4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4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4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4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4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4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4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4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4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4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4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4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4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4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4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4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4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4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4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4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4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4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4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4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4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4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4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4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4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4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4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4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4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4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4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4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4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4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4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4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4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4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4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4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4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4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4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4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4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4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4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14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14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14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14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14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14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14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14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14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14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14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14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14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14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14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14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14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14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14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14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14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14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14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14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14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14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14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14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14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14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14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14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14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14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14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14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14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14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14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14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14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14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14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14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14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14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14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14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14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14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14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14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14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14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14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14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14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14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14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14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14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14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14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1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14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14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14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14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14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14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14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14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14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14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14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14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14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14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14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14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14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14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14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14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14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14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14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14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14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14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14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14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14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14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14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14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14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14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14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14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14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14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14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14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14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14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14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14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14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14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14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14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14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14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14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14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14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14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14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14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14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14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14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14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14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14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14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14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14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14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14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14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14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14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14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14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14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14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14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14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14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14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14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14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14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14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14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14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14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14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14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14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14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14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14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14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14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14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14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14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14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14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14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1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14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14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14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14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14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14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14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14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14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14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14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14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14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14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14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14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14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14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14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14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14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14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14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14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14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14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14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14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14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14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14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14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14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14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14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14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14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14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14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14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14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14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14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14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14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14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14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14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14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14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14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14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14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14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14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14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14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14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14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14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14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14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14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14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14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14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14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14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14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14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14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14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14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14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14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14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14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14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14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14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14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14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14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14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14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14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14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14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14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14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14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14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14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14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14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14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14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14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14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1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14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14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14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14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14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14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14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14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14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14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14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14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14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14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14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14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14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14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14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14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14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14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14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14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14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14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14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14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14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14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14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14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14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14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14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14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14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14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14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14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14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14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14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14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14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14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14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14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14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14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14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14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14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14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14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14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14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14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14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14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14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14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14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14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14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14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14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14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14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14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14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14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14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14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14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14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14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14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14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14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14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14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14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14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14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14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14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14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14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14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14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14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14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14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14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14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14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14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14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1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14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14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14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14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14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14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14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14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14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14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14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14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14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14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14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14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14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14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14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14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14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14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14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14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14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14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14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14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14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14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14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14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14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14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14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14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14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14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14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14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14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14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14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14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14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14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14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14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14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14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14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14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14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14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14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14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14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14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14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14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14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14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14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14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14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14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14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14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14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14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14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14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14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14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14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14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14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14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14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14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14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14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14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14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14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14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14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14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14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14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14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14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14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14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14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14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14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14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14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1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14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14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14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14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14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14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14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14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14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14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14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14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14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14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14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14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14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14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14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14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14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14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14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14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14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14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14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14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14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14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14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14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14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14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14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14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14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14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14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14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14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14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14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14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14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14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14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14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14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14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14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14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14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14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14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14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14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14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14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14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14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14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14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14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14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14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14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14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14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14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14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14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14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14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14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14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14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14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14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14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14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14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14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14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14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14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14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14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14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14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14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14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14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14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14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14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14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14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14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1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14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14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14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14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14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14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14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14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14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14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14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14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14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14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14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14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14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14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14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14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14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14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14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14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14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14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14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14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14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14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14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14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14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14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14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14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14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14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14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14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14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14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14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14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14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14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14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14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14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14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14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14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14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14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14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14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14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14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14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14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14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14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14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14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14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14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14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14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14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14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14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14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14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14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14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14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14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14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14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14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14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14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14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14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14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14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14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14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14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14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14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14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14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14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14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14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14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14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14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1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14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14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14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14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14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14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14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14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14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14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14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14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14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14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14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14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14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14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14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14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14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14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14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14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14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14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14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14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14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14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14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14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14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14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14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14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14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14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14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14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14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14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14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14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14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14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14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14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14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14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14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14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14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14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14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14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14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4">
    <mergeCell ref="B16:C16"/>
    <mergeCell ref="D20:H20"/>
    <mergeCell ref="B9:H9"/>
    <mergeCell ref="D19:H19"/>
    <mergeCell ref="B6:H6"/>
    <mergeCell ref="B18:C18"/>
    <mergeCell ref="B5:H5"/>
    <mergeCell ref="D13:H13"/>
    <mergeCell ref="B14:C14"/>
    <mergeCell ref="B7:H7"/>
    <mergeCell ref="B17:C17"/>
    <mergeCell ref="B3:H3"/>
    <mergeCell ref="D17:H17"/>
    <mergeCell ref="B13:C13"/>
    <mergeCell ref="D16:H16"/>
    <mergeCell ref="B19:C19"/>
    <mergeCell ref="B12:H12"/>
    <mergeCell ref="B2:H2"/>
    <mergeCell ref="D18:H18"/>
    <mergeCell ref="B15:C15"/>
    <mergeCell ref="D15:H15"/>
    <mergeCell ref="B20:C20"/>
    <mergeCell ref="B10:H10"/>
    <mergeCell ref="D14:H14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3" min="1" max="1"/>
    <col width="5" customWidth="1" style="143" min="2" max="2"/>
    <col width="22" customWidth="1" style="143" min="3" max="3"/>
    <col width="31.71" customWidth="1" style="143" min="4" max="4"/>
    <col width="8.710000000000001" customWidth="1" style="143" min="5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6" customHeight="1" s="143">
      <c r="A2" s="1" t="n"/>
      <c r="B2" s="160" t="inlineStr">
        <is>
          <t>👥  УЧАСТНИКИ BREAK WAVE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7.75" customHeight="1" s="143">
      <c r="A3" s="1" t="n"/>
      <c r="B3" s="22" t="inlineStr">
        <is>
          <t>№</t>
        </is>
      </c>
      <c r="C3" s="22" t="inlineStr">
        <is>
          <t>Имя участника</t>
        </is>
      </c>
      <c r="D3" s="22" t="inlineStr">
        <is>
          <t>Номинация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143">
      <c r="A4" s="1" t="n"/>
      <c r="B4" s="23" t="n">
        <v>1</v>
      </c>
      <c r="C4" s="28" t="inlineStr">
        <is>
          <t>Bboy Player</t>
        </is>
      </c>
      <c r="D4" s="27" t="inlineStr">
        <is>
          <t>до 6 лет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143">
      <c r="A5" s="1" t="n"/>
      <c r="B5" s="26" t="n">
        <v>2</v>
      </c>
      <c r="C5" s="28" t="inlineStr">
        <is>
          <t>Bgirl Puma</t>
        </is>
      </c>
      <c r="D5" s="27" t="inlineStr">
        <is>
          <t>Bgirl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9.5" customHeight="1" s="143">
      <c r="A6" s="1" t="n"/>
      <c r="B6" s="23" t="n">
        <v>3</v>
      </c>
      <c r="C6" s="28" t="inlineStr">
        <is>
          <t>Bboy King</t>
        </is>
      </c>
      <c r="D6" s="27" t="inlineStr">
        <is>
          <t>до 6 лет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143">
      <c r="A7" s="1" t="n"/>
      <c r="B7" s="26" t="n">
        <v>4</v>
      </c>
      <c r="C7" s="28" t="inlineStr">
        <is>
          <t>Bboy Max-Club</t>
        </is>
      </c>
      <c r="D7" s="27" t="inlineStr">
        <is>
          <t>1 год обучения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143">
      <c r="A8" s="1" t="n"/>
      <c r="B8" s="23" t="n">
        <v>5</v>
      </c>
      <c r="C8" s="28" t="inlineStr">
        <is>
          <t>Bboy Nazаr</t>
        </is>
      </c>
      <c r="D8" s="27" t="inlineStr">
        <is>
          <t>1 год обучения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143">
      <c r="A9" s="1" t="n"/>
      <c r="B9" s="26" t="n">
        <v>6</v>
      </c>
      <c r="C9" s="28" t="inlineStr">
        <is>
          <t>Bboy Batmort</t>
        </is>
      </c>
      <c r="D9" s="27" t="inlineStr">
        <is>
          <t>до 3 лет опыта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143">
      <c r="A10" s="1" t="n"/>
      <c r="B10" s="23" t="n">
        <v>7</v>
      </c>
      <c r="C10" s="28" t="inlineStr">
        <is>
          <t>Bboy Лебедь</t>
        </is>
      </c>
      <c r="D10" s="27" t="inlineStr">
        <is>
          <t>до 3 лет опыта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143">
      <c r="A11" s="1" t="n"/>
      <c r="B11" s="26" t="n">
        <v>8</v>
      </c>
      <c r="C11" s="28" t="inlineStr">
        <is>
          <t>Bboy LaKostya</t>
        </is>
      </c>
      <c r="D11" s="27" t="inlineStr">
        <is>
          <t>до 3 лет опыта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9.5" customHeight="1" s="143">
      <c r="A12" s="1" t="n"/>
      <c r="B12" s="23" t="n">
        <v>9</v>
      </c>
      <c r="C12" s="28" t="inlineStr">
        <is>
          <t>Bboy Svyat</t>
        </is>
      </c>
      <c r="D12" s="27" t="inlineStr">
        <is>
          <t>до 3 лет опыта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9.5" customHeight="1" s="143">
      <c r="A13" s="1" t="n"/>
      <c r="B13" s="26" t="n">
        <v>10</v>
      </c>
      <c r="C13" s="28" t="inlineStr">
        <is>
          <t>Bboy Мастер-ни</t>
        </is>
      </c>
      <c r="D13" s="27" t="inlineStr">
        <is>
          <t>до 3 лет опыта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9.5" customHeight="1" s="143">
      <c r="A14" s="1" t="n"/>
      <c r="B14" s="23" t="n">
        <v>11</v>
      </c>
      <c r="C14" s="28" t="inlineStr">
        <is>
          <t>Bboy Фрол</t>
        </is>
      </c>
      <c r="D14" s="27" t="inlineStr">
        <is>
          <t>1 год обучения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9.5" customHeight="1" s="143">
      <c r="A15" s="1" t="n"/>
      <c r="B15" s="26" t="n">
        <v>12</v>
      </c>
      <c r="C15" s="28" t="inlineStr">
        <is>
          <t>Bboy Wind</t>
        </is>
      </c>
      <c r="D15" s="27" t="inlineStr">
        <is>
          <t>10-13 лет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9.5" customHeight="1" s="143">
      <c r="A16" s="1" t="n"/>
      <c r="B16" s="23" t="n">
        <v>13</v>
      </c>
      <c r="C16" s="28" t="inlineStr">
        <is>
          <t>Bboy FillPower</t>
        </is>
      </c>
      <c r="D16" s="27" t="inlineStr">
        <is>
          <t>10-13 лет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9.5" customHeight="1" s="143">
      <c r="A17" s="1" t="n"/>
      <c r="B17" s="26" t="n">
        <v>14</v>
      </c>
      <c r="C17" s="28" t="inlineStr">
        <is>
          <t>Bboy Harlan</t>
        </is>
      </c>
      <c r="D17" s="27" t="inlineStr">
        <is>
          <t>10-13 лет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9.5" customHeight="1" s="143">
      <c r="A18" s="1" t="n"/>
      <c r="B18" s="23" t="n">
        <v>15</v>
      </c>
      <c r="C18" s="28" t="inlineStr">
        <is>
          <t>Bboy Brock</t>
        </is>
      </c>
      <c r="D18" s="27" t="inlineStr">
        <is>
          <t>Kids Pro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9.5" customHeight="1" s="143">
      <c r="A19" s="1" t="n"/>
      <c r="B19" s="26" t="n">
        <v>16</v>
      </c>
      <c r="C19" s="28" t="inlineStr">
        <is>
          <t>Bboy LilFlow</t>
        </is>
      </c>
      <c r="D19" s="27" t="inlineStr">
        <is>
          <t>Kids Pro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9.5" customHeight="1" s="143">
      <c r="A20" s="1" t="n"/>
      <c r="B20" s="23" t="n">
        <v>17</v>
      </c>
      <c r="C20" s="28" t="inlineStr">
        <is>
          <t>Bboy Kalos</t>
        </is>
      </c>
      <c r="D20" s="27" t="inlineStr">
        <is>
          <t>Kids Pro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9.5" customHeight="1" s="143">
      <c r="A21" s="1" t="n"/>
      <c r="B21" s="26" t="n">
        <v>18</v>
      </c>
      <c r="C21" s="28" t="inlineStr">
        <is>
          <t>Bboy Frodo</t>
        </is>
      </c>
      <c r="D21" s="27" t="inlineStr">
        <is>
          <t>Kids Pro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9.5" customHeight="1" s="143">
      <c r="A22" s="1" t="n"/>
      <c r="B22" s="23" t="n">
        <v>19</v>
      </c>
      <c r="C22" s="28" t="inlineStr">
        <is>
          <t>Bgirl KarinA</t>
        </is>
      </c>
      <c r="D22" s="27" t="inlineStr">
        <is>
          <t>Bgirl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9.5" customHeight="1" s="143">
      <c r="A23" s="1" t="n"/>
      <c r="B23" s="26" t="n">
        <v>20</v>
      </c>
      <c r="C23" s="28" t="inlineStr">
        <is>
          <t>Bgirl Rudi</t>
        </is>
      </c>
      <c r="D23" s="27" t="inlineStr">
        <is>
          <t>Bgirl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9.5" customHeight="1" s="143">
      <c r="A24" s="1" t="n"/>
      <c r="B24" s="23" t="n">
        <v>21</v>
      </c>
      <c r="C24" s="28" t="inlineStr">
        <is>
          <t>Bboy Sonic</t>
        </is>
      </c>
      <c r="D24" s="27" t="inlineStr">
        <is>
          <t>10-13 лет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9.5" customHeight="1" s="143">
      <c r="A25" s="1" t="n"/>
      <c r="B25" s="26" t="n">
        <v>22</v>
      </c>
      <c r="C25" s="28" t="inlineStr">
        <is>
          <t>Bboy Time</t>
        </is>
      </c>
      <c r="D25" s="27" t="inlineStr">
        <is>
          <t>10-13 лет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9.5" customHeight="1" s="143">
      <c r="A26" s="1" t="n"/>
      <c r="B26" s="23" t="n">
        <v>23</v>
      </c>
      <c r="C26" s="28" t="inlineStr">
        <is>
          <t>Bboy Sunrise</t>
        </is>
      </c>
      <c r="D26" s="27" t="inlineStr">
        <is>
          <t>10-13 лет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9.5" customHeight="1" s="143">
      <c r="A27" s="1" t="n"/>
      <c r="B27" s="26" t="n">
        <v>24</v>
      </c>
      <c r="C27" s="28" t="inlineStr">
        <is>
          <t>Bboy Cobra</t>
        </is>
      </c>
      <c r="D27" s="27" t="inlineStr">
        <is>
          <t>10-13 лет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9.5" customHeight="1" s="143">
      <c r="A28" s="1" t="n"/>
      <c r="B28" s="23" t="n">
        <v>25</v>
      </c>
      <c r="C28" s="28" t="inlineStr">
        <is>
          <t>Bboy Mr. Tim</t>
        </is>
      </c>
      <c r="D28" s="27" t="inlineStr">
        <is>
          <t>10-13 лет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9.5" customHeight="1" s="143">
      <c r="A29" s="1" t="n"/>
      <c r="B29" s="26" t="n">
        <v>26</v>
      </c>
      <c r="C29" s="28" t="inlineStr">
        <is>
          <t>Bboy Zen</t>
        </is>
      </c>
      <c r="D29" s="27" t="inlineStr">
        <is>
          <t>10-13 лет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9.5" customHeight="1" s="143">
      <c r="A30" s="1" t="n"/>
      <c r="B30" s="23" t="n">
        <v>27</v>
      </c>
      <c r="C30" s="28" t="inlineStr">
        <is>
          <t>Bboy Damir</t>
        </is>
      </c>
      <c r="D30" s="27" t="inlineStr">
        <is>
          <t>10-13 лет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9.5" customHeight="1" s="143">
      <c r="A31" s="1" t="n"/>
      <c r="B31" s="26" t="n">
        <v>28</v>
      </c>
      <c r="C31" s="28" t="inlineStr">
        <is>
          <t>Bboy Stone</t>
        </is>
      </c>
      <c r="D31" s="27" t="inlineStr">
        <is>
          <t>10-13 лет</t>
        </is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9.5" customHeight="1" s="143">
      <c r="A32" s="1" t="n"/>
      <c r="B32" s="23" t="n">
        <v>29</v>
      </c>
      <c r="C32" s="28" t="inlineStr">
        <is>
          <t>Bboy Peshka</t>
        </is>
      </c>
      <c r="D32" s="27" t="inlineStr">
        <is>
          <t>10-13 лет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9.5" customHeight="1" s="143">
      <c r="A33" s="1" t="n"/>
      <c r="B33" s="26" t="n">
        <v>30</v>
      </c>
      <c r="C33" s="28" t="inlineStr">
        <is>
          <t>Bboy Volad</t>
        </is>
      </c>
      <c r="D33" s="27" t="inlineStr">
        <is>
          <t>Kids Pro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9.5" customHeight="1" s="143">
      <c r="A34" s="1" t="n"/>
      <c r="B34" s="23" t="n">
        <v>31</v>
      </c>
      <c r="C34" s="28" t="inlineStr">
        <is>
          <t>Bgirl Marishka</t>
        </is>
      </c>
      <c r="D34" s="27" t="inlineStr">
        <is>
          <t>Bgirl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9.5" customHeight="1" s="143">
      <c r="A35" s="1" t="n"/>
      <c r="B35" s="26" t="n">
        <v>32</v>
      </c>
      <c r="C35" s="28" t="inlineStr">
        <is>
          <t>Bgirl Gazirovka</t>
        </is>
      </c>
      <c r="D35" s="27" t="inlineStr">
        <is>
          <t>Bgirl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9.5" customHeight="1" s="143">
      <c r="A36" s="1" t="n"/>
      <c r="B36" s="23" t="n">
        <v>33</v>
      </c>
      <c r="C36" s="28" t="inlineStr">
        <is>
          <t>Bgirl Sova</t>
        </is>
      </c>
      <c r="D36" s="27" t="inlineStr">
        <is>
          <t>Bgirl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9.5" customHeight="1" s="143">
      <c r="A37" s="1" t="n"/>
      <c r="B37" s="26" t="n">
        <v>34</v>
      </c>
      <c r="C37" s="28" t="inlineStr">
        <is>
          <t>Bboy Lynx</t>
        </is>
      </c>
      <c r="D37" s="27" t="inlineStr">
        <is>
          <t>Kids Pro</t>
        </is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9.5" customHeight="1" s="143">
      <c r="A38" s="1" t="n"/>
      <c r="B38" s="23" t="n">
        <v>35</v>
      </c>
      <c r="C38" s="28" t="inlineStr">
        <is>
          <t xml:space="preserve">Bboy Beleg </t>
        </is>
      </c>
      <c r="D38" s="27" t="inlineStr">
        <is>
          <t>Kids Pro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9.5" customHeight="1" s="143">
      <c r="A39" s="1" t="n"/>
      <c r="B39" s="26" t="n">
        <v>36</v>
      </c>
      <c r="C39" s="28" t="inlineStr">
        <is>
          <t xml:space="preserve">Bgirl Yana </t>
        </is>
      </c>
      <c r="D39" s="27" t="inlineStr">
        <is>
          <t>Bgirl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9.5" customHeight="1" s="143">
      <c r="A40" s="1" t="n"/>
      <c r="B40" s="23" t="n">
        <v>37</v>
      </c>
      <c r="C40" s="28" t="inlineStr">
        <is>
          <t xml:space="preserve">Bgirl Phoenix </t>
        </is>
      </c>
      <c r="D40" s="27" t="inlineStr">
        <is>
          <t>Bgirl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9.5" customHeight="1" s="143">
      <c r="A41" s="1" t="n"/>
      <c r="B41" s="26" t="n">
        <v>38</v>
      </c>
      <c r="C41" s="28" t="inlineStr">
        <is>
          <t xml:space="preserve">Bboy Тень </t>
        </is>
      </c>
      <c r="D41" s="27" t="inlineStr">
        <is>
          <t>10-13 лет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9.5" customHeight="1" s="143">
      <c r="A42" s="1" t="n"/>
      <c r="B42" s="23" t="n">
        <v>39</v>
      </c>
      <c r="C42" s="28" t="inlineStr">
        <is>
          <t>Bgirl Mahita</t>
        </is>
      </c>
      <c r="D42" s="27" t="inlineStr">
        <is>
          <t>Bgirl</t>
        </is>
      </c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9.5" customHeight="1" s="143">
      <c r="A43" s="1" t="n"/>
      <c r="B43" s="26" t="n">
        <v>40</v>
      </c>
      <c r="C43" s="28" t="inlineStr">
        <is>
          <t>Bboy Lava</t>
        </is>
      </c>
      <c r="D43" s="27" t="inlineStr">
        <is>
          <t>10-13 лет</t>
        </is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9.5" customHeight="1" s="143">
      <c r="A44" s="1" t="n"/>
      <c r="B44" s="23" t="n">
        <v>41</v>
      </c>
      <c r="C44" s="28" t="inlineStr">
        <is>
          <t>Bboy Nazartio</t>
        </is>
      </c>
      <c r="D44" s="27" t="inlineStr">
        <is>
          <t>до 3 лет опыта</t>
        </is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9.5" customHeight="1" s="143">
      <c r="A45" s="1" t="n"/>
      <c r="B45" s="26" t="n">
        <v>42</v>
      </c>
      <c r="C45" s="28" t="inlineStr">
        <is>
          <t xml:space="preserve">Bboy Матвей </t>
        </is>
      </c>
      <c r="D45" s="27" t="inlineStr">
        <is>
          <t>до 3 лет опыта</t>
        </is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9.5" customHeight="1" s="143">
      <c r="A46" s="1" t="n"/>
      <c r="B46" s="23" t="n">
        <v>43</v>
      </c>
      <c r="C46" s="28" t="inlineStr">
        <is>
          <t>Bboy Машина</t>
        </is>
      </c>
      <c r="D46" s="27" t="inlineStr">
        <is>
          <t>до 3 лет опыта</t>
        </is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9.5" customHeight="1" s="143">
      <c r="A47" s="1" t="n"/>
      <c r="B47" s="26" t="n">
        <v>44</v>
      </c>
      <c r="C47" s="28" t="inlineStr">
        <is>
          <t xml:space="preserve">Bboy Саша </t>
        </is>
      </c>
      <c r="D47" s="27" t="inlineStr">
        <is>
          <t>до 3 лет опыта</t>
        </is>
      </c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9.5" customHeight="1" s="143">
      <c r="A48" s="1" t="n"/>
      <c r="B48" s="23" t="n">
        <v>45</v>
      </c>
      <c r="C48" s="28" t="inlineStr">
        <is>
          <t>Bboy Максим</t>
        </is>
      </c>
      <c r="D48" s="27" t="inlineStr">
        <is>
          <t>до 3 лет опыта</t>
        </is>
      </c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9.5" customHeight="1" s="143">
      <c r="A49" s="1" t="n"/>
      <c r="B49" s="26" t="n">
        <v>46</v>
      </c>
      <c r="C49" s="28" t="inlineStr">
        <is>
          <t>Bboy Nuts</t>
        </is>
      </c>
      <c r="D49" s="27" t="inlineStr">
        <is>
          <t>до 3 лет опыта</t>
        </is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9.5" customHeight="1" s="143">
      <c r="A50" s="1" t="n"/>
      <c r="B50" s="23" t="n">
        <v>47</v>
      </c>
      <c r="C50" s="28" t="inlineStr">
        <is>
          <t xml:space="preserve">Bboy Святозар </t>
        </is>
      </c>
      <c r="D50" s="27" t="inlineStr">
        <is>
          <t>до 3 лет опыта</t>
        </is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9.5" customHeight="1" s="143">
      <c r="A51" s="1" t="n"/>
      <c r="B51" s="26" t="n">
        <v>48</v>
      </c>
      <c r="C51" s="28" t="inlineStr">
        <is>
          <t>Bboy Мирон</t>
        </is>
      </c>
      <c r="D51" s="27" t="inlineStr">
        <is>
          <t>до 3 лет опыта</t>
        </is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9.5" customHeight="1" s="143">
      <c r="A52" s="1" t="n"/>
      <c r="B52" s="23" t="n">
        <v>49</v>
      </c>
      <c r="C52" s="28" t="inlineStr">
        <is>
          <t>Bgirl magic fox</t>
        </is>
      </c>
      <c r="D52" s="27" t="inlineStr">
        <is>
          <t>до 3 лет опыта</t>
        </is>
      </c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9.5" customHeight="1" s="143">
      <c r="A53" s="1" t="n"/>
      <c r="B53" s="26" t="n">
        <v>50</v>
      </c>
      <c r="C53" s="28" t="inlineStr">
        <is>
          <t xml:space="preserve">Bboy Platon </t>
        </is>
      </c>
      <c r="D53" s="27" t="inlineStr">
        <is>
          <t>до 6 лет</t>
        </is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9.5" customHeight="1" s="143">
      <c r="A54" s="1" t="n"/>
      <c r="B54" s="23" t="n">
        <v>51</v>
      </c>
      <c r="C54" s="28" t="inlineStr">
        <is>
          <t>Bboy Лёва</t>
        </is>
      </c>
      <c r="D54" s="27" t="inlineStr">
        <is>
          <t>до 6 лет</t>
        </is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9.5" customHeight="1" s="143">
      <c r="A55" s="1" t="n"/>
      <c r="B55" s="26" t="n">
        <v>52</v>
      </c>
      <c r="C55" s="28" t="inlineStr">
        <is>
          <t>Bboy Rak</t>
        </is>
      </c>
      <c r="D55" s="27" t="inlineStr">
        <is>
          <t>1 год обучения</t>
        </is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9.5" customHeight="1" s="143">
      <c r="A56" s="1" t="n"/>
      <c r="B56" s="23" t="n">
        <v>53</v>
      </c>
      <c r="C56" s="28" t="inlineStr">
        <is>
          <t xml:space="preserve">Bboy Макар </t>
        </is>
      </c>
      <c r="D56" s="27" t="inlineStr">
        <is>
          <t>до 6 лет</t>
        </is>
      </c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9.5" customHeight="1" s="143">
      <c r="A57" s="1" t="n"/>
      <c r="B57" s="26" t="n">
        <v>54</v>
      </c>
      <c r="C57" s="28" t="inlineStr">
        <is>
          <t>Bboy Артем</t>
        </is>
      </c>
      <c r="D57" s="27" t="inlineStr">
        <is>
          <t>до 6 лет</t>
        </is>
      </c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9.5" customHeight="1" s="143">
      <c r="A58" s="1" t="n"/>
      <c r="B58" s="23" t="n">
        <v>55</v>
      </c>
      <c r="C58" s="28" t="inlineStr">
        <is>
          <t>Bgirl Tony</t>
        </is>
      </c>
      <c r="D58" s="27" t="inlineStr">
        <is>
          <t>Bgirl</t>
        </is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9.5" customHeight="1" s="143">
      <c r="A59" s="1" t="n"/>
      <c r="B59" s="26" t="n">
        <v>56</v>
      </c>
      <c r="C59" s="28" t="inlineStr">
        <is>
          <t>Bgirl Olya</t>
        </is>
      </c>
      <c r="D59" s="27" t="inlineStr">
        <is>
          <t>Bgirl</t>
        </is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9.5" customHeight="1" s="143">
      <c r="A60" s="1" t="n"/>
      <c r="B60" s="23" t="n">
        <v>57</v>
      </c>
      <c r="C60" s="28" t="inlineStr">
        <is>
          <t>Bgirl Raura</t>
        </is>
      </c>
      <c r="D60" s="27" t="inlineStr">
        <is>
          <t>Bgirl</t>
        </is>
      </c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143">
      <c r="A61" s="1" t="n"/>
      <c r="B61" s="26" t="n">
        <v>58</v>
      </c>
      <c r="C61" s="28" t="n"/>
      <c r="D61" s="27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9.5" customHeight="1" s="143">
      <c r="A62" s="1" t="n"/>
      <c r="B62" s="23" t="n">
        <v>59</v>
      </c>
      <c r="C62" s="28" t="n"/>
      <c r="D62" s="27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9.5" customHeight="1" s="143">
      <c r="A63" s="1" t="n"/>
      <c r="B63" s="26" t="n">
        <v>60</v>
      </c>
      <c r="C63" s="28" t="n"/>
      <c r="D63" s="27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9.5" customHeight="1" s="143">
      <c r="A64" s="1" t="n"/>
      <c r="B64" s="23" t="n">
        <v>61</v>
      </c>
      <c r="C64" s="28" t="n"/>
      <c r="D64" s="27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9.5" customHeight="1" s="143">
      <c r="A65" s="1" t="n"/>
      <c r="B65" s="26" t="n">
        <v>62</v>
      </c>
      <c r="C65" s="28" t="n"/>
      <c r="D65" s="27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9.5" customHeight="1" s="143">
      <c r="A66" s="1" t="n"/>
      <c r="B66" s="23" t="n">
        <v>63</v>
      </c>
      <c r="C66" s="28" t="n"/>
      <c r="D66" s="27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9.5" customHeight="1" s="143">
      <c r="A67" s="1" t="n"/>
      <c r="B67" s="26" t="n">
        <v>64</v>
      </c>
      <c r="C67" s="28" t="n"/>
      <c r="D67" s="27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9.5" customHeight="1" s="143">
      <c r="A68" s="1" t="n"/>
      <c r="B68" s="23" t="n">
        <v>65</v>
      </c>
      <c r="C68" s="28" t="n"/>
      <c r="D68" s="27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9.5" customHeight="1" s="143">
      <c r="A69" s="1" t="n"/>
      <c r="B69" s="26" t="n">
        <v>66</v>
      </c>
      <c r="C69" s="28" t="n"/>
      <c r="D69" s="27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9.5" customHeight="1" s="143">
      <c r="A70" s="1" t="n"/>
      <c r="B70" s="23" t="n">
        <v>67</v>
      </c>
      <c r="C70" s="28" t="n"/>
      <c r="D70" s="27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9.5" customHeight="1" s="143">
      <c r="A71" s="1" t="n"/>
      <c r="B71" s="26" t="n">
        <v>68</v>
      </c>
      <c r="C71" s="28" t="n"/>
      <c r="D71" s="27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9.5" customHeight="1" s="143">
      <c r="A72" s="1" t="n"/>
      <c r="B72" s="23" t="n">
        <v>69</v>
      </c>
      <c r="C72" s="28" t="n"/>
      <c r="D72" s="27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9.5" customHeight="1" s="143">
      <c r="A73" s="1" t="n"/>
      <c r="B73" s="26" t="n">
        <v>70</v>
      </c>
      <c r="C73" s="28" t="n"/>
      <c r="D73" s="27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9.5" customHeight="1" s="143">
      <c r="A74" s="1" t="n"/>
      <c r="B74" s="23" t="n">
        <v>71</v>
      </c>
      <c r="C74" s="28" t="n"/>
      <c r="D74" s="27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9.5" customHeight="1" s="143">
      <c r="A75" s="1" t="n"/>
      <c r="B75" s="26" t="n">
        <v>72</v>
      </c>
      <c r="C75" s="28" t="n"/>
      <c r="D75" s="27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143">
      <c r="A76" s="1" t="n"/>
      <c r="B76" s="23" t="n">
        <v>73</v>
      </c>
      <c r="C76" s="28" t="n"/>
      <c r="D76" s="27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143">
      <c r="A77" s="1" t="n"/>
      <c r="B77" s="26" t="n">
        <v>74</v>
      </c>
      <c r="C77" s="28" t="n"/>
      <c r="D77" s="27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143">
      <c r="A78" s="1" t="n"/>
      <c r="B78" s="23" t="n">
        <v>75</v>
      </c>
      <c r="C78" s="28" t="n"/>
      <c r="D78" s="27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143">
      <c r="A79" s="1" t="n"/>
      <c r="B79" s="26" t="n">
        <v>76</v>
      </c>
      <c r="C79" s="28" t="n"/>
      <c r="D79" s="27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143">
      <c r="A80" s="1" t="n"/>
      <c r="B80" s="23" t="n">
        <v>77</v>
      </c>
      <c r="C80" s="28" t="n"/>
      <c r="D80" s="27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143">
      <c r="A81" s="1" t="n"/>
      <c r="B81" s="26" t="n">
        <v>78</v>
      </c>
      <c r="C81" s="28" t="n"/>
      <c r="D81" s="27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9.5" customHeight="1" s="143">
      <c r="A82" s="1" t="n"/>
      <c r="B82" s="23" t="n">
        <v>79</v>
      </c>
      <c r="C82" s="28" t="n"/>
      <c r="D82" s="27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143">
      <c r="A83" s="1" t="n"/>
      <c r="B83" s="26" t="n">
        <v>80</v>
      </c>
      <c r="C83" s="28" t="n"/>
      <c r="D83" s="27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143">
      <c r="A84" s="1" t="n"/>
      <c r="B84" s="23" t="n">
        <v>81</v>
      </c>
      <c r="C84" s="28" t="n"/>
      <c r="D84" s="27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9.5" customHeight="1" s="143">
      <c r="A85" s="1" t="n"/>
      <c r="B85" s="26" t="n">
        <v>82</v>
      </c>
      <c r="C85" s="28" t="n"/>
      <c r="D85" s="27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9.5" customHeight="1" s="143">
      <c r="A86" s="1" t="n"/>
      <c r="B86" s="23" t="n">
        <v>83</v>
      </c>
      <c r="C86" s="28" t="n"/>
      <c r="D86" s="27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9.5" customHeight="1" s="143">
      <c r="A87" s="1" t="n"/>
      <c r="B87" s="26" t="n">
        <v>84</v>
      </c>
      <c r="C87" s="28" t="n"/>
      <c r="D87" s="27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9.5" customHeight="1" s="143">
      <c r="A88" s="1" t="n"/>
      <c r="B88" s="23" t="n">
        <v>85</v>
      </c>
      <c r="C88" s="28" t="n"/>
      <c r="D88" s="27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9.5" customHeight="1" s="143">
      <c r="A89" s="1" t="n"/>
      <c r="B89" s="26" t="n">
        <v>86</v>
      </c>
      <c r="C89" s="28" t="n"/>
      <c r="D89" s="27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9.5" customHeight="1" s="143">
      <c r="A90" s="1" t="n"/>
      <c r="B90" s="23" t="n">
        <v>87</v>
      </c>
      <c r="C90" s="28" t="n"/>
      <c r="D90" s="27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9.5" customHeight="1" s="143">
      <c r="A91" s="1" t="n"/>
      <c r="B91" s="26" t="n">
        <v>88</v>
      </c>
      <c r="C91" s="28" t="n"/>
      <c r="D91" s="27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9.5" customHeight="1" s="143">
      <c r="A92" s="1" t="n"/>
      <c r="B92" s="23" t="n">
        <v>89</v>
      </c>
      <c r="C92" s="28" t="n"/>
      <c r="D92" s="27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9.5" customHeight="1" s="143">
      <c r="A93" s="1" t="n"/>
      <c r="B93" s="26" t="n">
        <v>90</v>
      </c>
      <c r="C93" s="28" t="n"/>
      <c r="D93" s="27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9.5" customHeight="1" s="143">
      <c r="A94" s="1" t="n"/>
      <c r="B94" s="23" t="n">
        <v>91</v>
      </c>
      <c r="C94" s="28" t="n"/>
      <c r="D94" s="27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9.5" customHeight="1" s="143">
      <c r="A95" s="1" t="n"/>
      <c r="B95" s="26" t="n">
        <v>92</v>
      </c>
      <c r="C95" s="28" t="n"/>
      <c r="D95" s="27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9.5" customHeight="1" s="143">
      <c r="A96" s="1" t="n"/>
      <c r="B96" s="23" t="n">
        <v>93</v>
      </c>
      <c r="C96" s="28" t="n"/>
      <c r="D96" s="27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9.5" customHeight="1" s="143">
      <c r="A97" s="1" t="n"/>
      <c r="B97" s="26" t="n">
        <v>94</v>
      </c>
      <c r="C97" s="28" t="n"/>
      <c r="D97" s="27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9.5" customHeight="1" s="143">
      <c r="A98" s="1" t="n"/>
      <c r="B98" s="23" t="n">
        <v>95</v>
      </c>
      <c r="C98" s="28" t="n"/>
      <c r="D98" s="27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9.5" customHeight="1" s="143">
      <c r="A99" s="1" t="n"/>
      <c r="B99" s="26" t="n">
        <v>96</v>
      </c>
      <c r="C99" s="28" t="n"/>
      <c r="D99" s="27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9.5" customHeight="1" s="143">
      <c r="A100" s="1" t="n"/>
      <c r="B100" s="23" t="n">
        <v>97</v>
      </c>
      <c r="C100" s="28" t="n"/>
      <c r="D100" s="27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9.5" customHeight="1" s="143">
      <c r="A101" s="1" t="n"/>
      <c r="B101" s="26" t="n">
        <v>98</v>
      </c>
      <c r="C101" s="28" t="n"/>
      <c r="D101" s="27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9.5" customHeight="1" s="143">
      <c r="A102" s="1" t="n"/>
      <c r="B102" s="23" t="n">
        <v>99</v>
      </c>
      <c r="C102" s="28" t="n"/>
      <c r="D102" s="27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9.5" customHeight="1" s="143">
      <c r="A103" s="1" t="n"/>
      <c r="B103" s="26" t="n">
        <v>100</v>
      </c>
      <c r="C103" s="28" t="n"/>
      <c r="D103" s="27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4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4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4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4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4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4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4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4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4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4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4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4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4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4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4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4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4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4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4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4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4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4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4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4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4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4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4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4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4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4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4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4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4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4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4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4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4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4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4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4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4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4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4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4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4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4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4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4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4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4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4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4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4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4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4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14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14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14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14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14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14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14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14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14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14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14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14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14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14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14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14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14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14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14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14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14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14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14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14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14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14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14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14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14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14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14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14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14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14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14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14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14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14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14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14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14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14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14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14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14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14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14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14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14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14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14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14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14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14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14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14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14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14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14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14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14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14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14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1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14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14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14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14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14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14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14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14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14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14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14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14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14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14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14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14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14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14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14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14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14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14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14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14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14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14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14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14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14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14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14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14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14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14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14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14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14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14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14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14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14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14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14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14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14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14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14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14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14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14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14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14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14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14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14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14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14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14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14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14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14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14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14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14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14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14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14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14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14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14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14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14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14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14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14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14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14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14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14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14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14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14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14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14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14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14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14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14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14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14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14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14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14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14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14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14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14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14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14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1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14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14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14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14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14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14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14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14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14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14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14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14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14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14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14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14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14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14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14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14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14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14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14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14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14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14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14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14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14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14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14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14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14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14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14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14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14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14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14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14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14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14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14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14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14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14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14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14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14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14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14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14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14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14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14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14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14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14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14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14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14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14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14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14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14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14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14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14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14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14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14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14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14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14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14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14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14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14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14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14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14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14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14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14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14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14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14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14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14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14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14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14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14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14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14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14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14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14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14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1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14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14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14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14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14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14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14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14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14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14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14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14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14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14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14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14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14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14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14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14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14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14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14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14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14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14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14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14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14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14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14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14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14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14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14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14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14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14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14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14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14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14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14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14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14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14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14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14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14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14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14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14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14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14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14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14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14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14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14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14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14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14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14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14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14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14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14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14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14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14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14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14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14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14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14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14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14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14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14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14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14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14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14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14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14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14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14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14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14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14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14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14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14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14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14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14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14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14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14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1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14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14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14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14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14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14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14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14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14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14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14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14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14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14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14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14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14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14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14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14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14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14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14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14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14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14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14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14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14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14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14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14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14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14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14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14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14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14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14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14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14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14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14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14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14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14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14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14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14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14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14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14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14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14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14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14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14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14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14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14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14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14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14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14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14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14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14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14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14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14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14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14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14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14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14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14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14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14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14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14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14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14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14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14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14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14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14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14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14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14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14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14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14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14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14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14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14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14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14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1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14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14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14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14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14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14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14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14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14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14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14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14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14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14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14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14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14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14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14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14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14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14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14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14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14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14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14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14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14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14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14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14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14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14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14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14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14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14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14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14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14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14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14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14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14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14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14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14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14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14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14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14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14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14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14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14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14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14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14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14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14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14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14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14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14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14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14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14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14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14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14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14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14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14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14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14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14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14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14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14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14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14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14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14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14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14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14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14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14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14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14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14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14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14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14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14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14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14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14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1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14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14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14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14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14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14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14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14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14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14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14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14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14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14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14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14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14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14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14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14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14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14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14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14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14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14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14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14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14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14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14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14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14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14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14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14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14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14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14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14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14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14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14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14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14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14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14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14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14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14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14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14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14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14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14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14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14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14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14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14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14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14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14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14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14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14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14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14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14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14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14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14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14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14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14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14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14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14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14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14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14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14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14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14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14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14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14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14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14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14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14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14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14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14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14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14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14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14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14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1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14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14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14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14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14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14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14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14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14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14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14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14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14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14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14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14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14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14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14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14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14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14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14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14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14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14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14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14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14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14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14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14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14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14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14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14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14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14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14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14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14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14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14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14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14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14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14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14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14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14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14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14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14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14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14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14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14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B2:D2"/>
  </mergeCells>
  <conditionalFormatting sqref="B4:D103">
    <cfRule type="expression" priority="1" dxfId="0">
      <formula>$D4="Bgirl"</formula>
    </cfRule>
  </conditionalFormatting>
  <dataValidations count="1">
    <dataValidation sqref="D4:D103" showDropDown="0" showInputMessage="1" showErrorMessage="1" allowBlank="1" prompt="Неверная номинация - Выберите значение из списка" type="list">
      <formula1>"1 год обучения,до 3 лет опыта,до 6 лет,7-9 лет,10-13 лет,Kids Pro,Bgirl"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3" min="1" max="1"/>
    <col width="5" customWidth="1" style="143" min="2" max="2"/>
    <col width="22" customWidth="1" style="143" min="3" max="3"/>
    <col width="16" customWidth="1" style="143" min="4" max="4"/>
    <col width="24.43" customWidth="1" style="143" min="5" max="8"/>
    <col width="15.86" customWidth="1" style="143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6" customHeight="1" s="143">
      <c r="A2" s="1" t="n"/>
      <c r="B2" s="160" t="inlineStr">
        <is>
          <t>❄️ Winter  —  РЕЗУЛЬТАТЫ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30" customHeight="1" s="143">
      <c r="A3" s="1" t="n"/>
      <c r="B3" s="31" t="inlineStr">
        <is>
          <t>№</t>
        </is>
      </c>
      <c r="C3" s="31" t="inlineStr">
        <is>
          <t>Имя участника</t>
        </is>
      </c>
      <c r="D3" s="31" t="inlineStr">
        <is>
          <t>Номинация</t>
        </is>
      </c>
      <c r="E3" s="30" t="inlineStr">
        <is>
          <t>Место (осн.)</t>
        </is>
      </c>
      <c r="F3" s="30" t="inlineStr">
        <is>
          <t>Доп. ном.1</t>
        </is>
      </c>
      <c r="G3" s="30" t="inlineStr">
        <is>
          <t>Доп. ном.2</t>
        </is>
      </c>
      <c r="H3" s="30" t="inlineStr">
        <is>
          <t>Доп. ном.3</t>
        </is>
      </c>
      <c r="I3" s="31" t="inlineStr">
        <is>
          <t>Баллы (x1)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143">
      <c r="A4" s="1" t="n"/>
      <c r="B4" s="32">
        <f>'👥 Участники'!B4</f>
        <v/>
      </c>
      <c r="C4" s="33">
        <f>'👥 Участники'!C4</f>
        <v/>
      </c>
      <c r="D4" s="34">
        <f>'👥 Участники'!D4</f>
        <v/>
      </c>
      <c r="E4" s="40" t="n">
        <v>1</v>
      </c>
      <c r="F4" s="40" t="n">
        <v>3</v>
      </c>
      <c r="G4" s="40" t="n"/>
      <c r="H4" s="40" t="n"/>
      <c r="I4" s="36">
        <f>IF(AND(C4="",OR(E4="",E4=0)),"",(IF(E4=1,30,IF(E4=2,20,IF(E4=3,10,IF(E4&lt;&gt;"",1,0))))+IF(F4=1,30,IF(F4=2,20,IF(F4=3,10,IF(F4&lt;&gt;"",1,0))))+IF(G4=1,30,IF(G4=2,20,IF(G4=3,10,IF(G4&lt;&gt;"",1,0))))+IF(H4=1,30,IF(H4=2,20,IF(H4=3,10,IF(H4&lt;&gt;"",1,0))))))</f>
        <v/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143">
      <c r="A5" s="1" t="n"/>
      <c r="B5" s="37">
        <f>'👥 Участники'!B5</f>
        <v/>
      </c>
      <c r="C5" s="38">
        <f>'👥 Участники'!C5</f>
        <v/>
      </c>
      <c r="D5" s="39">
        <f>'👥 Участники'!D5</f>
        <v/>
      </c>
      <c r="E5" s="40" t="n">
        <v>2</v>
      </c>
      <c r="F5" s="40" t="n">
        <v>2</v>
      </c>
      <c r="G5" s="40" t="n"/>
      <c r="H5" s="40" t="n"/>
      <c r="I5" s="36">
        <f>IF(AND(C5="",OR(E5="",E5=0)),"",(IF(E5=1,30,IF(E5=2,20,IF(E5=3,10,IF(E5&lt;&gt;"",1,0))))+IF(F5=1,30,IF(F5=2,20,IF(F5=3,10,IF(F5&lt;&gt;"",1,0))))+IF(G5=1,30,IF(G5=2,20,IF(G5=3,10,IF(G5&lt;&gt;"",1,0))))+IF(H5=1,30,IF(H5=2,20,IF(H5=3,10,IF(H5&lt;&gt;"",1,0))))))</f>
        <v/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9.5" customHeight="1" s="143">
      <c r="A6" s="1" t="n"/>
      <c r="B6" s="32">
        <f>'👥 Участники'!B6</f>
        <v/>
      </c>
      <c r="C6" s="33">
        <f>'👥 Участники'!C6</f>
        <v/>
      </c>
      <c r="D6" s="34">
        <f>'👥 Участники'!D6</f>
        <v/>
      </c>
      <c r="E6" s="40" t="n">
        <v>3</v>
      </c>
      <c r="F6" s="40" t="n"/>
      <c r="G6" s="40" t="n"/>
      <c r="H6" s="40" t="n"/>
      <c r="I6" s="36">
        <f>IF(AND(C6="",OR(E6="",E6=0)),"",(IF(E6=1,30,IF(E6=2,20,IF(E6=3,10,IF(E6&lt;&gt;"",1,0))))+IF(F6=1,30,IF(F6=2,20,IF(F6=3,10,IF(F6&lt;&gt;"",1,0))))+IF(G6=1,30,IF(G6=2,20,IF(G6=3,10,IF(G6&lt;&gt;"",1,0))))+IF(H6=1,30,IF(H6=2,20,IF(H6=3,10,IF(H6&lt;&gt;"",1,0))))))</f>
        <v/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143">
      <c r="A7" s="1" t="n"/>
      <c r="B7" s="37">
        <f>'👥 Участники'!B7</f>
        <v/>
      </c>
      <c r="C7" s="38">
        <f>'👥 Участники'!C7</f>
        <v/>
      </c>
      <c r="D7" s="39">
        <f>'👥 Участники'!D7</f>
        <v/>
      </c>
      <c r="E7" s="40" t="n">
        <v>1</v>
      </c>
      <c r="F7" s="40" t="n"/>
      <c r="G7" s="40" t="n"/>
      <c r="H7" s="40" t="n"/>
      <c r="I7" s="36">
        <f>IF(AND(C7="",OR(E7="",E7=0)),"",(IF(E7=1,30,IF(E7=2,20,IF(E7=3,10,IF(E7&lt;&gt;"",1,0))))+IF(F7=1,30,IF(F7=2,20,IF(F7=3,10,IF(F7&lt;&gt;"",1,0))))+IF(G7=1,30,IF(G7=2,20,IF(G7=3,10,IF(G7&lt;&gt;"",1,0))))+IF(H7=1,30,IF(H7=2,20,IF(H7=3,10,IF(H7&lt;&gt;"",1,0))))))</f>
        <v/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143">
      <c r="A8" s="1" t="n"/>
      <c r="B8" s="32">
        <f>'👥 Участники'!B8</f>
        <v/>
      </c>
      <c r="C8" s="33">
        <f>'👥 Участники'!C8</f>
        <v/>
      </c>
      <c r="D8" s="34">
        <f>'👥 Участники'!D8</f>
        <v/>
      </c>
      <c r="E8" s="40" t="n">
        <v>2</v>
      </c>
      <c r="F8" s="40" t="n"/>
      <c r="G8" s="40" t="n"/>
      <c r="H8" s="40" t="n"/>
      <c r="I8" s="36">
        <f>IF(AND(C8="",OR(E8="",E8=0)),"",(IF(E8=1,30,IF(E8=2,20,IF(E8=3,10,IF(E8&lt;&gt;"",1,0))))+IF(F8=1,30,IF(F8=2,20,IF(F8=3,10,IF(F8&lt;&gt;"",1,0))))+IF(G8=1,30,IF(G8=2,20,IF(G8=3,10,IF(G8&lt;&gt;"",1,0))))+IF(H8=1,30,IF(H8=2,20,IF(H8=3,10,IF(H8&lt;&gt;"",1,0))))))</f>
        <v/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143">
      <c r="A9" s="1" t="n"/>
      <c r="B9" s="37">
        <f>'👥 Участники'!B9</f>
        <v/>
      </c>
      <c r="C9" s="38">
        <f>'👥 Участники'!C9</f>
        <v/>
      </c>
      <c r="D9" s="39">
        <f>'👥 Участники'!D9</f>
        <v/>
      </c>
      <c r="E9" s="40" t="n">
        <v>1</v>
      </c>
      <c r="F9" s="40" t="n">
        <v>0</v>
      </c>
      <c r="G9" s="40" t="n"/>
      <c r="H9" s="40" t="n"/>
      <c r="I9" s="36">
        <f>IF(AND(C9="",OR(E9="",E9=0)),"",(IF(E9=1,30,IF(E9=2,20,IF(E9=3,10,IF(E9&lt;&gt;"",1,0))))+IF(F9=1,30,IF(F9=2,20,IF(F9=3,10,IF(F9&lt;&gt;"",1,0))))+IF(G9=1,30,IF(G9=2,20,IF(G9=3,10,IF(G9&lt;&gt;"",1,0))))+IF(H9=1,30,IF(H9=2,20,IF(H9=3,10,IF(H9&lt;&gt;"",1,0))))))</f>
        <v/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143">
      <c r="A10" s="1" t="n"/>
      <c r="B10" s="32">
        <f>'👥 Участники'!B10</f>
        <v/>
      </c>
      <c r="C10" s="33">
        <f>'👥 Участники'!C10</f>
        <v/>
      </c>
      <c r="D10" s="34">
        <f>'👥 Участники'!D10</f>
        <v/>
      </c>
      <c r="E10" s="40" t="n">
        <v>1</v>
      </c>
      <c r="F10" s="40" t="n"/>
      <c r="G10" s="40" t="n"/>
      <c r="H10" s="40" t="n"/>
      <c r="I10" s="36">
        <f>IF(AND(C10="",OR(E10="",E10=0)),"",(IF(E10=1,30,IF(E10=2,20,IF(E10=3,10,IF(E10&lt;&gt;"",1,0))))+IF(F10=1,30,IF(F10=2,20,IF(F10=3,10,IF(F10&lt;&gt;"",1,0))))+IF(G10=1,30,IF(G10=2,20,IF(G10=3,10,IF(G10&lt;&gt;"",1,0))))+IF(H10=1,30,IF(H10=2,20,IF(H10=3,10,IF(H10&lt;&gt;"",1,0))))))</f>
        <v/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143">
      <c r="A11" s="1" t="n"/>
      <c r="B11" s="37">
        <f>'👥 Участники'!B11</f>
        <v/>
      </c>
      <c r="C11" s="38">
        <f>'👥 Участники'!C11</f>
        <v/>
      </c>
      <c r="D11" s="39">
        <f>'👥 Участники'!D11</f>
        <v/>
      </c>
      <c r="E11" s="40" t="n">
        <v>1</v>
      </c>
      <c r="F11" s="40" t="n"/>
      <c r="G11" s="40" t="n"/>
      <c r="H11" s="40" t="n"/>
      <c r="I11" s="36">
        <f>IF(AND(C11="",OR(E11="",E11=0)),"",(IF(E11=1,30,IF(E11=2,20,IF(E11=3,10,IF(E11&lt;&gt;"",1,0))))+IF(F11=1,30,IF(F11=2,20,IF(F11=3,10,IF(F11&lt;&gt;"",1,0))))+IF(G11=1,30,IF(G11=2,20,IF(G11=3,10,IF(G11&lt;&gt;"",1,0))))+IF(H11=1,30,IF(H11=2,20,IF(H11=3,10,IF(H11&lt;&gt;"",1,0))))))</f>
        <v/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9.5" customHeight="1" s="143">
      <c r="A12" s="1" t="n"/>
      <c r="B12" s="32">
        <f>'👥 Участники'!B12</f>
        <v/>
      </c>
      <c r="C12" s="33">
        <f>'👥 Участники'!C12</f>
        <v/>
      </c>
      <c r="D12" s="34">
        <f>'👥 Участники'!D12</f>
        <v/>
      </c>
      <c r="E12" s="40" t="n">
        <v>2</v>
      </c>
      <c r="F12" s="40" t="n"/>
      <c r="G12" s="40" t="n"/>
      <c r="H12" s="40" t="n"/>
      <c r="I12" s="36">
        <f>IF(AND(C12="",OR(E12="",E12=0)),"",(IF(E12=1,30,IF(E12=2,20,IF(E12=3,10,IF(E12&lt;&gt;"",1,0))))+IF(F12=1,30,IF(F12=2,20,IF(F12=3,10,IF(F12&lt;&gt;"",1,0))))+IF(G12=1,30,IF(G12=2,20,IF(G12=3,10,IF(G12&lt;&gt;"",1,0))))+IF(H12=1,30,IF(H12=2,20,IF(H12=3,10,IF(H12&lt;&gt;"",1,0))))))</f>
        <v/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9.5" customHeight="1" s="143">
      <c r="A13" s="1" t="n"/>
      <c r="B13" s="37">
        <f>'👥 Участники'!B13</f>
        <v/>
      </c>
      <c r="C13" s="38">
        <f>'👥 Участники'!C13</f>
        <v/>
      </c>
      <c r="D13" s="39">
        <f>'👥 Участники'!D13</f>
        <v/>
      </c>
      <c r="E13" s="40" t="n">
        <v>2</v>
      </c>
      <c r="F13" s="40" t="n"/>
      <c r="G13" s="40" t="n"/>
      <c r="H13" s="40" t="n"/>
      <c r="I13" s="36">
        <f>IF(AND(C13="",OR(E13="",E13=0)),"",(IF(E13=1,30,IF(E13=2,20,IF(E13=3,10,IF(E13&lt;&gt;"",1,0))))+IF(F13=1,30,IF(F13=2,20,IF(F13=3,10,IF(F13&lt;&gt;"",1,0))))+IF(G13=1,30,IF(G13=2,20,IF(G13=3,10,IF(G13&lt;&gt;"",1,0))))+IF(H13=1,30,IF(H13=2,20,IF(H13=3,10,IF(H13&lt;&gt;"",1,0))))))</f>
        <v/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9.5" customHeight="1" s="143">
      <c r="A14" s="1" t="n"/>
      <c r="B14" s="32">
        <f>'👥 Участники'!B14</f>
        <v/>
      </c>
      <c r="C14" s="33">
        <f>'👥 Участники'!C14</f>
        <v/>
      </c>
      <c r="D14" s="34">
        <f>'👥 Участники'!D14</f>
        <v/>
      </c>
      <c r="E14" s="40" t="n">
        <v>0</v>
      </c>
      <c r="F14" s="40" t="n">
        <v>2</v>
      </c>
      <c r="G14" s="40" t="n"/>
      <c r="H14" s="40" t="n"/>
      <c r="I14" s="36">
        <f>IF(AND(C14="",OR(E14="",E14=0)),"",(IF(E14=1,30,IF(E14=2,20,IF(E14=3,10,IF(E14&lt;&gt;"",1,0))))+IF(F14=1,30,IF(F14=2,20,IF(F14=3,10,IF(F14&lt;&gt;"",1,0))))+IF(G14=1,30,IF(G14=2,20,IF(G14=3,10,IF(G14&lt;&gt;"",1,0))))+IF(H14=1,30,IF(H14=2,20,IF(H14=3,10,IF(H14&lt;&gt;"",1,0))))))</f>
        <v/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9.5" customHeight="1" s="143">
      <c r="A15" s="1" t="n"/>
      <c r="B15" s="37">
        <f>'👥 Участники'!B15</f>
        <v/>
      </c>
      <c r="C15" s="38">
        <f>'👥 Участники'!C15</f>
        <v/>
      </c>
      <c r="D15" s="39">
        <f>'👥 Участники'!D15</f>
        <v/>
      </c>
      <c r="E15" s="40" t="n">
        <v>1</v>
      </c>
      <c r="F15" s="40" t="n"/>
      <c r="G15" s="40" t="n"/>
      <c r="H15" s="40" t="n"/>
      <c r="I15" s="36">
        <f>IF(AND(C15="",OR(E15="",E15=0)),"",(IF(E15=1,30,IF(E15=2,20,IF(E15=3,10,IF(E15&lt;&gt;"",1,0))))+IF(F15=1,30,IF(F15=2,20,IF(F15=3,10,IF(F15&lt;&gt;"",1,0))))+IF(G15=1,30,IF(G15=2,20,IF(G15=3,10,IF(G15&lt;&gt;"",1,0))))+IF(H15=1,30,IF(H15=2,20,IF(H15=3,10,IF(H15&lt;&gt;"",1,0))))))</f>
        <v/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9.5" customHeight="1" s="143">
      <c r="A16" s="1" t="n"/>
      <c r="B16" s="32">
        <f>'👥 Участники'!B16</f>
        <v/>
      </c>
      <c r="C16" s="33">
        <f>'👥 Участники'!C16</f>
        <v/>
      </c>
      <c r="D16" s="34">
        <f>'👥 Участники'!D16</f>
        <v/>
      </c>
      <c r="E16" s="40" t="n">
        <v>2</v>
      </c>
      <c r="F16" s="40" t="n"/>
      <c r="G16" s="40" t="n"/>
      <c r="H16" s="40" t="n"/>
      <c r="I16" s="36">
        <f>IF(AND(C16="",OR(E16="",E16=0)),"",(IF(E16=1,30,IF(E16=2,20,IF(E16=3,10,IF(E16&lt;&gt;"",1,0))))+IF(F16=1,30,IF(F16=2,20,IF(F16=3,10,IF(F16&lt;&gt;"",1,0))))+IF(G16=1,30,IF(G16=2,20,IF(G16=3,10,IF(G16&lt;&gt;"",1,0))))+IF(H16=1,30,IF(H16=2,20,IF(H16=3,10,IF(H16&lt;&gt;"",1,0))))))</f>
        <v/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9.5" customHeight="1" s="143">
      <c r="A17" s="1" t="n"/>
      <c r="B17" s="37">
        <f>'👥 Участники'!B17</f>
        <v/>
      </c>
      <c r="C17" s="38">
        <f>'👥 Участники'!C17</f>
        <v/>
      </c>
      <c r="D17" s="39">
        <f>'👥 Участники'!D17</f>
        <v/>
      </c>
      <c r="E17" s="40" t="n">
        <v>3</v>
      </c>
      <c r="F17" s="40" t="n">
        <v>3</v>
      </c>
      <c r="G17" s="40" t="n"/>
      <c r="H17" s="40" t="n"/>
      <c r="I17" s="36">
        <f>IF(AND(C17="",OR(E17="",E17=0)),"",(IF(E17=1,30,IF(E17=2,20,IF(E17=3,10,IF(E17&lt;&gt;"",1,0))))+IF(F17=1,30,IF(F17=2,20,IF(F17=3,10,IF(F17&lt;&gt;"",1,0))))+IF(G17=1,30,IF(G17=2,20,IF(G17=3,10,IF(G17&lt;&gt;"",1,0))))+IF(H17=1,30,IF(H17=2,20,IF(H17=3,10,IF(H17&lt;&gt;"",1,0))))))</f>
        <v/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9.5" customHeight="1" s="143">
      <c r="A18" s="1" t="n"/>
      <c r="B18" s="32">
        <f>'👥 Участники'!B18</f>
        <v/>
      </c>
      <c r="C18" s="33">
        <f>'👥 Участники'!C18</f>
        <v/>
      </c>
      <c r="D18" s="34">
        <f>'👥 Участники'!D18</f>
        <v/>
      </c>
      <c r="E18" s="40" t="n">
        <v>1</v>
      </c>
      <c r="F18" s="40" t="n">
        <v>2</v>
      </c>
      <c r="G18" s="40" t="n"/>
      <c r="H18" s="40" t="n"/>
      <c r="I18" s="36">
        <f>IF(AND(C18="",OR(E18="",E18=0)),"",(IF(E18=1,30,IF(E18=2,20,IF(E18=3,10,IF(E18&lt;&gt;"",1,0))))+IF(F18=1,30,IF(F18=2,20,IF(F18=3,10,IF(F18&lt;&gt;"",1,0))))+IF(G18=1,30,IF(G18=2,20,IF(G18=3,10,IF(G18&lt;&gt;"",1,0))))+IF(H18=1,30,IF(H18=2,20,IF(H18=3,10,IF(H18&lt;&gt;"",1,0))))))</f>
        <v/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9.5" customHeight="1" s="143">
      <c r="A19" s="1" t="n"/>
      <c r="B19" s="37">
        <f>'👥 Участники'!B19</f>
        <v/>
      </c>
      <c r="C19" s="38">
        <f>'👥 Участники'!C19</f>
        <v/>
      </c>
      <c r="D19" s="39">
        <f>'👥 Участники'!D19</f>
        <v/>
      </c>
      <c r="E19" s="40" t="n">
        <v>2</v>
      </c>
      <c r="F19" s="40" t="n"/>
      <c r="G19" s="40" t="n"/>
      <c r="H19" s="40" t="n"/>
      <c r="I19" s="36">
        <f>IF(AND(C19="",OR(E19="",E19=0)),"",(IF(E19=1,30,IF(E19=2,20,IF(E19=3,10,IF(E19&lt;&gt;"",1,0))))+IF(F19=1,30,IF(F19=2,20,IF(F19=3,10,IF(F19&lt;&gt;"",1,0))))+IF(G19=1,30,IF(G19=2,20,IF(G19=3,10,IF(G19&lt;&gt;"",1,0))))+IF(H19=1,30,IF(H19=2,20,IF(H19=3,10,IF(H19&lt;&gt;"",1,0))))))</f>
        <v/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9.5" customHeight="1" s="143">
      <c r="A20" s="1" t="n"/>
      <c r="B20" s="32">
        <f>'👥 Участники'!B20</f>
        <v/>
      </c>
      <c r="C20" s="33">
        <f>'👥 Участники'!C20</f>
        <v/>
      </c>
      <c r="D20" s="34">
        <f>'👥 Участники'!D20</f>
        <v/>
      </c>
      <c r="E20" s="40" t="n">
        <v>1</v>
      </c>
      <c r="F20" s="40" t="n"/>
      <c r="G20" s="40" t="n"/>
      <c r="H20" s="40" t="n"/>
      <c r="I20" s="36">
        <f>IF(AND(C20="",OR(E20="",E20=0)),"",(IF(E20=1,30,IF(E20=2,20,IF(E20=3,10,IF(E20&lt;&gt;"",1,0))))+IF(F20=1,30,IF(F20=2,20,IF(F20=3,10,IF(F20&lt;&gt;"",1,0))))+IF(G20=1,30,IF(G20=2,20,IF(G20=3,10,IF(G20&lt;&gt;"",1,0))))+IF(H20=1,30,IF(H20=2,20,IF(H20=3,10,IF(H20&lt;&gt;"",1,0))))))</f>
        <v/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9.5" customHeight="1" s="143">
      <c r="A21" s="1" t="n"/>
      <c r="B21" s="37">
        <f>'👥 Участники'!B21</f>
        <v/>
      </c>
      <c r="C21" s="38">
        <f>'👥 Участники'!C21</f>
        <v/>
      </c>
      <c r="D21" s="39">
        <f>'👥 Участники'!D21</f>
        <v/>
      </c>
      <c r="E21" s="40" t="n">
        <v>3</v>
      </c>
      <c r="F21" s="40" t="n"/>
      <c r="G21" s="40" t="n"/>
      <c r="H21" s="40" t="n"/>
      <c r="I21" s="36">
        <f>IF(AND(C21="",OR(E21="",E21=0)),"",(IF(E21=1,30,IF(E21=2,20,IF(E21=3,10,IF(E21&lt;&gt;"",1,0))))+IF(F21=1,30,IF(F21=2,20,IF(F21=3,10,IF(F21&lt;&gt;"",1,0))))+IF(G21=1,30,IF(G21=2,20,IF(G21=3,10,IF(G21&lt;&gt;"",1,0))))+IF(H21=1,30,IF(H21=2,20,IF(H21=3,10,IF(H21&lt;&gt;"",1,0))))))</f>
        <v/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9.5" customHeight="1" s="143">
      <c r="A22" s="1" t="n"/>
      <c r="B22" s="32">
        <f>'👥 Участники'!B22</f>
        <v/>
      </c>
      <c r="C22" s="33">
        <f>'👥 Участники'!C22</f>
        <v/>
      </c>
      <c r="D22" s="34">
        <f>'👥 Участники'!D22</f>
        <v/>
      </c>
      <c r="E22" s="40" t="n"/>
      <c r="F22" s="40" t="n">
        <v>0</v>
      </c>
      <c r="G22" s="40" t="n">
        <v>0</v>
      </c>
      <c r="H22" s="40" t="n"/>
      <c r="I22" s="36">
        <f>IF(AND(C22="",OR(E22="",E22=0)),"",(IF(E22=1,30,IF(E22=2,20,IF(E22=3,10,IF(E22&lt;&gt;"",1,0))))+IF(F22=1,30,IF(F22=2,20,IF(F22=3,10,IF(F22&lt;&gt;"",1,0))))+IF(G22=1,30,IF(G22=2,20,IF(G22=3,10,IF(G22&lt;&gt;"",1,0))))+IF(H22=1,30,IF(H22=2,20,IF(H22=3,10,IF(H22&lt;&gt;"",1,0))))))</f>
        <v/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9.5" customHeight="1" s="143">
      <c r="A23" s="1" t="n"/>
      <c r="B23" s="37">
        <f>'👥 Участники'!B23</f>
        <v/>
      </c>
      <c r="C23" s="38">
        <f>'👥 Участники'!C23</f>
        <v/>
      </c>
      <c r="D23" s="39">
        <f>'👥 Участники'!D23</f>
        <v/>
      </c>
      <c r="E23" s="40" t="n"/>
      <c r="F23" s="40" t="n">
        <v>0</v>
      </c>
      <c r="G23" s="40" t="n">
        <v>0</v>
      </c>
      <c r="H23" s="40" t="n"/>
      <c r="I23" s="36">
        <f>IF(AND(C23="",OR(E23="",E23=0)),"",(IF(E23=1,30,IF(E23=2,20,IF(E23=3,10,IF(E23&lt;&gt;"",1,0))))+IF(F23=1,30,IF(F23=2,20,IF(F23=3,10,IF(F23&lt;&gt;"",1,0))))+IF(G23=1,30,IF(G23=2,20,IF(G23=3,10,IF(G23&lt;&gt;"",1,0))))+IF(H23=1,30,IF(H23=2,20,IF(H23=3,10,IF(H23&lt;&gt;"",1,0))))))</f>
        <v/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9.5" customHeight="1" s="143">
      <c r="A24" s="1" t="n"/>
      <c r="B24" s="32">
        <f>'👥 Участники'!B24</f>
        <v/>
      </c>
      <c r="C24" s="33">
        <f>'👥 Участники'!C24</f>
        <v/>
      </c>
      <c r="D24" s="34">
        <f>'👥 Участники'!D24</f>
        <v/>
      </c>
      <c r="E24" s="40" t="n">
        <v>0</v>
      </c>
      <c r="F24" s="40" t="n"/>
      <c r="G24" s="40" t="n"/>
      <c r="H24" s="40" t="n"/>
      <c r="I24" s="36">
        <f>IF(AND(C24="",OR(E24="",E24=0)),"",(IF(E24=1,30,IF(E24=2,20,IF(E24=3,10,IF(E24&lt;&gt;"",1,0))))+IF(F24=1,30,IF(F24=2,20,IF(F24=3,10,IF(F24&lt;&gt;"",1,0))))+IF(G24=1,30,IF(G24=2,20,IF(G24=3,10,IF(G24&lt;&gt;"",1,0))))+IF(H24=1,30,IF(H24=2,20,IF(H24=3,10,IF(H24&lt;&gt;"",1,0))))))</f>
        <v/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9.5" customHeight="1" s="143">
      <c r="A25" s="1" t="n"/>
      <c r="B25" s="37">
        <f>'👥 Участники'!B25</f>
        <v/>
      </c>
      <c r="C25" s="38">
        <f>'👥 Участники'!C25</f>
        <v/>
      </c>
      <c r="D25" s="39">
        <f>'👥 Участники'!D25</f>
        <v/>
      </c>
      <c r="E25" s="40" t="n">
        <v>0</v>
      </c>
      <c r="F25" s="40" t="n"/>
      <c r="G25" s="40" t="n"/>
      <c r="H25" s="40" t="n"/>
      <c r="I25" s="36">
        <f>IF(AND(C25="",OR(E25="",E25=0)),"",(IF(E25=1,30,IF(E25=2,20,IF(E25=3,10,IF(E25&lt;&gt;"",1,0))))+IF(F25=1,30,IF(F25=2,20,IF(F25=3,10,IF(F25&lt;&gt;"",1,0))))+IF(G25=1,30,IF(G25=2,20,IF(G25=3,10,IF(G25&lt;&gt;"",1,0))))+IF(H25=1,30,IF(H25=2,20,IF(H25=3,10,IF(H25&lt;&gt;"",1,0))))))</f>
        <v/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9.5" customHeight="1" s="143">
      <c r="A26" s="1" t="n"/>
      <c r="B26" s="32">
        <f>'👥 Участники'!B26</f>
        <v/>
      </c>
      <c r="C26" s="33">
        <f>'👥 Участники'!C26</f>
        <v/>
      </c>
      <c r="D26" s="34">
        <f>'👥 Участники'!D26</f>
        <v/>
      </c>
      <c r="E26" s="40" t="n">
        <v>0</v>
      </c>
      <c r="F26" s="40" t="n"/>
      <c r="G26" s="40" t="n"/>
      <c r="H26" s="40" t="n"/>
      <c r="I26" s="36">
        <f>IF(AND(C26="",OR(E26="",E26=0)),"",(IF(E26=1,30,IF(E26=2,20,IF(E26=3,10,IF(E26&lt;&gt;"",1,0))))+IF(F26=1,30,IF(F26=2,20,IF(F26=3,10,IF(F26&lt;&gt;"",1,0))))+IF(G26=1,30,IF(G26=2,20,IF(G26=3,10,IF(G26&lt;&gt;"",1,0))))+IF(H26=1,30,IF(H26=2,20,IF(H26=3,10,IF(H26&lt;&gt;"",1,0)))))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9.5" customHeight="1" s="143">
      <c r="A27" s="1" t="n"/>
      <c r="B27" s="37">
        <f>'👥 Участники'!B27</f>
        <v/>
      </c>
      <c r="C27" s="38">
        <f>'👥 Участники'!C27</f>
        <v/>
      </c>
      <c r="D27" s="39">
        <f>'👥 Участники'!D27</f>
        <v/>
      </c>
      <c r="E27" s="40" t="n">
        <v>0</v>
      </c>
      <c r="F27" s="40" t="n"/>
      <c r="G27" s="40" t="n"/>
      <c r="H27" s="40" t="n"/>
      <c r="I27" s="36">
        <f>IF(AND(C27="",OR(E27="",E27=0)),"",(IF(E27=1,30,IF(E27=2,20,IF(E27=3,10,IF(E27&lt;&gt;"",1,0))))+IF(F27=1,30,IF(F27=2,20,IF(F27=3,10,IF(F27&lt;&gt;"",1,0))))+IF(G27=1,30,IF(G27=2,20,IF(G27=3,10,IF(G27&lt;&gt;"",1,0))))+IF(H27=1,30,IF(H27=2,20,IF(H27=3,10,IF(H27&lt;&gt;"",1,0))))))</f>
        <v/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9.5" customHeight="1" s="143">
      <c r="A28" s="1" t="n"/>
      <c r="B28" s="32">
        <f>'👥 Участники'!B28</f>
        <v/>
      </c>
      <c r="C28" s="33">
        <f>'👥 Участники'!C28</f>
        <v/>
      </c>
      <c r="D28" s="34">
        <f>'👥 Участники'!D28</f>
        <v/>
      </c>
      <c r="E28" s="40" t="n">
        <v>0</v>
      </c>
      <c r="F28" s="40" t="n"/>
      <c r="G28" s="40" t="n"/>
      <c r="H28" s="40" t="n"/>
      <c r="I28" s="36">
        <f>IF(AND(C28="",OR(E28="",E28=0)),"",(IF(E28=1,30,IF(E28=2,20,IF(E28=3,10,IF(E28&lt;&gt;"",1,0))))+IF(F28=1,30,IF(F28=2,20,IF(F28=3,10,IF(F28&lt;&gt;"",1,0))))+IF(G28=1,30,IF(G28=2,20,IF(G28=3,10,IF(G28&lt;&gt;"",1,0))))+IF(H28=1,30,IF(H28=2,20,IF(H28=3,10,IF(H28&lt;&gt;"",1,0))))))</f>
        <v/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9.5" customHeight="1" s="143">
      <c r="A29" s="1" t="n"/>
      <c r="B29" s="37">
        <f>'👥 Участники'!B29</f>
        <v/>
      </c>
      <c r="C29" s="38">
        <f>'👥 Участники'!C29</f>
        <v/>
      </c>
      <c r="D29" s="39">
        <f>'👥 Участники'!D29</f>
        <v/>
      </c>
      <c r="E29" s="40" t="n">
        <v>0</v>
      </c>
      <c r="F29" s="40" t="n"/>
      <c r="G29" s="40" t="n"/>
      <c r="H29" s="40" t="n"/>
      <c r="I29" s="36">
        <f>IF(AND(C29="",OR(E29="",E29=0)),"",(IF(E29=1,30,IF(E29=2,20,IF(E29=3,10,IF(E29&lt;&gt;"",1,0))))+IF(F29=1,30,IF(F29=2,20,IF(F29=3,10,IF(F29&lt;&gt;"",1,0))))+IF(G29=1,30,IF(G29=2,20,IF(G29=3,10,IF(G29&lt;&gt;"",1,0))))+IF(H29=1,30,IF(H29=2,20,IF(H29=3,10,IF(H29&lt;&gt;"",1,0))))))</f>
        <v/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9.5" customHeight="1" s="143">
      <c r="A30" s="1" t="n"/>
      <c r="B30" s="32">
        <f>'👥 Участники'!B30</f>
        <v/>
      </c>
      <c r="C30" s="33">
        <f>'👥 Участники'!C30</f>
        <v/>
      </c>
      <c r="D30" s="34">
        <f>'👥 Участники'!D30</f>
        <v/>
      </c>
      <c r="E30" s="40" t="n">
        <v>0</v>
      </c>
      <c r="F30" s="40" t="n"/>
      <c r="G30" s="40" t="n"/>
      <c r="H30" s="40" t="n"/>
      <c r="I30" s="36">
        <f>IF(AND(C30="",OR(E30="",E30=0)),"",(IF(E30=1,30,IF(E30=2,20,IF(E30=3,10,IF(E30&lt;&gt;"",1,0))))+IF(F30=1,30,IF(F30=2,20,IF(F30=3,10,IF(F30&lt;&gt;"",1,0))))+IF(G30=1,30,IF(G30=2,20,IF(G30=3,10,IF(G30&lt;&gt;"",1,0))))+IF(H30=1,30,IF(H30=2,20,IF(H30=3,10,IF(H30&lt;&gt;"",1,0))))))</f>
        <v/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9.5" customHeight="1" s="143">
      <c r="A31" s="1" t="n"/>
      <c r="B31" s="37">
        <f>'👥 Участники'!B31</f>
        <v/>
      </c>
      <c r="C31" s="38">
        <f>'👥 Участники'!C31</f>
        <v/>
      </c>
      <c r="D31" s="39">
        <f>'👥 Участники'!D31</f>
        <v/>
      </c>
      <c r="E31" s="40" t="n">
        <v>0</v>
      </c>
      <c r="F31" s="40" t="n"/>
      <c r="G31" s="40" t="n"/>
      <c r="H31" s="40" t="n"/>
      <c r="I31" s="36">
        <f>IF(AND(C31="",OR(E31="",E31=0)),"",(IF(E31=1,30,IF(E31=2,20,IF(E31=3,10,IF(E31&lt;&gt;"",1,0))))+IF(F31=1,30,IF(F31=2,20,IF(F31=3,10,IF(F31&lt;&gt;"",1,0))))+IF(G31=1,30,IF(G31=2,20,IF(G31=3,10,IF(G31&lt;&gt;"",1,0))))+IF(H31=1,30,IF(H31=2,20,IF(H31=3,10,IF(H31&lt;&gt;"",1,0))))))</f>
        <v/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9.5" customHeight="1" s="143">
      <c r="A32" s="1" t="n"/>
      <c r="B32" s="32">
        <f>'👥 Участники'!B32</f>
        <v/>
      </c>
      <c r="C32" s="33">
        <f>'👥 Участники'!C32</f>
        <v/>
      </c>
      <c r="D32" s="34">
        <f>'👥 Участники'!D32</f>
        <v/>
      </c>
      <c r="E32" s="40" t="n">
        <v>0</v>
      </c>
      <c r="F32" s="40" t="n"/>
      <c r="G32" s="40" t="n"/>
      <c r="H32" s="40" t="n"/>
      <c r="I32" s="36">
        <f>IF(AND(C32="",OR(E32="",E32=0)),"",(IF(E32=1,30,IF(E32=2,20,IF(E32=3,10,IF(E32&lt;&gt;"",1,0))))+IF(F32=1,30,IF(F32=2,20,IF(F32=3,10,IF(F32&lt;&gt;"",1,0))))+IF(G32=1,30,IF(G32=2,20,IF(G32=3,10,IF(G32&lt;&gt;"",1,0))))+IF(H32=1,30,IF(H32=2,20,IF(H32=3,10,IF(H32&lt;&gt;"",1,0))))))</f>
        <v/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9.5" customHeight="1" s="143">
      <c r="A33" s="1" t="n"/>
      <c r="B33" s="37">
        <f>'👥 Участники'!B33</f>
        <v/>
      </c>
      <c r="C33" s="38">
        <f>'👥 Участники'!C33</f>
        <v/>
      </c>
      <c r="D33" s="39">
        <f>'👥 Участники'!D33</f>
        <v/>
      </c>
      <c r="E33" s="40" t="n">
        <v>0</v>
      </c>
      <c r="F33" s="40" t="n"/>
      <c r="G33" s="40" t="n"/>
      <c r="H33" s="40" t="n"/>
      <c r="I33" s="36">
        <f>IF(AND(C33="",OR(E33="",E33=0)),"",(IF(E33=1,30,IF(E33=2,20,IF(E33=3,10,IF(E33&lt;&gt;"",1,0))))+IF(F33=1,30,IF(F33=2,20,IF(F33=3,10,IF(F33&lt;&gt;"",1,0))))+IF(G33=1,30,IF(G33=2,20,IF(G33=3,10,IF(G33&lt;&gt;"",1,0))))+IF(H33=1,30,IF(H33=2,20,IF(H33=3,10,IF(H33&lt;&gt;"",1,0))))))</f>
        <v/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9.5" customHeight="1" s="143">
      <c r="A34" s="1" t="n"/>
      <c r="B34" s="32">
        <f>'👥 Участники'!B34</f>
        <v/>
      </c>
      <c r="C34" s="33">
        <f>'👥 Участники'!C34</f>
        <v/>
      </c>
      <c r="D34" s="34">
        <f>'👥 Участники'!D34</f>
        <v/>
      </c>
      <c r="E34" s="40" t="n">
        <v>3</v>
      </c>
      <c r="F34" s="40" t="n"/>
      <c r="G34" s="40" t="n"/>
      <c r="H34" s="40" t="n"/>
      <c r="I34" s="36">
        <f>IF(AND(C34="",OR(E34="",E34=0)),"",(IF(E34=1,30,IF(E34=2,20,IF(E34=3,10,IF(E34&lt;&gt;"",1,0))))+IF(F34=1,30,IF(F34=2,20,IF(F34=3,10,IF(F34&lt;&gt;"",1,0))))+IF(G34=1,30,IF(G34=2,20,IF(G34=3,10,IF(G34&lt;&gt;"",1,0))))+IF(H34=1,30,IF(H34=2,20,IF(H34=3,10,IF(H34&lt;&gt;"",1,0))))))</f>
        <v/>
      </c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9.5" customHeight="1" s="143">
      <c r="A35" s="1" t="n"/>
      <c r="B35" s="37">
        <f>'👥 Участники'!B35</f>
        <v/>
      </c>
      <c r="C35" s="38">
        <f>'👥 Участники'!C35</f>
        <v/>
      </c>
      <c r="D35" s="39">
        <f>'👥 Участники'!D35</f>
        <v/>
      </c>
      <c r="E35" s="40" t="n">
        <v>1</v>
      </c>
      <c r="F35" s="40" t="n"/>
      <c r="G35" s="40" t="n"/>
      <c r="H35" s="40" t="n"/>
      <c r="I35" s="36">
        <f>IF(AND(C35="",OR(E35="",E35=0)),"",(IF(E35=1,30,IF(E35=2,20,IF(E35=3,10,IF(E35&lt;&gt;"",1,0))))+IF(F35=1,30,IF(F35=2,20,IF(F35=3,10,IF(F35&lt;&gt;"",1,0))))+IF(G35=1,30,IF(G35=2,20,IF(G35=3,10,IF(G35&lt;&gt;"",1,0))))+IF(H35=1,30,IF(H35=2,20,IF(H35=3,10,IF(H35&lt;&gt;"",1,0)))))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9.5" customHeight="1" s="143">
      <c r="A36" s="1" t="n"/>
      <c r="B36" s="32">
        <f>'👥 Участники'!B36</f>
        <v/>
      </c>
      <c r="C36" s="33">
        <f>'👥 Участники'!C36</f>
        <v/>
      </c>
      <c r="D36" s="34">
        <f>'👥 Участники'!D36</f>
        <v/>
      </c>
      <c r="E36" s="40" t="n"/>
      <c r="F36" s="40" t="n"/>
      <c r="G36" s="40" t="n"/>
      <c r="H36" s="40" t="n"/>
      <c r="I36" s="36">
        <f>IF(AND(C36="",OR(E36="",E36=0)),"",(IF(E36=1,30,IF(E36=2,20,IF(E36=3,10,IF(E36&lt;&gt;"",1,0))))+IF(F36=1,30,IF(F36=2,20,IF(F36=3,10,IF(F36&lt;&gt;"",1,0))))+IF(G36=1,30,IF(G36=2,20,IF(G36=3,10,IF(G36&lt;&gt;"",1,0))))+IF(H36=1,30,IF(H36=2,20,IF(H36=3,10,IF(H36&lt;&gt;"",1,0))))))</f>
        <v/>
      </c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9.5" customHeight="1" s="143">
      <c r="A37" s="1" t="n"/>
      <c r="B37" s="37">
        <f>'👥 Участники'!B37</f>
        <v/>
      </c>
      <c r="C37" s="38">
        <f>'👥 Участники'!C37</f>
        <v/>
      </c>
      <c r="D37" s="39">
        <f>'👥 Участники'!D37</f>
        <v/>
      </c>
      <c r="E37" s="40" t="n"/>
      <c r="F37" s="40" t="n"/>
      <c r="G37" s="40" t="n"/>
      <c r="H37" s="40" t="n"/>
      <c r="I37" s="36">
        <f>IF(AND(C37="",OR(E37="",E37=0)),"",(IF(E37=1,30,IF(E37=2,20,IF(E37=3,10,IF(E37&lt;&gt;"",1,0))))+IF(F37=1,30,IF(F37=2,20,IF(F37=3,10,IF(F37&lt;&gt;"",1,0))))+IF(G37=1,30,IF(G37=2,20,IF(G37=3,10,IF(G37&lt;&gt;"",1,0))))+IF(H37=1,30,IF(H37=2,20,IF(H37=3,10,IF(H37&lt;&gt;"",1,0))))))</f>
        <v/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9.5" customHeight="1" s="143">
      <c r="A38" s="1" t="n"/>
      <c r="B38" s="32">
        <f>'👥 Участники'!B38</f>
        <v/>
      </c>
      <c r="C38" s="33">
        <f>'👥 Участники'!C38</f>
        <v/>
      </c>
      <c r="D38" s="34">
        <f>'👥 Участники'!D38</f>
        <v/>
      </c>
      <c r="E38" s="40" t="n"/>
      <c r="F38" s="40" t="n"/>
      <c r="G38" s="40" t="n"/>
      <c r="H38" s="40" t="n"/>
      <c r="I38" s="36">
        <f>IF(AND(C38="",OR(E38="",E38=0)),"",(IF(E38=1,30,IF(E38=2,20,IF(E38=3,10,IF(E38&lt;&gt;"",1,0))))+IF(F38=1,30,IF(F38=2,20,IF(F38=3,10,IF(F38&lt;&gt;"",1,0))))+IF(G38=1,30,IF(G38=2,20,IF(G38=3,10,IF(G38&lt;&gt;"",1,0))))+IF(H38=1,30,IF(H38=2,20,IF(H38=3,10,IF(H38&lt;&gt;"",1,0))))))</f>
        <v/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9.5" customHeight="1" s="143">
      <c r="A39" s="1" t="n"/>
      <c r="B39" s="37">
        <f>'👥 Участники'!B39</f>
        <v/>
      </c>
      <c r="C39" s="38">
        <f>'👥 Участники'!C39</f>
        <v/>
      </c>
      <c r="D39" s="39">
        <f>'👥 Участники'!D39</f>
        <v/>
      </c>
      <c r="E39" s="40" t="n"/>
      <c r="F39" s="40" t="n"/>
      <c r="G39" s="40" t="n"/>
      <c r="H39" s="40" t="n"/>
      <c r="I39" s="36">
        <f>IF(AND(C39="",OR(E39="",E39=0)),"",(IF(E39=1,30,IF(E39=2,20,IF(E39=3,10,IF(E39&lt;&gt;"",1,0))))+IF(F39=1,30,IF(F39=2,20,IF(F39=3,10,IF(F39&lt;&gt;"",1,0))))+IF(G39=1,30,IF(G39=2,20,IF(G39=3,10,IF(G39&lt;&gt;"",1,0))))+IF(H39=1,30,IF(H39=2,20,IF(H39=3,10,IF(H39&lt;&gt;"",1,0)))))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9.5" customHeight="1" s="143">
      <c r="A40" s="1" t="n"/>
      <c r="B40" s="32">
        <f>'👥 Участники'!B40</f>
        <v/>
      </c>
      <c r="C40" s="33">
        <f>'👥 Участники'!C40</f>
        <v/>
      </c>
      <c r="D40" s="34">
        <f>'👥 Участники'!D40</f>
        <v/>
      </c>
      <c r="E40" s="40" t="n"/>
      <c r="F40" s="40" t="n"/>
      <c r="G40" s="40" t="n"/>
      <c r="H40" s="40" t="n"/>
      <c r="I40" s="36">
        <f>IF(AND(C40="",OR(E40="",E40=0)),"",(IF(E40=1,30,IF(E40=2,20,IF(E40=3,10,IF(E40&lt;&gt;"",1,0))))+IF(F40=1,30,IF(F40=2,20,IF(F40=3,10,IF(F40&lt;&gt;"",1,0))))+IF(G40=1,30,IF(G40=2,20,IF(G40=3,10,IF(G40&lt;&gt;"",1,0))))+IF(H40=1,30,IF(H40=2,20,IF(H40=3,10,IF(H40&lt;&gt;"",1,0)))))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9.5" customHeight="1" s="143">
      <c r="A41" s="1" t="n"/>
      <c r="B41" s="37">
        <f>'👥 Участники'!B41</f>
        <v/>
      </c>
      <c r="C41" s="38">
        <f>'👥 Участники'!C41</f>
        <v/>
      </c>
      <c r="D41" s="39">
        <f>'👥 Участники'!D41</f>
        <v/>
      </c>
      <c r="E41" s="40" t="n"/>
      <c r="F41" s="40" t="n"/>
      <c r="G41" s="40" t="n"/>
      <c r="H41" s="40" t="n"/>
      <c r="I41" s="36">
        <f>IF(AND(C41="",OR(E41="",E41=0)),"",(IF(E41=1,30,IF(E41=2,20,IF(E41=3,10,IF(E41&lt;&gt;"",1,0))))+IF(F41=1,30,IF(F41=2,20,IF(F41=3,10,IF(F41&lt;&gt;"",1,0))))+IF(G41=1,30,IF(G41=2,20,IF(G41=3,10,IF(G41&lt;&gt;"",1,0))))+IF(H41=1,30,IF(H41=2,20,IF(H41=3,10,IF(H41&lt;&gt;"",1,0))))))</f>
        <v/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9.5" customHeight="1" s="143">
      <c r="A42" s="1" t="n"/>
      <c r="B42" s="32">
        <f>'👥 Участники'!B42</f>
        <v/>
      </c>
      <c r="C42" s="33">
        <f>'👥 Участники'!C42</f>
        <v/>
      </c>
      <c r="D42" s="34">
        <f>'👥 Участники'!D42</f>
        <v/>
      </c>
      <c r="E42" s="40" t="n"/>
      <c r="F42" s="40" t="n"/>
      <c r="G42" s="40" t="n"/>
      <c r="H42" s="40" t="n"/>
      <c r="I42" s="36">
        <f>IF(AND(C42="",OR(E42="",E42=0)),"",(IF(E42=1,30,IF(E42=2,20,IF(E42=3,10,IF(E42&lt;&gt;"",1,0))))+IF(F42=1,30,IF(F42=2,20,IF(F42=3,10,IF(F42&lt;&gt;"",1,0))))+IF(G42=1,30,IF(G42=2,20,IF(G42=3,10,IF(G42&lt;&gt;"",1,0))))+IF(H42=1,30,IF(H42=2,20,IF(H42=3,10,IF(H42&lt;&gt;"",1,0))))))</f>
        <v/>
      </c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9.5" customHeight="1" s="143">
      <c r="A43" s="1" t="n"/>
      <c r="B43" s="37">
        <f>'👥 Участники'!B43</f>
        <v/>
      </c>
      <c r="C43" s="38">
        <f>'👥 Участники'!C43</f>
        <v/>
      </c>
      <c r="D43" s="39">
        <f>'👥 Участники'!D43</f>
        <v/>
      </c>
      <c r="E43" s="40" t="n"/>
      <c r="F43" s="40" t="n"/>
      <c r="G43" s="40" t="n"/>
      <c r="H43" s="40" t="n"/>
      <c r="I43" s="36">
        <f>IF(AND(C43="",OR(E43="",E43=0)),"",(IF(E43=1,30,IF(E43=2,20,IF(E43=3,10,IF(E43&lt;&gt;"",1,0))))+IF(F43=1,30,IF(F43=2,20,IF(F43=3,10,IF(F43&lt;&gt;"",1,0))))+IF(G43=1,30,IF(G43=2,20,IF(G43=3,10,IF(G43&lt;&gt;"",1,0))))+IF(H43=1,30,IF(H43=2,20,IF(H43=3,10,IF(H43&lt;&gt;"",1,0))))))</f>
        <v/>
      </c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9.5" customHeight="1" s="143">
      <c r="A44" s="1" t="n"/>
      <c r="B44" s="32">
        <f>'👥 Участники'!B44</f>
        <v/>
      </c>
      <c r="C44" s="33">
        <f>'👥 Участники'!C44</f>
        <v/>
      </c>
      <c r="D44" s="34">
        <f>'👥 Участники'!D44</f>
        <v/>
      </c>
      <c r="E44" s="40" t="n"/>
      <c r="F44" s="40" t="n"/>
      <c r="G44" s="40" t="n"/>
      <c r="H44" s="40" t="n"/>
      <c r="I44" s="36">
        <f>IF(AND(C44="",OR(E44="",E44=0)),"",(IF(E44=1,30,IF(E44=2,20,IF(E44=3,10,IF(E44&lt;&gt;"",1,0))))+IF(F44=1,30,IF(F44=2,20,IF(F44=3,10,IF(F44&lt;&gt;"",1,0))))+IF(G44=1,30,IF(G44=2,20,IF(G44=3,10,IF(G44&lt;&gt;"",1,0))))+IF(H44=1,30,IF(H44=2,20,IF(H44=3,10,IF(H44&lt;&gt;"",1,0)))))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9.5" customHeight="1" s="143">
      <c r="A45" s="1" t="n"/>
      <c r="B45" s="37">
        <f>'👥 Участники'!B45</f>
        <v/>
      </c>
      <c r="C45" s="38">
        <f>'👥 Участники'!C45</f>
        <v/>
      </c>
      <c r="D45" s="39">
        <f>'👥 Участники'!D45</f>
        <v/>
      </c>
      <c r="E45" s="40" t="n"/>
      <c r="F45" s="40" t="n"/>
      <c r="G45" s="40" t="n"/>
      <c r="H45" s="40" t="n"/>
      <c r="I45" s="36">
        <f>IF(AND(C45="",OR(E45="",E45=0)),"",(IF(E45=1,30,IF(E45=2,20,IF(E45=3,10,IF(E45&lt;&gt;"",1,0))))+IF(F45=1,30,IF(F45=2,20,IF(F45=3,10,IF(F45&lt;&gt;"",1,0))))+IF(G45=1,30,IF(G45=2,20,IF(G45=3,10,IF(G45&lt;&gt;"",1,0))))+IF(H45=1,30,IF(H45=2,20,IF(H45=3,10,IF(H45&lt;&gt;"",1,0))))))</f>
        <v/>
      </c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9.5" customHeight="1" s="143">
      <c r="A46" s="1" t="n"/>
      <c r="B46" s="32">
        <f>'👥 Участники'!B46</f>
        <v/>
      </c>
      <c r="C46" s="33">
        <f>'👥 Участники'!C46</f>
        <v/>
      </c>
      <c r="D46" s="34">
        <f>'👥 Участники'!D46</f>
        <v/>
      </c>
      <c r="E46" s="40" t="n"/>
      <c r="F46" s="40" t="n"/>
      <c r="G46" s="40" t="n"/>
      <c r="H46" s="40" t="n"/>
      <c r="I46" s="36">
        <f>IF(AND(C46="",OR(E46="",E46=0)),"",(IF(E46=1,30,IF(E46=2,20,IF(E46=3,10,IF(E46&lt;&gt;"",1,0))))+IF(F46=1,30,IF(F46=2,20,IF(F46=3,10,IF(F46&lt;&gt;"",1,0))))+IF(G46=1,30,IF(G46=2,20,IF(G46=3,10,IF(G46&lt;&gt;"",1,0))))+IF(H46=1,30,IF(H46=2,20,IF(H46=3,10,IF(H46&lt;&gt;"",1,0))))))</f>
        <v/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9.5" customHeight="1" s="143">
      <c r="A47" s="1" t="n"/>
      <c r="B47" s="37">
        <f>'👥 Участники'!B47</f>
        <v/>
      </c>
      <c r="C47" s="38">
        <f>'👥 Участники'!C47</f>
        <v/>
      </c>
      <c r="D47" s="39">
        <f>'👥 Участники'!D47</f>
        <v/>
      </c>
      <c r="E47" s="40" t="n"/>
      <c r="F47" s="40" t="n"/>
      <c r="G47" s="40" t="n"/>
      <c r="H47" s="40" t="n"/>
      <c r="I47" s="36">
        <f>IF(AND(C47="",OR(E47="",E47=0)),"",(IF(E47=1,30,IF(E47=2,20,IF(E47=3,10,IF(E47&lt;&gt;"",1,0))))+IF(F47=1,30,IF(F47=2,20,IF(F47=3,10,IF(F47&lt;&gt;"",1,0))))+IF(G47=1,30,IF(G47=2,20,IF(G47=3,10,IF(G47&lt;&gt;"",1,0))))+IF(H47=1,30,IF(H47=2,20,IF(H47=3,10,IF(H47&lt;&gt;"",1,0))))))</f>
        <v/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9.5" customHeight="1" s="143">
      <c r="A48" s="1" t="n"/>
      <c r="B48" s="32">
        <f>'👥 Участники'!B48</f>
        <v/>
      </c>
      <c r="C48" s="33">
        <f>'👥 Участники'!C48</f>
        <v/>
      </c>
      <c r="D48" s="34">
        <f>'👥 Участники'!D48</f>
        <v/>
      </c>
      <c r="E48" s="40" t="n"/>
      <c r="F48" s="40" t="n"/>
      <c r="G48" s="40" t="n"/>
      <c r="H48" s="40" t="n"/>
      <c r="I48" s="36">
        <f>IF(AND(C48="",OR(E48="",E48=0)),"",(IF(E48=1,30,IF(E48=2,20,IF(E48=3,10,IF(E48&lt;&gt;"",1,0))))+IF(F48=1,30,IF(F48=2,20,IF(F48=3,10,IF(F48&lt;&gt;"",1,0))))+IF(G48=1,30,IF(G48=2,20,IF(G48=3,10,IF(G48&lt;&gt;"",1,0))))+IF(H48=1,30,IF(H48=2,20,IF(H48=3,10,IF(H48&lt;&gt;"",1,0)))))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9.5" customHeight="1" s="143">
      <c r="A49" s="1" t="n"/>
      <c r="B49" s="37">
        <f>'👥 Участники'!B49</f>
        <v/>
      </c>
      <c r="C49" s="38">
        <f>'👥 Участники'!C49</f>
        <v/>
      </c>
      <c r="D49" s="39">
        <f>'👥 Участники'!D49</f>
        <v/>
      </c>
      <c r="E49" s="40" t="n"/>
      <c r="F49" s="40" t="n"/>
      <c r="G49" s="40" t="n"/>
      <c r="H49" s="40" t="n"/>
      <c r="I49" s="36">
        <f>IF(AND(C49="",OR(E49="",E49=0)),"",(IF(E49=1,30,IF(E49=2,20,IF(E49=3,10,IF(E49&lt;&gt;"",1,0))))+IF(F49=1,30,IF(F49=2,20,IF(F49=3,10,IF(F49&lt;&gt;"",1,0))))+IF(G49=1,30,IF(G49=2,20,IF(G49=3,10,IF(G49&lt;&gt;"",1,0))))+IF(H49=1,30,IF(H49=2,20,IF(H49=3,10,IF(H49&lt;&gt;"",1,0))))))</f>
        <v/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9.5" customHeight="1" s="143">
      <c r="A50" s="1" t="n"/>
      <c r="B50" s="32">
        <f>'👥 Участники'!B50</f>
        <v/>
      </c>
      <c r="C50" s="33">
        <f>'👥 Участники'!C50</f>
        <v/>
      </c>
      <c r="D50" s="34">
        <f>'👥 Участники'!D50</f>
        <v/>
      </c>
      <c r="E50" s="40" t="n"/>
      <c r="F50" s="40" t="n"/>
      <c r="G50" s="40" t="n"/>
      <c r="H50" s="40" t="n"/>
      <c r="I50" s="36">
        <f>IF(AND(C50="",OR(E50="",E50=0)),"",(IF(E50=1,30,IF(E50=2,20,IF(E50=3,10,IF(E50&lt;&gt;"",1,0))))+IF(F50=1,30,IF(F50=2,20,IF(F50=3,10,IF(F50&lt;&gt;"",1,0))))+IF(G50=1,30,IF(G50=2,20,IF(G50=3,10,IF(G50&lt;&gt;"",1,0))))+IF(H50=1,30,IF(H50=2,20,IF(H50=3,10,IF(H50&lt;&gt;"",1,0))))))</f>
        <v/>
      </c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9.5" customHeight="1" s="143">
      <c r="A51" s="1" t="n"/>
      <c r="B51" s="37">
        <f>'👥 Участники'!B51</f>
        <v/>
      </c>
      <c r="C51" s="38">
        <f>'👥 Участники'!C51</f>
        <v/>
      </c>
      <c r="D51" s="39">
        <f>'👥 Участники'!D51</f>
        <v/>
      </c>
      <c r="E51" s="40" t="n"/>
      <c r="F51" s="40" t="n"/>
      <c r="G51" s="40" t="n"/>
      <c r="H51" s="40" t="n"/>
      <c r="I51" s="36">
        <f>IF(AND(C51="",OR(E51="",E51=0)),"",(IF(E51=1,30,IF(E51=2,20,IF(E51=3,10,IF(E51&lt;&gt;"",1,0))))+IF(F51=1,30,IF(F51=2,20,IF(F51=3,10,IF(F51&lt;&gt;"",1,0))))+IF(G51=1,30,IF(G51=2,20,IF(G51=3,10,IF(G51&lt;&gt;"",1,0))))+IF(H51=1,30,IF(H51=2,20,IF(H51=3,10,IF(H51&lt;&gt;"",1,0))))))</f>
        <v/>
      </c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9.5" customHeight="1" s="143">
      <c r="A52" s="1" t="n"/>
      <c r="B52" s="32">
        <f>'👥 Участники'!B52</f>
        <v/>
      </c>
      <c r="C52" s="33">
        <f>'👥 Участники'!C52</f>
        <v/>
      </c>
      <c r="D52" s="34">
        <f>'👥 Участники'!D52</f>
        <v/>
      </c>
      <c r="E52" s="40" t="n"/>
      <c r="F52" s="40" t="n"/>
      <c r="G52" s="40" t="n"/>
      <c r="H52" s="40" t="n"/>
      <c r="I52" s="36">
        <f>IF(AND(C52="",OR(E52="",E52=0)),"",(IF(E52=1,30,IF(E52=2,20,IF(E52=3,10,IF(E52&lt;&gt;"",1,0))))+IF(F52=1,30,IF(F52=2,20,IF(F52=3,10,IF(F52&lt;&gt;"",1,0))))+IF(G52=1,30,IF(G52=2,20,IF(G52=3,10,IF(G52&lt;&gt;"",1,0))))+IF(H52=1,30,IF(H52=2,20,IF(H52=3,10,IF(H52&lt;&gt;"",1,0))))))</f>
        <v/>
      </c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9.5" customHeight="1" s="143">
      <c r="A53" s="1" t="n"/>
      <c r="B53" s="37">
        <f>'👥 Участники'!B53</f>
        <v/>
      </c>
      <c r="C53" s="38">
        <f>'👥 Участники'!C53</f>
        <v/>
      </c>
      <c r="D53" s="39">
        <f>'👥 Участники'!D53</f>
        <v/>
      </c>
      <c r="E53" s="40" t="n"/>
      <c r="F53" s="40" t="n"/>
      <c r="G53" s="40" t="n"/>
      <c r="H53" s="40" t="n"/>
      <c r="I53" s="36">
        <f>IF(AND(C53="",OR(E53="",E53=0)),"",(IF(E53=1,30,IF(E53=2,20,IF(E53=3,10,IF(E53&lt;&gt;"",1,0))))+IF(F53=1,30,IF(F53=2,20,IF(F53=3,10,IF(F53&lt;&gt;"",1,0))))+IF(G53=1,30,IF(G53=2,20,IF(G53=3,10,IF(G53&lt;&gt;"",1,0))))+IF(H53=1,30,IF(H53=2,20,IF(H53=3,10,IF(H53&lt;&gt;"",1,0)))))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9.5" customHeight="1" s="143">
      <c r="A54" s="1" t="n"/>
      <c r="B54" s="32">
        <f>'👥 Участники'!B54</f>
        <v/>
      </c>
      <c r="C54" s="33">
        <f>'👥 Участники'!C54</f>
        <v/>
      </c>
      <c r="D54" s="34">
        <f>'👥 Участники'!D54</f>
        <v/>
      </c>
      <c r="E54" s="40" t="n"/>
      <c r="F54" s="40" t="n"/>
      <c r="G54" s="40" t="n"/>
      <c r="H54" s="40" t="n"/>
      <c r="I54" s="36">
        <f>IF(AND(C54="",OR(E54="",E54=0)),"",(IF(E54=1,30,IF(E54=2,20,IF(E54=3,10,IF(E54&lt;&gt;"",1,0))))+IF(F54=1,30,IF(F54=2,20,IF(F54=3,10,IF(F54&lt;&gt;"",1,0))))+IF(G54=1,30,IF(G54=2,20,IF(G54=3,10,IF(G54&lt;&gt;"",1,0))))+IF(H54=1,30,IF(H54=2,20,IF(H54=3,10,IF(H54&lt;&gt;"",1,0))))))</f>
        <v/>
      </c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9.5" customHeight="1" s="143">
      <c r="A55" s="1" t="n"/>
      <c r="B55" s="37">
        <f>'👥 Участники'!B55</f>
        <v/>
      </c>
      <c r="C55" s="38">
        <f>'👥 Участники'!C55</f>
        <v/>
      </c>
      <c r="D55" s="39">
        <f>'👥 Участники'!D55</f>
        <v/>
      </c>
      <c r="E55" s="40" t="n"/>
      <c r="F55" s="40" t="n"/>
      <c r="G55" s="40" t="n"/>
      <c r="H55" s="40" t="n"/>
      <c r="I55" s="36">
        <f>IF(AND(C55="",OR(E55="",E55=0)),"",(IF(E55=1,30,IF(E55=2,20,IF(E55=3,10,IF(E55&lt;&gt;"",1,0))))+IF(F55=1,30,IF(F55=2,20,IF(F55=3,10,IF(F55&lt;&gt;"",1,0))))+IF(G55=1,30,IF(G55=2,20,IF(G55=3,10,IF(G55&lt;&gt;"",1,0))))+IF(H55=1,30,IF(H55=2,20,IF(H55=3,10,IF(H55&lt;&gt;"",1,0))))))</f>
        <v/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9.5" customHeight="1" s="143">
      <c r="A56" s="1" t="n"/>
      <c r="B56" s="32">
        <f>'👥 Участники'!B56</f>
        <v/>
      </c>
      <c r="C56" s="33">
        <f>'👥 Участники'!C56</f>
        <v/>
      </c>
      <c r="D56" s="34">
        <f>'👥 Участники'!D56</f>
        <v/>
      </c>
      <c r="E56" s="40" t="n"/>
      <c r="F56" s="40" t="n"/>
      <c r="G56" s="40" t="n"/>
      <c r="H56" s="40" t="n"/>
      <c r="I56" s="36">
        <f>IF(AND(C56="",OR(E56="",E56=0)),"",(IF(E56=1,30,IF(E56=2,20,IF(E56=3,10,IF(E56&lt;&gt;"",1,0))))+IF(F56=1,30,IF(F56=2,20,IF(F56=3,10,IF(F56&lt;&gt;"",1,0))))+IF(G56=1,30,IF(G56=2,20,IF(G56=3,10,IF(G56&lt;&gt;"",1,0))))+IF(H56=1,30,IF(H56=2,20,IF(H56=3,10,IF(H56&lt;&gt;"",1,0))))))</f>
        <v/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9.5" customHeight="1" s="143">
      <c r="A57" s="1" t="n"/>
      <c r="B57" s="37">
        <f>'👥 Участники'!B57</f>
        <v/>
      </c>
      <c r="C57" s="38">
        <f>'👥 Участники'!C57</f>
        <v/>
      </c>
      <c r="D57" s="39">
        <f>'👥 Участники'!D57</f>
        <v/>
      </c>
      <c r="E57" s="40" t="n"/>
      <c r="F57" s="40" t="n"/>
      <c r="G57" s="40" t="n"/>
      <c r="H57" s="40" t="n"/>
      <c r="I57" s="36">
        <f>IF(AND(C57="",OR(E57="",E57=0)),"",(IF(E57=1,30,IF(E57=2,20,IF(E57=3,10,IF(E57&lt;&gt;"",1,0))))+IF(F57=1,30,IF(F57=2,20,IF(F57=3,10,IF(F57&lt;&gt;"",1,0))))+IF(G57=1,30,IF(G57=2,20,IF(G57=3,10,IF(G57&lt;&gt;"",1,0))))+IF(H57=1,30,IF(H57=2,20,IF(H57=3,10,IF(H57&lt;&gt;"",1,0)))))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9.5" customHeight="1" s="143">
      <c r="A58" s="1" t="n"/>
      <c r="B58" s="32">
        <f>'👥 Участники'!B58</f>
        <v/>
      </c>
      <c r="C58" s="33">
        <f>'👥 Участники'!C58</f>
        <v/>
      </c>
      <c r="D58" s="34">
        <f>'👥 Участники'!D58</f>
        <v/>
      </c>
      <c r="E58" s="40" t="n"/>
      <c r="F58" s="40" t="n"/>
      <c r="G58" s="40" t="n"/>
      <c r="H58" s="40" t="n"/>
      <c r="I58" s="36">
        <f>IF(AND(C58="",OR(E58="",E58=0)),"",(IF(E58=1,30,IF(E58=2,20,IF(E58=3,10,IF(E58&lt;&gt;"",1,0))))+IF(F58=1,30,IF(F58=2,20,IF(F58=3,10,IF(F58&lt;&gt;"",1,0))))+IF(G58=1,30,IF(G58=2,20,IF(G58=3,10,IF(G58&lt;&gt;"",1,0))))+IF(H58=1,30,IF(H58=2,20,IF(H58=3,10,IF(H58&lt;&gt;"",1,0)))))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9.5" customHeight="1" s="143">
      <c r="A59" s="1" t="n"/>
      <c r="B59" s="37">
        <f>'👥 Участники'!B59</f>
        <v/>
      </c>
      <c r="C59" s="38">
        <f>'👥 Участники'!C59</f>
        <v/>
      </c>
      <c r="D59" s="39">
        <f>'👥 Участники'!D59</f>
        <v/>
      </c>
      <c r="E59" s="40" t="n"/>
      <c r="F59" s="40" t="n"/>
      <c r="G59" s="40" t="n"/>
      <c r="H59" s="40" t="n"/>
      <c r="I59" s="36">
        <f>IF(AND(C59="",OR(E59="",E59=0)),"",(IF(E59=1,30,IF(E59=2,20,IF(E59=3,10,IF(E59&lt;&gt;"",1,0))))+IF(F59=1,30,IF(F59=2,20,IF(F59=3,10,IF(F59&lt;&gt;"",1,0))))+IF(G59=1,30,IF(G59=2,20,IF(G59=3,10,IF(G59&lt;&gt;"",1,0))))+IF(H59=1,30,IF(H59=2,20,IF(H59=3,10,IF(H59&lt;&gt;"",1,0))))))</f>
        <v/>
      </c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9.5" customHeight="1" s="143">
      <c r="A60" s="1" t="n"/>
      <c r="B60" s="32">
        <f>'👥 Участники'!B60</f>
        <v/>
      </c>
      <c r="C60" s="33">
        <f>'👥 Участники'!C60</f>
        <v/>
      </c>
      <c r="D60" s="34">
        <f>'👥 Участники'!D60</f>
        <v/>
      </c>
      <c r="E60" s="40" t="n"/>
      <c r="F60" s="40" t="n"/>
      <c r="G60" s="40" t="n"/>
      <c r="H60" s="40" t="n"/>
      <c r="I60" s="36">
        <f>IF(AND(C60="",OR(E60="",E60=0)),"",(IF(E60=1,30,IF(E60=2,20,IF(E60=3,10,IF(E60&lt;&gt;"",1,0))))+IF(F60=1,30,IF(F60=2,20,IF(F60=3,10,IF(F60&lt;&gt;"",1,0))))+IF(G60=1,30,IF(G60=2,20,IF(G60=3,10,IF(G60&lt;&gt;"",1,0))))+IF(H60=1,30,IF(H60=2,20,IF(H60=3,10,IF(H60&lt;&gt;"",1,0))))))</f>
        <v/>
      </c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143">
      <c r="A61" s="1" t="n"/>
      <c r="B61" s="37">
        <f>'👥 Участники'!B61</f>
        <v/>
      </c>
      <c r="C61" s="38">
        <f>'👥 Участники'!C61</f>
        <v/>
      </c>
      <c r="D61" s="39">
        <f>'👥 Участники'!D61</f>
        <v/>
      </c>
      <c r="E61" s="40" t="n"/>
      <c r="F61" s="40" t="n"/>
      <c r="G61" s="40" t="n"/>
      <c r="H61" s="40" t="n"/>
      <c r="I61" s="36">
        <f>IF(AND(C61="",OR(E61="",E61=0)),"",(IF(E61=1,30,IF(E61=2,20,IF(E61=3,10,IF(E61&lt;&gt;"",1,0))))+IF(F61=1,30,IF(F61=2,20,IF(F61=3,10,IF(F61&lt;&gt;"",1,0))))+IF(G61=1,30,IF(G61=2,20,IF(G61=3,10,IF(G61&lt;&gt;"",1,0))))+IF(H61=1,30,IF(H61=2,20,IF(H61=3,10,IF(H61&lt;&gt;"",1,0))))))</f>
        <v/>
      </c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9.5" customHeight="1" s="143">
      <c r="A62" s="1" t="n"/>
      <c r="B62" s="32">
        <f>'👥 Участники'!B62</f>
        <v/>
      </c>
      <c r="C62" s="33">
        <f>'👥 Участники'!C62</f>
        <v/>
      </c>
      <c r="D62" s="34">
        <f>'👥 Участники'!D62</f>
        <v/>
      </c>
      <c r="E62" s="40" t="n"/>
      <c r="F62" s="40" t="n"/>
      <c r="G62" s="40" t="n"/>
      <c r="H62" s="40" t="n"/>
      <c r="I62" s="36">
        <f>IF(AND(C62="",OR(E62="",E62=0)),"",(IF(E62=1,30,IF(E62=2,20,IF(E62=3,10,IF(E62&lt;&gt;"",1,0))))+IF(F62=1,30,IF(F62=2,20,IF(F62=3,10,IF(F62&lt;&gt;"",1,0))))+IF(G62=1,30,IF(G62=2,20,IF(G62=3,10,IF(G62&lt;&gt;"",1,0))))+IF(H62=1,30,IF(H62=2,20,IF(H62=3,10,IF(H62&lt;&gt;"",1,0)))))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9.5" customHeight="1" s="143">
      <c r="A63" s="1" t="n"/>
      <c r="B63" s="37">
        <f>'👥 Участники'!B63</f>
        <v/>
      </c>
      <c r="C63" s="38">
        <f>'👥 Участники'!C63</f>
        <v/>
      </c>
      <c r="D63" s="39">
        <f>'👥 Участники'!D63</f>
        <v/>
      </c>
      <c r="E63" s="40" t="n"/>
      <c r="F63" s="40" t="n"/>
      <c r="G63" s="40" t="n"/>
      <c r="H63" s="40" t="n"/>
      <c r="I63" s="36">
        <f>IF(AND(C63="",OR(E63="",E63=0)),"",(IF(E63=1,30,IF(E63=2,20,IF(E63=3,10,IF(E63&lt;&gt;"",1,0))))+IF(F63=1,30,IF(F63=2,20,IF(F63=3,10,IF(F63&lt;&gt;"",1,0))))+IF(G63=1,30,IF(G63=2,20,IF(G63=3,10,IF(G63&lt;&gt;"",1,0))))+IF(H63=1,30,IF(H63=2,20,IF(H63=3,10,IF(H63&lt;&gt;"",1,0))))))</f>
        <v/>
      </c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9.5" customHeight="1" s="143">
      <c r="A64" s="1" t="n"/>
      <c r="B64" s="32">
        <f>'👥 Участники'!B64</f>
        <v/>
      </c>
      <c r="C64" s="33">
        <f>'👥 Участники'!C64</f>
        <v/>
      </c>
      <c r="D64" s="34">
        <f>'👥 Участники'!D64</f>
        <v/>
      </c>
      <c r="E64" s="40" t="n"/>
      <c r="F64" s="40" t="n"/>
      <c r="G64" s="40" t="n"/>
      <c r="H64" s="40" t="n"/>
      <c r="I64" s="36">
        <f>IF(AND(C64="",OR(E64="",E64=0)),"",(IF(E64=1,30,IF(E64=2,20,IF(E64=3,10,IF(E64&lt;&gt;"",1,0))))+IF(F64=1,30,IF(F64=2,20,IF(F64=3,10,IF(F64&lt;&gt;"",1,0))))+IF(G64=1,30,IF(G64=2,20,IF(G64=3,10,IF(G64&lt;&gt;"",1,0))))+IF(H64=1,30,IF(H64=2,20,IF(H64=3,10,IF(H64&lt;&gt;"",1,0))))))</f>
        <v/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9.5" customHeight="1" s="143">
      <c r="A65" s="1" t="n"/>
      <c r="B65" s="37">
        <f>'👥 Участники'!B65</f>
        <v/>
      </c>
      <c r="C65" s="38">
        <f>'👥 Участники'!C65</f>
        <v/>
      </c>
      <c r="D65" s="39">
        <f>'👥 Участники'!D65</f>
        <v/>
      </c>
      <c r="E65" s="40" t="n"/>
      <c r="F65" s="40" t="n"/>
      <c r="G65" s="40" t="n"/>
      <c r="H65" s="40" t="n"/>
      <c r="I65" s="36">
        <f>IF(AND(C65="",OR(E65="",E65=0)),"",(IF(E65=1,30,IF(E65=2,20,IF(E65=3,10,IF(E65&lt;&gt;"",1,0))))+IF(F65=1,30,IF(F65=2,20,IF(F65=3,10,IF(F65&lt;&gt;"",1,0))))+IF(G65=1,30,IF(G65=2,20,IF(G65=3,10,IF(G65&lt;&gt;"",1,0))))+IF(H65=1,30,IF(H65=2,20,IF(H65=3,10,IF(H65&lt;&gt;"",1,0))))))</f>
        <v/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9.5" customHeight="1" s="143">
      <c r="A66" s="1" t="n"/>
      <c r="B66" s="32">
        <f>'👥 Участники'!B66</f>
        <v/>
      </c>
      <c r="C66" s="33">
        <f>'👥 Участники'!C66</f>
        <v/>
      </c>
      <c r="D66" s="34">
        <f>'👥 Участники'!D66</f>
        <v/>
      </c>
      <c r="E66" s="40" t="n"/>
      <c r="F66" s="40" t="n"/>
      <c r="G66" s="40" t="n"/>
      <c r="H66" s="40" t="n"/>
      <c r="I66" s="36">
        <f>IF(AND(C66="",OR(E66="",E66=0)),"",(IF(E66=1,30,IF(E66=2,20,IF(E66=3,10,IF(E66&lt;&gt;"",1,0))))+IF(F66=1,30,IF(F66=2,20,IF(F66=3,10,IF(F66&lt;&gt;"",1,0))))+IF(G66=1,30,IF(G66=2,20,IF(G66=3,10,IF(G66&lt;&gt;"",1,0))))+IF(H66=1,30,IF(H66=2,20,IF(H66=3,10,IF(H66&lt;&gt;"",1,0)))))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9.5" customHeight="1" s="143">
      <c r="A67" s="1" t="n"/>
      <c r="B67" s="37">
        <f>'👥 Участники'!B67</f>
        <v/>
      </c>
      <c r="C67" s="38">
        <f>'👥 Участники'!C67</f>
        <v/>
      </c>
      <c r="D67" s="39">
        <f>'👥 Участники'!D67</f>
        <v/>
      </c>
      <c r="E67" s="40" t="n"/>
      <c r="F67" s="40" t="n"/>
      <c r="G67" s="40" t="n"/>
      <c r="H67" s="40" t="n"/>
      <c r="I67" s="36">
        <f>IF(AND(C67="",OR(E67="",E67=0)),"",(IF(E67=1,30,IF(E67=2,20,IF(E67=3,10,IF(E67&lt;&gt;"",1,0))))+IF(F67=1,30,IF(F67=2,20,IF(F67=3,10,IF(F67&lt;&gt;"",1,0))))+IF(G67=1,30,IF(G67=2,20,IF(G67=3,10,IF(G67&lt;&gt;"",1,0))))+IF(H67=1,30,IF(H67=2,20,IF(H67=3,10,IF(H67&lt;&gt;"",1,0)))))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9.5" customHeight="1" s="143">
      <c r="A68" s="1" t="n"/>
      <c r="B68" s="32">
        <f>'👥 Участники'!B68</f>
        <v/>
      </c>
      <c r="C68" s="33">
        <f>'👥 Участники'!C68</f>
        <v/>
      </c>
      <c r="D68" s="34">
        <f>'👥 Участники'!D68</f>
        <v/>
      </c>
      <c r="E68" s="40" t="n"/>
      <c r="F68" s="40" t="n"/>
      <c r="G68" s="40" t="n"/>
      <c r="H68" s="40" t="n"/>
      <c r="I68" s="36">
        <f>IF(AND(C68="",OR(E68="",E68=0)),"",(IF(E68=1,30,IF(E68=2,20,IF(E68=3,10,IF(E68&lt;&gt;"",1,0))))+IF(F68=1,30,IF(F68=2,20,IF(F68=3,10,IF(F68&lt;&gt;"",1,0))))+IF(G68=1,30,IF(G68=2,20,IF(G68=3,10,IF(G68&lt;&gt;"",1,0))))+IF(H68=1,30,IF(H68=2,20,IF(H68=3,10,IF(H68&lt;&gt;"",1,0))))))</f>
        <v/>
      </c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9.5" customHeight="1" s="143">
      <c r="A69" s="1" t="n"/>
      <c r="B69" s="37">
        <f>'👥 Участники'!B69</f>
        <v/>
      </c>
      <c r="C69" s="38">
        <f>'👥 Участники'!C69</f>
        <v/>
      </c>
      <c r="D69" s="39">
        <f>'👥 Участники'!D69</f>
        <v/>
      </c>
      <c r="E69" s="40" t="n"/>
      <c r="F69" s="40" t="n"/>
      <c r="G69" s="40" t="n"/>
      <c r="H69" s="40" t="n"/>
      <c r="I69" s="36">
        <f>IF(AND(C69="",OR(E69="",E69=0)),"",(IF(E69=1,30,IF(E69=2,20,IF(E69=3,10,IF(E69&lt;&gt;"",1,0))))+IF(F69=1,30,IF(F69=2,20,IF(F69=3,10,IF(F69&lt;&gt;"",1,0))))+IF(G69=1,30,IF(G69=2,20,IF(G69=3,10,IF(G69&lt;&gt;"",1,0))))+IF(H69=1,30,IF(H69=2,20,IF(H69=3,10,IF(H69&lt;&gt;"",1,0))))))</f>
        <v/>
      </c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9.5" customHeight="1" s="143">
      <c r="A70" s="1" t="n"/>
      <c r="B70" s="32">
        <f>'👥 Участники'!B70</f>
        <v/>
      </c>
      <c r="C70" s="33">
        <f>'👥 Участники'!C70</f>
        <v/>
      </c>
      <c r="D70" s="34">
        <f>'👥 Участники'!D70</f>
        <v/>
      </c>
      <c r="E70" s="40" t="n"/>
      <c r="F70" s="40" t="n"/>
      <c r="G70" s="40" t="n"/>
      <c r="H70" s="40" t="n"/>
      <c r="I70" s="36">
        <f>IF(AND(C70="",OR(E70="",E70=0)),"",(IF(E70=1,30,IF(E70=2,20,IF(E70=3,10,IF(E70&lt;&gt;"",1,0))))+IF(F70=1,30,IF(F70=2,20,IF(F70=3,10,IF(F70&lt;&gt;"",1,0))))+IF(G70=1,30,IF(G70=2,20,IF(G70=3,10,IF(G70&lt;&gt;"",1,0))))+IF(H70=1,30,IF(H70=2,20,IF(H70=3,10,IF(H70&lt;&gt;"",1,0))))))</f>
        <v/>
      </c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9.5" customHeight="1" s="143">
      <c r="A71" s="1" t="n"/>
      <c r="B71" s="37">
        <f>'👥 Участники'!B71</f>
        <v/>
      </c>
      <c r="C71" s="38">
        <f>'👥 Участники'!C71</f>
        <v/>
      </c>
      <c r="D71" s="39">
        <f>'👥 Участники'!D71</f>
        <v/>
      </c>
      <c r="E71" s="40" t="n"/>
      <c r="F71" s="40" t="n"/>
      <c r="G71" s="40" t="n"/>
      <c r="H71" s="40" t="n"/>
      <c r="I71" s="36">
        <f>IF(AND(C71="",OR(E71="",E71=0)),"",(IF(E71=1,30,IF(E71=2,20,IF(E71=3,10,IF(E71&lt;&gt;"",1,0))))+IF(F71=1,30,IF(F71=2,20,IF(F71=3,10,IF(F71&lt;&gt;"",1,0))))+IF(G71=1,30,IF(G71=2,20,IF(G71=3,10,IF(G71&lt;&gt;"",1,0))))+IF(H71=1,30,IF(H71=2,20,IF(H71=3,10,IF(H71&lt;&gt;"",1,0)))))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9.5" customHeight="1" s="143">
      <c r="A72" s="1" t="n"/>
      <c r="B72" s="32">
        <f>'👥 Участники'!B72</f>
        <v/>
      </c>
      <c r="C72" s="33">
        <f>'👥 Участники'!C72</f>
        <v/>
      </c>
      <c r="D72" s="34">
        <f>'👥 Участники'!D72</f>
        <v/>
      </c>
      <c r="E72" s="40" t="n"/>
      <c r="F72" s="40" t="n"/>
      <c r="G72" s="40" t="n"/>
      <c r="H72" s="40" t="n"/>
      <c r="I72" s="36">
        <f>IF(AND(C72="",OR(E72="",E72=0)),"",(IF(E72=1,30,IF(E72=2,20,IF(E72=3,10,IF(E72&lt;&gt;"",1,0))))+IF(F72=1,30,IF(F72=2,20,IF(F72=3,10,IF(F72&lt;&gt;"",1,0))))+IF(G72=1,30,IF(G72=2,20,IF(G72=3,10,IF(G72&lt;&gt;"",1,0))))+IF(H72=1,30,IF(H72=2,20,IF(H72=3,10,IF(H72&lt;&gt;"",1,0))))))</f>
        <v/>
      </c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9.5" customHeight="1" s="143">
      <c r="A73" s="1" t="n"/>
      <c r="B73" s="37">
        <f>'👥 Участники'!B73</f>
        <v/>
      </c>
      <c r="C73" s="38">
        <f>'👥 Участники'!C73</f>
        <v/>
      </c>
      <c r="D73" s="39">
        <f>'👥 Участники'!D73</f>
        <v/>
      </c>
      <c r="E73" s="40" t="n"/>
      <c r="F73" s="40" t="n"/>
      <c r="G73" s="40" t="n"/>
      <c r="H73" s="40" t="n"/>
      <c r="I73" s="36">
        <f>IF(AND(C73="",OR(E73="",E73=0)),"",(IF(E73=1,30,IF(E73=2,20,IF(E73=3,10,IF(E73&lt;&gt;"",1,0))))+IF(F73=1,30,IF(F73=2,20,IF(F73=3,10,IF(F73&lt;&gt;"",1,0))))+IF(G73=1,30,IF(G73=2,20,IF(G73=3,10,IF(G73&lt;&gt;"",1,0))))+IF(H73=1,30,IF(H73=2,20,IF(H73=3,10,IF(H73&lt;&gt;"",1,0))))))</f>
        <v/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9.5" customHeight="1" s="143">
      <c r="A74" s="1" t="n"/>
      <c r="B74" s="32">
        <f>'👥 Участники'!B74</f>
        <v/>
      </c>
      <c r="C74" s="33">
        <f>'👥 Участники'!C74</f>
        <v/>
      </c>
      <c r="D74" s="34">
        <f>'👥 Участники'!D74</f>
        <v/>
      </c>
      <c r="E74" s="40" t="n"/>
      <c r="F74" s="40" t="n"/>
      <c r="G74" s="40" t="n"/>
      <c r="H74" s="40" t="n"/>
      <c r="I74" s="36">
        <f>IF(AND(C74="",OR(E74="",E74=0)),"",(IF(E74=1,30,IF(E74=2,20,IF(E74=3,10,IF(E74&lt;&gt;"",1,0))))+IF(F74=1,30,IF(F74=2,20,IF(F74=3,10,IF(F74&lt;&gt;"",1,0))))+IF(G74=1,30,IF(G74=2,20,IF(G74=3,10,IF(G74&lt;&gt;"",1,0))))+IF(H74=1,30,IF(H74=2,20,IF(H74=3,10,IF(H74&lt;&gt;"",1,0))))))</f>
        <v/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9.5" customHeight="1" s="143">
      <c r="A75" s="1" t="n"/>
      <c r="B75" s="37">
        <f>'👥 Участники'!B75</f>
        <v/>
      </c>
      <c r="C75" s="38">
        <f>'👥 Участники'!C75</f>
        <v/>
      </c>
      <c r="D75" s="39">
        <f>'👥 Участники'!D75</f>
        <v/>
      </c>
      <c r="E75" s="40" t="n"/>
      <c r="F75" s="40" t="n"/>
      <c r="G75" s="40" t="n"/>
      <c r="H75" s="40" t="n"/>
      <c r="I75" s="36">
        <f>IF(AND(C75="",OR(E75="",E75=0)),"",(IF(E75=1,30,IF(E75=2,20,IF(E75=3,10,IF(E75&lt;&gt;"",1,0))))+IF(F75=1,30,IF(F75=2,20,IF(F75=3,10,IF(F75&lt;&gt;"",1,0))))+IF(G75=1,30,IF(G75=2,20,IF(G75=3,10,IF(G75&lt;&gt;"",1,0))))+IF(H75=1,30,IF(H75=2,20,IF(H75=3,10,IF(H75&lt;&gt;"",1,0)))))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143">
      <c r="A76" s="1" t="n"/>
      <c r="B76" s="32">
        <f>'👥 Участники'!B76</f>
        <v/>
      </c>
      <c r="C76" s="33">
        <f>'👥 Участники'!C76</f>
        <v/>
      </c>
      <c r="D76" s="34">
        <f>'👥 Участники'!D76</f>
        <v/>
      </c>
      <c r="E76" s="40" t="n"/>
      <c r="F76" s="40" t="n"/>
      <c r="G76" s="40" t="n"/>
      <c r="H76" s="40" t="n"/>
      <c r="I76" s="36">
        <f>IF(AND(C76="",OR(E76="",E76=0)),"",(IF(E76=1,30,IF(E76=2,20,IF(E76=3,10,IF(E76&lt;&gt;"",1,0))))+IF(F76=1,30,IF(F76=2,20,IF(F76=3,10,IF(F76&lt;&gt;"",1,0))))+IF(G76=1,30,IF(G76=2,20,IF(G76=3,10,IF(G76&lt;&gt;"",1,0))))+IF(H76=1,30,IF(H76=2,20,IF(H76=3,10,IF(H76&lt;&gt;"",1,0)))))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143">
      <c r="A77" s="1" t="n"/>
      <c r="B77" s="37">
        <f>'👥 Участники'!B77</f>
        <v/>
      </c>
      <c r="C77" s="38">
        <f>'👥 Участники'!C77</f>
        <v/>
      </c>
      <c r="D77" s="39">
        <f>'👥 Участники'!D77</f>
        <v/>
      </c>
      <c r="E77" s="40" t="n"/>
      <c r="F77" s="40" t="n"/>
      <c r="G77" s="40" t="n"/>
      <c r="H77" s="40" t="n"/>
      <c r="I77" s="36">
        <f>IF(AND(C77="",OR(E77="",E77=0)),"",(IF(E77=1,30,IF(E77=2,20,IF(E77=3,10,IF(E77&lt;&gt;"",1,0))))+IF(F77=1,30,IF(F77=2,20,IF(F77=3,10,IF(F77&lt;&gt;"",1,0))))+IF(G77=1,30,IF(G77=2,20,IF(G77=3,10,IF(G77&lt;&gt;"",1,0))))+IF(H77=1,30,IF(H77=2,20,IF(H77=3,10,IF(H77&lt;&gt;"",1,0)))))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143">
      <c r="A78" s="1" t="n"/>
      <c r="B78" s="32">
        <f>'👥 Участники'!B78</f>
        <v/>
      </c>
      <c r="C78" s="33">
        <f>'👥 Участники'!C78</f>
        <v/>
      </c>
      <c r="D78" s="34">
        <f>'👥 Участники'!D78</f>
        <v/>
      </c>
      <c r="E78" s="40" t="n"/>
      <c r="F78" s="40" t="n"/>
      <c r="G78" s="40" t="n"/>
      <c r="H78" s="40" t="n"/>
      <c r="I78" s="36">
        <f>IF(AND(C78="",OR(E78="",E78=0)),"",(IF(E78=1,30,IF(E78=2,20,IF(E78=3,10,IF(E78&lt;&gt;"",1,0))))+IF(F78=1,30,IF(F78=2,20,IF(F78=3,10,IF(F78&lt;&gt;"",1,0))))+IF(G78=1,30,IF(G78=2,20,IF(G78=3,10,IF(G78&lt;&gt;"",1,0))))+IF(H78=1,30,IF(H78=2,20,IF(H78=3,10,IF(H78&lt;&gt;"",1,0)))))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143">
      <c r="A79" s="1" t="n"/>
      <c r="B79" s="37">
        <f>'👥 Участники'!B79</f>
        <v/>
      </c>
      <c r="C79" s="38">
        <f>'👥 Участники'!C79</f>
        <v/>
      </c>
      <c r="D79" s="39">
        <f>'👥 Участники'!D79</f>
        <v/>
      </c>
      <c r="E79" s="40" t="n"/>
      <c r="F79" s="40" t="n"/>
      <c r="G79" s="40" t="n"/>
      <c r="H79" s="40" t="n"/>
      <c r="I79" s="36">
        <f>IF(AND(C79="",OR(E79="",E79=0)),"",(IF(E79=1,30,IF(E79=2,20,IF(E79=3,10,IF(E79&lt;&gt;"",1,0))))+IF(F79=1,30,IF(F79=2,20,IF(F79=3,10,IF(F79&lt;&gt;"",1,0))))+IF(G79=1,30,IF(G79=2,20,IF(G79=3,10,IF(G79&lt;&gt;"",1,0))))+IF(H79=1,30,IF(H79=2,20,IF(H79=3,10,IF(H79&lt;&gt;"",1,0)))))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143">
      <c r="A80" s="1" t="n"/>
      <c r="B80" s="32">
        <f>'👥 Участники'!B80</f>
        <v/>
      </c>
      <c r="C80" s="33">
        <f>'👥 Участники'!C80</f>
        <v/>
      </c>
      <c r="D80" s="34">
        <f>'👥 Участники'!D80</f>
        <v/>
      </c>
      <c r="E80" s="40" t="n"/>
      <c r="F80" s="40" t="n"/>
      <c r="G80" s="40" t="n"/>
      <c r="H80" s="40" t="n"/>
      <c r="I80" s="36">
        <f>IF(AND(C80="",OR(E80="",E80=0)),"",(IF(E80=1,30,IF(E80=2,20,IF(E80=3,10,IF(E80&lt;&gt;"",1,0))))+IF(F80=1,30,IF(F80=2,20,IF(F80=3,10,IF(F80&lt;&gt;"",1,0))))+IF(G80=1,30,IF(G80=2,20,IF(G80=3,10,IF(G80&lt;&gt;"",1,0))))+IF(H80=1,30,IF(H80=2,20,IF(H80=3,10,IF(H80&lt;&gt;"",1,0))))))</f>
        <v/>
      </c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143">
      <c r="A81" s="1" t="n"/>
      <c r="B81" s="37">
        <f>'👥 Участники'!B81</f>
        <v/>
      </c>
      <c r="C81" s="38">
        <f>'👥 Участники'!C81</f>
        <v/>
      </c>
      <c r="D81" s="39">
        <f>'👥 Участники'!D81</f>
        <v/>
      </c>
      <c r="E81" s="40" t="n"/>
      <c r="F81" s="40" t="n"/>
      <c r="G81" s="40" t="n"/>
      <c r="H81" s="40" t="n"/>
      <c r="I81" s="36">
        <f>IF(AND(C81="",OR(E81="",E81=0)),"",(IF(E81=1,30,IF(E81=2,20,IF(E81=3,10,IF(E81&lt;&gt;"",1,0))))+IF(F81=1,30,IF(F81=2,20,IF(F81=3,10,IF(F81&lt;&gt;"",1,0))))+IF(G81=1,30,IF(G81=2,20,IF(G81=3,10,IF(G81&lt;&gt;"",1,0))))+IF(H81=1,30,IF(H81=2,20,IF(H81=3,10,IF(H81&lt;&gt;"",1,0))))))</f>
        <v/>
      </c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9.5" customHeight="1" s="143">
      <c r="A82" s="1" t="n"/>
      <c r="B82" s="32">
        <f>'👥 Участники'!B82</f>
        <v/>
      </c>
      <c r="C82" s="33">
        <f>'👥 Участники'!C82</f>
        <v/>
      </c>
      <c r="D82" s="34">
        <f>'👥 Участники'!D82</f>
        <v/>
      </c>
      <c r="E82" s="40" t="n"/>
      <c r="F82" s="40" t="n"/>
      <c r="G82" s="40" t="n"/>
      <c r="H82" s="40" t="n"/>
      <c r="I82" s="36">
        <f>IF(AND(C82="",OR(E82="",E82=0)),"",(IF(E82=1,30,IF(E82=2,20,IF(E82=3,10,IF(E82&lt;&gt;"",1,0))))+IF(F82=1,30,IF(F82=2,20,IF(F82=3,10,IF(F82&lt;&gt;"",1,0))))+IF(G82=1,30,IF(G82=2,20,IF(G82=3,10,IF(G82&lt;&gt;"",1,0))))+IF(H82=1,30,IF(H82=2,20,IF(H82=3,10,IF(H82&lt;&gt;"",1,0))))))</f>
        <v/>
      </c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143">
      <c r="A83" s="1" t="n"/>
      <c r="B83" s="37">
        <f>'👥 Участники'!B83</f>
        <v/>
      </c>
      <c r="C83" s="38">
        <f>'👥 Участники'!C83</f>
        <v/>
      </c>
      <c r="D83" s="39">
        <f>'👥 Участники'!D83</f>
        <v/>
      </c>
      <c r="E83" s="40" t="n"/>
      <c r="F83" s="40" t="n"/>
      <c r="G83" s="40" t="n"/>
      <c r="H83" s="40" t="n"/>
      <c r="I83" s="36">
        <f>IF(AND(C83="",OR(E83="",E83=0)),"",(IF(E83=1,30,IF(E83=2,20,IF(E83=3,10,IF(E83&lt;&gt;"",1,0))))+IF(F83=1,30,IF(F83=2,20,IF(F83=3,10,IF(F83&lt;&gt;"",1,0))))+IF(G83=1,30,IF(G83=2,20,IF(G83=3,10,IF(G83&lt;&gt;"",1,0))))+IF(H83=1,30,IF(H83=2,20,IF(H83=3,10,IF(H83&lt;&gt;"",1,0))))))</f>
        <v/>
      </c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143">
      <c r="A84" s="1" t="n"/>
      <c r="B84" s="32">
        <f>'👥 Участники'!B84</f>
        <v/>
      </c>
      <c r="C84" s="33">
        <f>'👥 Участники'!C84</f>
        <v/>
      </c>
      <c r="D84" s="34">
        <f>'👥 Участники'!D84</f>
        <v/>
      </c>
      <c r="E84" s="40" t="n"/>
      <c r="F84" s="40" t="n"/>
      <c r="G84" s="40" t="n"/>
      <c r="H84" s="40" t="n"/>
      <c r="I84" s="36">
        <f>IF(AND(C84="",OR(E84="",E84=0)),"",(IF(E84=1,30,IF(E84=2,20,IF(E84=3,10,IF(E84&lt;&gt;"",1,0))))+IF(F84=1,30,IF(F84=2,20,IF(F84=3,10,IF(F84&lt;&gt;"",1,0))))+IF(G84=1,30,IF(G84=2,20,IF(G84=3,10,IF(G84&lt;&gt;"",1,0))))+IF(H84=1,30,IF(H84=2,20,IF(H84=3,10,IF(H84&lt;&gt;"",1,0))))))</f>
        <v/>
      </c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9.5" customHeight="1" s="143">
      <c r="A85" s="1" t="n"/>
      <c r="B85" s="37">
        <f>'👥 Участники'!B85</f>
        <v/>
      </c>
      <c r="C85" s="38">
        <f>'👥 Участники'!C85</f>
        <v/>
      </c>
      <c r="D85" s="39">
        <f>'👥 Участники'!D85</f>
        <v/>
      </c>
      <c r="E85" s="40" t="n"/>
      <c r="F85" s="40" t="n"/>
      <c r="G85" s="40" t="n"/>
      <c r="H85" s="40" t="n"/>
      <c r="I85" s="36">
        <f>IF(AND(C85="",OR(E85="",E85=0)),"",(IF(E85=1,30,IF(E85=2,20,IF(E85=3,10,IF(E85&lt;&gt;"",1,0))))+IF(F85=1,30,IF(F85=2,20,IF(F85=3,10,IF(F85&lt;&gt;"",1,0))))+IF(G85=1,30,IF(G85=2,20,IF(G85=3,10,IF(G85&lt;&gt;"",1,0))))+IF(H85=1,30,IF(H85=2,20,IF(H85=3,10,IF(H85&lt;&gt;"",1,0)))))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9.5" customHeight="1" s="143">
      <c r="A86" s="1" t="n"/>
      <c r="B86" s="32">
        <f>'👥 Участники'!B86</f>
        <v/>
      </c>
      <c r="C86" s="33">
        <f>'👥 Участники'!C86</f>
        <v/>
      </c>
      <c r="D86" s="34">
        <f>'👥 Участники'!D86</f>
        <v/>
      </c>
      <c r="E86" s="40" t="n"/>
      <c r="F86" s="40" t="n"/>
      <c r="G86" s="40" t="n"/>
      <c r="H86" s="40" t="n"/>
      <c r="I86" s="36">
        <f>IF(AND(C86="",OR(E86="",E86=0)),"",(IF(E86=1,30,IF(E86=2,20,IF(E86=3,10,IF(E86&lt;&gt;"",1,0))))+IF(F86=1,30,IF(F86=2,20,IF(F86=3,10,IF(F86&lt;&gt;"",1,0))))+IF(G86=1,30,IF(G86=2,20,IF(G86=3,10,IF(G86&lt;&gt;"",1,0))))+IF(H86=1,30,IF(H86=2,20,IF(H86=3,10,IF(H86&lt;&gt;"",1,0))))))</f>
        <v/>
      </c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9.5" customHeight="1" s="143">
      <c r="A87" s="1" t="n"/>
      <c r="B87" s="37">
        <f>'👥 Участники'!B87</f>
        <v/>
      </c>
      <c r="C87" s="38">
        <f>'👥 Участники'!C87</f>
        <v/>
      </c>
      <c r="D87" s="39">
        <f>'👥 Участники'!D87</f>
        <v/>
      </c>
      <c r="E87" s="40" t="n"/>
      <c r="F87" s="40" t="n"/>
      <c r="G87" s="40" t="n"/>
      <c r="H87" s="40" t="n"/>
      <c r="I87" s="36">
        <f>IF(AND(C87="",OR(E87="",E87=0)),"",(IF(E87=1,30,IF(E87=2,20,IF(E87=3,10,IF(E87&lt;&gt;"",1,0))))+IF(F87=1,30,IF(F87=2,20,IF(F87=3,10,IF(F87&lt;&gt;"",1,0))))+IF(G87=1,30,IF(G87=2,20,IF(G87=3,10,IF(G87&lt;&gt;"",1,0))))+IF(H87=1,30,IF(H87=2,20,IF(H87=3,10,IF(H87&lt;&gt;"",1,0))))))</f>
        <v/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9.5" customHeight="1" s="143">
      <c r="A88" s="1" t="n"/>
      <c r="B88" s="32">
        <f>'👥 Участники'!B88</f>
        <v/>
      </c>
      <c r="C88" s="33">
        <f>'👥 Участники'!C88</f>
        <v/>
      </c>
      <c r="D88" s="34">
        <f>'👥 Участники'!D88</f>
        <v/>
      </c>
      <c r="E88" s="40" t="n"/>
      <c r="F88" s="40" t="n"/>
      <c r="G88" s="40" t="n"/>
      <c r="H88" s="40" t="n"/>
      <c r="I88" s="36">
        <f>IF(AND(C88="",OR(E88="",E88=0)),"",(IF(E88=1,30,IF(E88=2,20,IF(E88=3,10,IF(E88&lt;&gt;"",1,0))))+IF(F88=1,30,IF(F88=2,20,IF(F88=3,10,IF(F88&lt;&gt;"",1,0))))+IF(G88=1,30,IF(G88=2,20,IF(G88=3,10,IF(G88&lt;&gt;"",1,0))))+IF(H88=1,30,IF(H88=2,20,IF(H88=3,10,IF(H88&lt;&gt;"",1,0))))))</f>
        <v/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9.5" customHeight="1" s="143">
      <c r="A89" s="1" t="n"/>
      <c r="B89" s="37">
        <f>'👥 Участники'!B89</f>
        <v/>
      </c>
      <c r="C89" s="38">
        <f>'👥 Участники'!C89</f>
        <v/>
      </c>
      <c r="D89" s="39">
        <f>'👥 Участники'!D89</f>
        <v/>
      </c>
      <c r="E89" s="40" t="n"/>
      <c r="F89" s="40" t="n"/>
      <c r="G89" s="40" t="n"/>
      <c r="H89" s="40" t="n"/>
      <c r="I89" s="36">
        <f>IF(AND(C89="",OR(E89="",E89=0)),"",(IF(E89=1,30,IF(E89=2,20,IF(E89=3,10,IF(E89&lt;&gt;"",1,0))))+IF(F89=1,30,IF(F89=2,20,IF(F89=3,10,IF(F89&lt;&gt;"",1,0))))+IF(G89=1,30,IF(G89=2,20,IF(G89=3,10,IF(G89&lt;&gt;"",1,0))))+IF(H89=1,30,IF(H89=2,20,IF(H89=3,10,IF(H89&lt;&gt;"",1,0)))))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9.5" customHeight="1" s="143">
      <c r="A90" s="1" t="n"/>
      <c r="B90" s="32">
        <f>'👥 Участники'!B90</f>
        <v/>
      </c>
      <c r="C90" s="33">
        <f>'👥 Участники'!C90</f>
        <v/>
      </c>
      <c r="D90" s="34">
        <f>'👥 Участники'!D90</f>
        <v/>
      </c>
      <c r="E90" s="40" t="n"/>
      <c r="F90" s="40" t="n"/>
      <c r="G90" s="40" t="n"/>
      <c r="H90" s="40" t="n"/>
      <c r="I90" s="36">
        <f>IF(AND(C90="",OR(E90="",E90=0)),"",(IF(E90=1,30,IF(E90=2,20,IF(E90=3,10,IF(E90&lt;&gt;"",1,0))))+IF(F90=1,30,IF(F90=2,20,IF(F90=3,10,IF(F90&lt;&gt;"",1,0))))+IF(G90=1,30,IF(G90=2,20,IF(G90=3,10,IF(G90&lt;&gt;"",1,0))))+IF(H90=1,30,IF(H90=2,20,IF(H90=3,10,IF(H90&lt;&gt;"",1,0))))))</f>
        <v/>
      </c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9.5" customHeight="1" s="143">
      <c r="A91" s="1" t="n"/>
      <c r="B91" s="37">
        <f>'👥 Участники'!B91</f>
        <v/>
      </c>
      <c r="C91" s="38">
        <f>'👥 Участники'!C91</f>
        <v/>
      </c>
      <c r="D91" s="39">
        <f>'👥 Участники'!D91</f>
        <v/>
      </c>
      <c r="E91" s="40" t="n"/>
      <c r="F91" s="40" t="n"/>
      <c r="G91" s="40" t="n"/>
      <c r="H91" s="40" t="n"/>
      <c r="I91" s="36">
        <f>IF(AND(C91="",OR(E91="",E91=0)),"",(IF(E91=1,30,IF(E91=2,20,IF(E91=3,10,IF(E91&lt;&gt;"",1,0))))+IF(F91=1,30,IF(F91=2,20,IF(F91=3,10,IF(F91&lt;&gt;"",1,0))))+IF(G91=1,30,IF(G91=2,20,IF(G91=3,10,IF(G91&lt;&gt;"",1,0))))+IF(H91=1,30,IF(H91=2,20,IF(H91=3,10,IF(H91&lt;&gt;"",1,0))))))</f>
        <v/>
      </c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9.5" customHeight="1" s="143">
      <c r="A92" s="1" t="n"/>
      <c r="B92" s="32">
        <f>'👥 Участники'!B92</f>
        <v/>
      </c>
      <c r="C92" s="33">
        <f>'👥 Участники'!C92</f>
        <v/>
      </c>
      <c r="D92" s="34">
        <f>'👥 Участники'!D92</f>
        <v/>
      </c>
      <c r="E92" s="40" t="n"/>
      <c r="F92" s="40" t="n"/>
      <c r="G92" s="40" t="n"/>
      <c r="H92" s="40" t="n"/>
      <c r="I92" s="36">
        <f>IF(AND(C92="",OR(E92="",E92=0)),"",(IF(E92=1,30,IF(E92=2,20,IF(E92=3,10,IF(E92&lt;&gt;"",1,0))))+IF(F92=1,30,IF(F92=2,20,IF(F92=3,10,IF(F92&lt;&gt;"",1,0))))+IF(G92=1,30,IF(G92=2,20,IF(G92=3,10,IF(G92&lt;&gt;"",1,0))))+IF(H92=1,30,IF(H92=2,20,IF(H92=3,10,IF(H92&lt;&gt;"",1,0))))))</f>
        <v/>
      </c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9.5" customHeight="1" s="143">
      <c r="A93" s="1" t="n"/>
      <c r="B93" s="37">
        <f>'👥 Участники'!B93</f>
        <v/>
      </c>
      <c r="C93" s="38">
        <f>'👥 Участники'!C93</f>
        <v/>
      </c>
      <c r="D93" s="39">
        <f>'👥 Участники'!D93</f>
        <v/>
      </c>
      <c r="E93" s="40" t="n"/>
      <c r="F93" s="40" t="n"/>
      <c r="G93" s="40" t="n"/>
      <c r="H93" s="40" t="n"/>
      <c r="I93" s="36">
        <f>IF(AND(C93="",OR(E93="",E93=0)),"",(IF(E93=1,30,IF(E93=2,20,IF(E93=3,10,IF(E93&lt;&gt;"",1,0))))+IF(F93=1,30,IF(F93=2,20,IF(F93=3,10,IF(F93&lt;&gt;"",1,0))))+IF(G93=1,30,IF(G93=2,20,IF(G93=3,10,IF(G93&lt;&gt;"",1,0))))+IF(H93=1,30,IF(H93=2,20,IF(H93=3,10,IF(H93&lt;&gt;"",1,0))))))</f>
        <v/>
      </c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9.5" customHeight="1" s="143">
      <c r="A94" s="1" t="n"/>
      <c r="B94" s="32">
        <f>'👥 Участники'!B94</f>
        <v/>
      </c>
      <c r="C94" s="33">
        <f>'👥 Участники'!C94</f>
        <v/>
      </c>
      <c r="D94" s="34">
        <f>'👥 Участники'!D94</f>
        <v/>
      </c>
      <c r="E94" s="40" t="n"/>
      <c r="F94" s="40" t="n"/>
      <c r="G94" s="40" t="n"/>
      <c r="H94" s="40" t="n"/>
      <c r="I94" s="36">
        <f>IF(AND(C94="",OR(E94="",E94=0)),"",(IF(E94=1,30,IF(E94=2,20,IF(E94=3,10,IF(E94&lt;&gt;"",1,0))))+IF(F94=1,30,IF(F94=2,20,IF(F94=3,10,IF(F94&lt;&gt;"",1,0))))+IF(G94=1,30,IF(G94=2,20,IF(G94=3,10,IF(G94&lt;&gt;"",1,0))))+IF(H94=1,30,IF(H94=2,20,IF(H94=3,10,IF(H94&lt;&gt;"",1,0)))))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9.5" customHeight="1" s="143">
      <c r="A95" s="1" t="n"/>
      <c r="B95" s="37">
        <f>'👥 Участники'!B95</f>
        <v/>
      </c>
      <c r="C95" s="38">
        <f>'👥 Участники'!C95</f>
        <v/>
      </c>
      <c r="D95" s="39">
        <f>'👥 Участники'!D95</f>
        <v/>
      </c>
      <c r="E95" s="40" t="n"/>
      <c r="F95" s="40" t="n"/>
      <c r="G95" s="40" t="n"/>
      <c r="H95" s="40" t="n"/>
      <c r="I95" s="36">
        <f>IF(AND(C95="",OR(E95="",E95=0)),"",(IF(E95=1,30,IF(E95=2,20,IF(E95=3,10,IF(E95&lt;&gt;"",1,0))))+IF(F95=1,30,IF(F95=2,20,IF(F95=3,10,IF(F95&lt;&gt;"",1,0))))+IF(G95=1,30,IF(G95=2,20,IF(G95=3,10,IF(G95&lt;&gt;"",1,0))))+IF(H95=1,30,IF(H95=2,20,IF(H95=3,10,IF(H95&lt;&gt;"",1,0))))))</f>
        <v/>
      </c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9.5" customHeight="1" s="143">
      <c r="A96" s="1" t="n"/>
      <c r="B96" s="32">
        <f>'👥 Участники'!B96</f>
        <v/>
      </c>
      <c r="C96" s="33">
        <f>'👥 Участники'!C96</f>
        <v/>
      </c>
      <c r="D96" s="34">
        <f>'👥 Участники'!D96</f>
        <v/>
      </c>
      <c r="E96" s="40" t="n"/>
      <c r="F96" s="40" t="n"/>
      <c r="G96" s="40" t="n"/>
      <c r="H96" s="40" t="n"/>
      <c r="I96" s="36">
        <f>IF(AND(C96="",OR(E96="",E96=0)),"",(IF(E96=1,30,IF(E96=2,20,IF(E96=3,10,IF(E96&lt;&gt;"",1,0))))+IF(F96=1,30,IF(F96=2,20,IF(F96=3,10,IF(F96&lt;&gt;"",1,0))))+IF(G96=1,30,IF(G96=2,20,IF(G96=3,10,IF(G96&lt;&gt;"",1,0))))+IF(H96=1,30,IF(H96=2,20,IF(H96=3,10,IF(H96&lt;&gt;"",1,0))))))</f>
        <v/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9.5" customHeight="1" s="143">
      <c r="A97" s="1" t="n"/>
      <c r="B97" s="37">
        <f>'👥 Участники'!B97</f>
        <v/>
      </c>
      <c r="C97" s="38">
        <f>'👥 Участники'!C97</f>
        <v/>
      </c>
      <c r="D97" s="39">
        <f>'👥 Участники'!D97</f>
        <v/>
      </c>
      <c r="E97" s="40" t="n"/>
      <c r="F97" s="40" t="n"/>
      <c r="G97" s="40" t="n"/>
      <c r="H97" s="40" t="n"/>
      <c r="I97" s="36">
        <f>IF(AND(C97="",OR(E97="",E97=0)),"",(IF(E97=1,30,IF(E97=2,20,IF(E97=3,10,IF(E97&lt;&gt;"",1,0))))+IF(F97=1,30,IF(F97=2,20,IF(F97=3,10,IF(F97&lt;&gt;"",1,0))))+IF(G97=1,30,IF(G97=2,20,IF(G97=3,10,IF(G97&lt;&gt;"",1,0))))+IF(H97=1,30,IF(H97=2,20,IF(H97=3,10,IF(H97&lt;&gt;"",1,0))))))</f>
        <v/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9.5" customHeight="1" s="143">
      <c r="A98" s="1" t="n"/>
      <c r="B98" s="32">
        <f>'👥 Участники'!B98</f>
        <v/>
      </c>
      <c r="C98" s="33">
        <f>'👥 Участники'!C98</f>
        <v/>
      </c>
      <c r="D98" s="34">
        <f>'👥 Участники'!D98</f>
        <v/>
      </c>
      <c r="E98" s="40" t="n"/>
      <c r="F98" s="40" t="n"/>
      <c r="G98" s="40" t="n"/>
      <c r="H98" s="40" t="n"/>
      <c r="I98" s="36">
        <f>IF(AND(C98="",OR(E98="",E98=0)),"",(IF(E98=1,30,IF(E98=2,20,IF(E98=3,10,IF(E98&lt;&gt;"",1,0))))+IF(F98=1,30,IF(F98=2,20,IF(F98=3,10,IF(F98&lt;&gt;"",1,0))))+IF(G98=1,30,IF(G98=2,20,IF(G98=3,10,IF(G98&lt;&gt;"",1,0))))+IF(H98=1,30,IF(H98=2,20,IF(H98=3,10,IF(H98&lt;&gt;"",1,0))))))</f>
        <v/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9.5" customHeight="1" s="143">
      <c r="A99" s="1" t="n"/>
      <c r="B99" s="37">
        <f>'👥 Участники'!B99</f>
        <v/>
      </c>
      <c r="C99" s="38">
        <f>'👥 Участники'!C99</f>
        <v/>
      </c>
      <c r="D99" s="39">
        <f>'👥 Участники'!D99</f>
        <v/>
      </c>
      <c r="E99" s="40" t="n"/>
      <c r="F99" s="40" t="n"/>
      <c r="G99" s="40" t="n"/>
      <c r="H99" s="40" t="n"/>
      <c r="I99" s="36">
        <f>IF(AND(C99="",OR(E99="",E99=0)),"",(IF(E99=1,30,IF(E99=2,20,IF(E99=3,10,IF(E99&lt;&gt;"",1,0))))+IF(F99=1,30,IF(F99=2,20,IF(F99=3,10,IF(F99&lt;&gt;"",1,0))))+IF(G99=1,30,IF(G99=2,20,IF(G99=3,10,IF(G99&lt;&gt;"",1,0))))+IF(H99=1,30,IF(H99=2,20,IF(H99=3,10,IF(H99&lt;&gt;"",1,0)))))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9.5" customHeight="1" s="143">
      <c r="A100" s="1" t="n"/>
      <c r="B100" s="32">
        <f>'👥 Участники'!B100</f>
        <v/>
      </c>
      <c r="C100" s="33">
        <f>'👥 Участники'!C100</f>
        <v/>
      </c>
      <c r="D100" s="34">
        <f>'👥 Участники'!D100</f>
        <v/>
      </c>
      <c r="E100" s="40" t="n"/>
      <c r="F100" s="40" t="n"/>
      <c r="G100" s="40" t="n"/>
      <c r="H100" s="40" t="n"/>
      <c r="I100" s="36">
        <f>IF(AND(C100="",OR(E100="",E100=0)),"",(IF(E100=1,30,IF(E100=2,20,IF(E100=3,10,IF(E100&lt;&gt;"",1,0))))+IF(F100=1,30,IF(F100=2,20,IF(F100=3,10,IF(F100&lt;&gt;"",1,0))))+IF(G100=1,30,IF(G100=2,20,IF(G100=3,10,IF(G100&lt;&gt;"",1,0))))+IF(H100=1,30,IF(H100=2,20,IF(H100=3,10,IF(H100&lt;&gt;"",1,0)))))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9.5" customHeight="1" s="143">
      <c r="A101" s="1" t="n"/>
      <c r="B101" s="37">
        <f>'👥 Участники'!B101</f>
        <v/>
      </c>
      <c r="C101" s="38">
        <f>'👥 Участники'!C101</f>
        <v/>
      </c>
      <c r="D101" s="39">
        <f>'👥 Участники'!D101</f>
        <v/>
      </c>
      <c r="E101" s="40" t="n"/>
      <c r="F101" s="40" t="n"/>
      <c r="G101" s="40" t="n"/>
      <c r="H101" s="40" t="n"/>
      <c r="I101" s="36">
        <f>IF(AND(C101="",OR(E101="",E101=0)),"",(IF(E101=1,30,IF(E101=2,20,IF(E101=3,10,IF(E101&lt;&gt;"",1,0))))+IF(F101=1,30,IF(F101=2,20,IF(F101=3,10,IF(F101&lt;&gt;"",1,0))))+IF(G101=1,30,IF(G101=2,20,IF(G101=3,10,IF(G101&lt;&gt;"",1,0))))+IF(H101=1,30,IF(H101=2,20,IF(H101=3,10,IF(H101&lt;&gt;"",1,0))))))</f>
        <v/>
      </c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9.5" customHeight="1" s="143">
      <c r="A102" s="1" t="n"/>
      <c r="B102" s="32">
        <f>'👥 Участники'!B102</f>
        <v/>
      </c>
      <c r="C102" s="33">
        <f>'👥 Участники'!C102</f>
        <v/>
      </c>
      <c r="D102" s="34">
        <f>'👥 Участники'!D102</f>
        <v/>
      </c>
      <c r="E102" s="40" t="n"/>
      <c r="F102" s="40" t="n"/>
      <c r="G102" s="40" t="n"/>
      <c r="H102" s="40" t="n"/>
      <c r="I102" s="36">
        <f>IF(AND(C102="",OR(E102="",E102=0)),"",(IF(E102=1,30,IF(E102=2,20,IF(E102=3,10,IF(E102&lt;&gt;"",1,0))))+IF(F102=1,30,IF(F102=2,20,IF(F102=3,10,IF(F102&lt;&gt;"",1,0))))+IF(G102=1,30,IF(G102=2,20,IF(G102=3,10,IF(G102&lt;&gt;"",1,0))))+IF(H102=1,30,IF(H102=2,20,IF(H102=3,10,IF(H102&lt;&gt;"",1,0))))))</f>
        <v/>
      </c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9.5" customHeight="1" s="143">
      <c r="A103" s="1" t="n"/>
      <c r="B103" s="37">
        <f>'👥 Участники'!B103</f>
        <v/>
      </c>
      <c r="C103" s="38">
        <f>'👥 Участники'!C103</f>
        <v/>
      </c>
      <c r="D103" s="39">
        <f>'👥 Участники'!D103</f>
        <v/>
      </c>
      <c r="E103" s="40" t="n"/>
      <c r="F103" s="40" t="n"/>
      <c r="G103" s="40" t="n"/>
      <c r="H103" s="40" t="n"/>
      <c r="I103" s="36">
        <f>IF(AND(C103="",OR(E103="",E103=0)),"",(IF(E103=1,30,IF(E103=2,20,IF(E103=3,10,IF(E103&lt;&gt;"",1,0))))+IF(F103=1,30,IF(F103=2,20,IF(F103=3,10,IF(F103&lt;&gt;"",1,0))))+IF(G103=1,30,IF(G103=2,20,IF(G103=3,10,IF(G103&lt;&gt;"",1,0))))+IF(H103=1,30,IF(H103=2,20,IF(H103=3,10,IF(H103&lt;&gt;"",1,0)))))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>
        <f>IF(AND(C104="",OR(E104="",E104=0)),"",(IF(E104=1,30,IF(E104=2,20,IF(E104=3,10,IF(E104&lt;&gt;"",1,0))))+IF(F104=1,30,IF(F104=2,20,IF(F104=3,10,IF(F104&lt;&gt;"",1,0))))+IF(G104=1,30,IF(G104=2,20,IF(G104=3,10,IF(G104&lt;&gt;"",1,0))))+IF(H104=1,30,IF(H104=2,20,IF(H104=3,10,IF(H104&lt;&gt;"",1,0))))))</f>
        <v/>
      </c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>
        <f>IF(AND(C105="",OR(E105="",E105=0)),"",(IF(E105=1,30,IF(E105=2,20,IF(E105=3,10,IF(E105&lt;&gt;"",1,0))))+IF(F105=1,30,IF(F105=2,20,IF(F105=3,10,IF(F105&lt;&gt;"",1,0))))+IF(G105=1,30,IF(G105=2,20,IF(G105=3,10,IF(G105&lt;&gt;"",1,0))))+IF(H105=1,30,IF(H105=2,20,IF(H105=3,10,IF(H105&lt;&gt;"",1,0))))))</f>
        <v/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>
        <f>IF(AND(C106="",OR(E106="",E106=0)),"",(IF(E106=1,30,IF(E106=2,20,IF(E106=3,10,IF(E106&lt;&gt;"",1,0))))+IF(F106=1,30,IF(F106=2,20,IF(F106=3,10,IF(F106&lt;&gt;"",1,0))))+IF(G106=1,30,IF(G106=2,20,IF(G106=3,10,IF(G106&lt;&gt;"",1,0))))+IF(H106=1,30,IF(H106=2,20,IF(H106=3,10,IF(H106&lt;&gt;"",1,0))))))</f>
        <v/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>
        <f>IF(AND(C107="",OR(E107="",E107=0)),"",(IF(E107=1,30,IF(E107=2,20,IF(E107=3,10,IF(E107&lt;&gt;"",1,0))))+IF(F107=1,30,IF(F107=2,20,IF(F107=3,10,IF(F107&lt;&gt;"",1,0))))+IF(G107=1,30,IF(G107=2,20,IF(G107=3,10,IF(G107&lt;&gt;"",1,0))))+IF(H107=1,30,IF(H107=2,20,IF(H107=3,10,IF(H107&lt;&gt;"",1,0)))))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>
        <f>IF(AND(C108="",OR(E108="",E108=0)),"",(IF(E108=1,30,IF(E108=2,20,IF(E108=3,10,IF(E108&lt;&gt;"",1,0))))+IF(F108=1,30,IF(F108=2,20,IF(F108=3,10,IF(F108&lt;&gt;"",1,0))))+IF(G108=1,30,IF(G108=2,20,IF(G108=3,10,IF(G108&lt;&gt;"",1,0))))+IF(H108=1,30,IF(H108=2,20,IF(H108=3,10,IF(H108&lt;&gt;"",1,0)))))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>
        <f>IF(AND(C109="",OR(E109="",E109=0)),"",(IF(E109=1,30,IF(E109=2,20,IF(E109=3,10,IF(E109&lt;&gt;"",1,0))))+IF(F109=1,30,IF(F109=2,20,IF(F109=3,10,IF(F109&lt;&gt;"",1,0))))+IF(G109=1,30,IF(G109=2,20,IF(G109=3,10,IF(G109&lt;&gt;"",1,0))))+IF(H109=1,30,IF(H109=2,20,IF(H109=3,10,IF(H109&lt;&gt;"",1,0))))))</f>
        <v/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>
        <f>IF(AND(C110="",OR(E110="",E110=0)),"",(IF(E110=1,30,IF(E110=2,20,IF(E110=3,10,IF(E110&lt;&gt;"",1,0))))+IF(F110=1,30,IF(F110=2,20,IF(F110=3,10,IF(F110&lt;&gt;"",1,0))))+IF(G110=1,30,IF(G110=2,20,IF(G110=3,10,IF(G110&lt;&gt;"",1,0))))+IF(H110=1,30,IF(H110=2,20,IF(H110=3,10,IF(H110&lt;&gt;"",1,0))))))</f>
        <v/>
      </c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>
        <f>IF(AND(C111="",OR(E111="",E111=0)),"",(IF(E111=1,30,IF(E111=2,20,IF(E111=3,10,IF(E111&lt;&gt;"",1,0))))+IF(F111=1,30,IF(F111=2,20,IF(F111=3,10,IF(F111&lt;&gt;"",1,0))))+IF(G111=1,30,IF(G111=2,20,IF(G111=3,10,IF(G111&lt;&gt;"",1,0))))+IF(H111=1,30,IF(H111=2,20,IF(H111=3,10,IF(H111&lt;&gt;"",1,0))))))</f>
        <v/>
      </c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>
        <f>IF(AND(C112="",OR(E112="",E112=0)),"",(IF(E112=1,30,IF(E112=2,20,IF(E112=3,10,IF(E112&lt;&gt;"",1,0))))+IF(F112=1,30,IF(F112=2,20,IF(F112=3,10,IF(F112&lt;&gt;"",1,0))))+IF(G112=1,30,IF(G112=2,20,IF(G112=3,10,IF(G112&lt;&gt;"",1,0))))+IF(H112=1,30,IF(H112=2,20,IF(H112=3,10,IF(H112&lt;&gt;"",1,0)))))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>
        <f>IF(AND(C113="",OR(E113="",E113=0)),"",(IF(E113=1,30,IF(E113=2,20,IF(E113=3,10,IF(E113&lt;&gt;"",1,0))))+IF(F113=1,30,IF(F113=2,20,IF(F113=3,10,IF(F113&lt;&gt;"",1,0))))+IF(G113=1,30,IF(G113=2,20,IF(G113=3,10,IF(G113&lt;&gt;"",1,0))))+IF(H113=1,30,IF(H113=2,20,IF(H113=3,10,IF(H113&lt;&gt;"",1,0))))))</f>
        <v/>
      </c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>
        <f>IF(AND(C114="",OR(E114="",E114=0)),"",(IF(E114=1,30,IF(E114=2,20,IF(E114=3,10,IF(E114&lt;&gt;"",1,0))))+IF(F114=1,30,IF(F114=2,20,IF(F114=3,10,IF(F114&lt;&gt;"",1,0))))+IF(G114=1,30,IF(G114=2,20,IF(G114=3,10,IF(G114&lt;&gt;"",1,0))))+IF(H114=1,30,IF(H114=2,20,IF(H114=3,10,IF(H114&lt;&gt;"",1,0))))))</f>
        <v/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>
        <f>IF(AND(C115="",OR(E115="",E115=0)),"",(IF(E115=1,30,IF(E115=2,20,IF(E115=3,10,IF(E115&lt;&gt;"",1,0))))+IF(F115=1,30,IF(F115=2,20,IF(F115=3,10,IF(F115&lt;&gt;"",1,0))))+IF(G115=1,30,IF(G115=2,20,IF(G115=3,10,IF(G115&lt;&gt;"",1,0))))+IF(H115=1,30,IF(H115=2,20,IF(H115=3,10,IF(H115&lt;&gt;"",1,0))))))</f>
        <v/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>
        <f>IF(AND(C116="",OR(E116="",E116=0)),"",(IF(E116=1,30,IF(E116=2,20,IF(E116=3,10,IF(E116&lt;&gt;"",1,0))))+IF(F116=1,30,IF(F116=2,20,IF(F116=3,10,IF(F116&lt;&gt;"",1,0))))+IF(G116=1,30,IF(G116=2,20,IF(G116=3,10,IF(G116&lt;&gt;"",1,0))))+IF(H116=1,30,IF(H116=2,20,IF(H116=3,10,IF(H116&lt;&gt;"",1,0)))))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>
        <f>IF(AND(C117="",OR(E117="",E117=0)),"",(IF(E117=1,30,IF(E117=2,20,IF(E117=3,10,IF(E117&lt;&gt;"",1,0))))+IF(F117=1,30,IF(F117=2,20,IF(F117=3,10,IF(F117&lt;&gt;"",1,0))))+IF(G117=1,30,IF(G117=2,20,IF(G117=3,10,IF(G117&lt;&gt;"",1,0))))+IF(H117=1,30,IF(H117=2,20,IF(H117=3,10,IF(H117&lt;&gt;"",1,0)))))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>
        <f>IF(AND(C118="",OR(E118="",E118=0)),"",(IF(E118=1,30,IF(E118=2,20,IF(E118=3,10,IF(E118&lt;&gt;"",1,0))))+IF(F118=1,30,IF(F118=2,20,IF(F118=3,10,IF(F118&lt;&gt;"",1,0))))+IF(G118=1,30,IF(G118=2,20,IF(G118=3,10,IF(G118&lt;&gt;"",1,0))))+IF(H118=1,30,IF(H118=2,20,IF(H118=3,10,IF(H118&lt;&gt;"",1,0))))))</f>
        <v/>
      </c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>
        <f>IF(AND(C119="",OR(E119="",E119=0)),"",(IF(E119=1,30,IF(E119=2,20,IF(E119=3,10,IF(E119&lt;&gt;"",1,0))))+IF(F119=1,30,IF(F119=2,20,IF(F119=3,10,IF(F119&lt;&gt;"",1,0))))+IF(G119=1,30,IF(G119=2,20,IF(G119=3,10,IF(G119&lt;&gt;"",1,0))))+IF(H119=1,30,IF(H119=2,20,IF(H119=3,10,IF(H119&lt;&gt;"",1,0))))))</f>
        <v/>
      </c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>
        <f>IF(AND(C120="",OR(E120="",E120=0)),"",(IF(E120=1,30,IF(E120=2,20,IF(E120=3,10,IF(E120&lt;&gt;"",1,0))))+IF(F120=1,30,IF(F120=2,20,IF(F120=3,10,IF(F120&lt;&gt;"",1,0))))+IF(G120=1,30,IF(G120=2,20,IF(G120=3,10,IF(G120&lt;&gt;"",1,0))))+IF(H120=1,30,IF(H120=2,20,IF(H120=3,10,IF(H120&lt;&gt;"",1,0))))))</f>
        <v/>
      </c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>
        <f>IF(AND(C121="",OR(E121="",E121=0)),"",(IF(E121=1,30,IF(E121=2,20,IF(E121=3,10,IF(E121&lt;&gt;"",1,0))))+IF(F121=1,30,IF(F121=2,20,IF(F121=3,10,IF(F121&lt;&gt;"",1,0))))+IF(G121=1,30,IF(G121=2,20,IF(G121=3,10,IF(G121&lt;&gt;"",1,0))))+IF(H121=1,30,IF(H121=2,20,IF(H121=3,10,IF(H121&lt;&gt;"",1,0)))))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>
        <f>IF(AND(C122="",OR(E122="",E122=0)),"",(IF(E122=1,30,IF(E122=2,20,IF(E122=3,10,IF(E122&lt;&gt;"",1,0))))+IF(F122=1,30,IF(F122=2,20,IF(F122=3,10,IF(F122&lt;&gt;"",1,0))))+IF(G122=1,30,IF(G122=2,20,IF(G122=3,10,IF(G122&lt;&gt;"",1,0))))+IF(H122=1,30,IF(H122=2,20,IF(H122=3,10,IF(H122&lt;&gt;"",1,0))))))</f>
        <v/>
      </c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>
        <f>IF(AND(C123="",OR(E123="",E123=0)),"",(IF(E123=1,30,IF(E123=2,20,IF(E123=3,10,IF(E123&lt;&gt;"",1,0))))+IF(F123=1,30,IF(F123=2,20,IF(F123=3,10,IF(F123&lt;&gt;"",1,0))))+IF(G123=1,30,IF(G123=2,20,IF(G123=3,10,IF(G123&lt;&gt;"",1,0))))+IF(H123=1,30,IF(H123=2,20,IF(H123=3,10,IF(H123&lt;&gt;"",1,0))))))</f>
        <v/>
      </c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>
        <f>IF(AND(C124="",OR(E124="",E124=0)),"",(IF(E124=1,30,IF(E124=2,20,IF(E124=3,10,IF(E124&lt;&gt;"",1,0))))+IF(F124=1,30,IF(F124=2,20,IF(F124=3,10,IF(F124&lt;&gt;"",1,0))))+IF(G124=1,30,IF(G124=2,20,IF(G124=3,10,IF(G124&lt;&gt;"",1,0))))+IF(H124=1,30,IF(H124=2,20,IF(H124=3,10,IF(H124&lt;&gt;"",1,0))))))</f>
        <v/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>
        <f>IF(AND(C125="",OR(E125="",E125=0)),"",(IF(E125=1,30,IF(E125=2,20,IF(E125=3,10,IF(E125&lt;&gt;"",1,0))))+IF(F125=1,30,IF(F125=2,20,IF(F125=3,10,IF(F125&lt;&gt;"",1,0))))+IF(G125=1,30,IF(G125=2,20,IF(G125=3,10,IF(G125&lt;&gt;"",1,0))))+IF(H125=1,30,IF(H125=2,20,IF(H125=3,10,IF(H125&lt;&gt;"",1,0)))))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>
        <f>IF(AND(C126="",OR(E126="",E126=0)),"",(IF(E126=1,30,IF(E126=2,20,IF(E126=3,10,IF(E126&lt;&gt;"",1,0))))+IF(F126=1,30,IF(F126=2,20,IF(F126=3,10,IF(F126&lt;&gt;"",1,0))))+IF(G126=1,30,IF(G126=2,20,IF(G126=3,10,IF(G126&lt;&gt;"",1,0))))+IF(H126=1,30,IF(H126=2,20,IF(H126=3,10,IF(H126&lt;&gt;"",1,0)))))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>
        <f>IF(AND(C127="",OR(E127="",E127=0)),"",(IF(E127=1,30,IF(E127=2,20,IF(E127=3,10,IF(E127&lt;&gt;"",1,0))))+IF(F127=1,30,IF(F127=2,20,IF(F127=3,10,IF(F127&lt;&gt;"",1,0))))+IF(G127=1,30,IF(G127=2,20,IF(G127=3,10,IF(G127&lt;&gt;"",1,0))))+IF(H127=1,30,IF(H127=2,20,IF(H127=3,10,IF(H127&lt;&gt;"",1,0)))))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>
        <f>IF(AND(C128="",OR(E128="",E128=0)),"",(IF(E128=1,30,IF(E128=2,20,IF(E128=3,10,IF(E128&lt;&gt;"",1,0))))+IF(F128=1,30,IF(F128=2,20,IF(F128=3,10,IF(F128&lt;&gt;"",1,0))))+IF(G128=1,30,IF(G128=2,20,IF(G128=3,10,IF(G128&lt;&gt;"",1,0))))+IF(H128=1,30,IF(H128=2,20,IF(H128=3,10,IF(H128&lt;&gt;"",1,0)))))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>
        <f>IF(AND(C129="",OR(E129="",E129=0)),"",(IF(E129=1,30,IF(E129=2,20,IF(E129=3,10,IF(E129&lt;&gt;"",1,0))))+IF(F129=1,30,IF(F129=2,20,IF(F129=3,10,IF(F129&lt;&gt;"",1,0))))+IF(G129=1,30,IF(G129=2,20,IF(G129=3,10,IF(G129&lt;&gt;"",1,0))))+IF(H129=1,30,IF(H129=2,20,IF(H129=3,10,IF(H129&lt;&gt;"",1,0))))))</f>
        <v/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>
        <f>IF(AND(C130="",OR(E130="",E130=0)),"",(IF(E130=1,30,IF(E130=2,20,IF(E130=3,10,IF(E130&lt;&gt;"",1,0))))+IF(F130=1,30,IF(F130=2,20,IF(F130=3,10,IF(F130&lt;&gt;"",1,0))))+IF(G130=1,30,IF(G130=2,20,IF(G130=3,10,IF(G130&lt;&gt;"",1,0))))+IF(H130=1,30,IF(H130=2,20,IF(H130=3,10,IF(H130&lt;&gt;"",1,0)))))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>
        <f>IF(AND(C131="",OR(E131="",E131=0)),"",(IF(E131=1,30,IF(E131=2,20,IF(E131=3,10,IF(E131&lt;&gt;"",1,0))))+IF(F131=1,30,IF(F131=2,20,IF(F131=3,10,IF(F131&lt;&gt;"",1,0))))+IF(G131=1,30,IF(G131=2,20,IF(G131=3,10,IF(G131&lt;&gt;"",1,0))))+IF(H131=1,30,IF(H131=2,20,IF(H131=3,10,IF(H131&lt;&gt;"",1,0))))))</f>
        <v/>
      </c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>
        <f>IF(AND(C132="",OR(E132="",E132=0)),"",(IF(E132=1,30,IF(E132=2,20,IF(E132=3,10,IF(E132&lt;&gt;"",1,0))))+IF(F132=1,30,IF(F132=2,20,IF(F132=3,10,IF(F132&lt;&gt;"",1,0))))+IF(G132=1,30,IF(G132=2,20,IF(G132=3,10,IF(G132&lt;&gt;"",1,0))))+IF(H132=1,30,IF(H132=2,20,IF(H132=3,10,IF(H132&lt;&gt;"",1,0))))))</f>
        <v/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>
        <f>IF(AND(C133="",OR(E133="",E133=0)),"",(IF(E133=1,30,IF(E133=2,20,IF(E133=3,10,IF(E133&lt;&gt;"",1,0))))+IF(F133=1,30,IF(F133=2,20,IF(F133=3,10,IF(F133&lt;&gt;"",1,0))))+IF(G133=1,30,IF(G133=2,20,IF(G133=3,10,IF(G133&lt;&gt;"",1,0))))+IF(H133=1,30,IF(H133=2,20,IF(H133=3,10,IF(H133&lt;&gt;"",1,0))))))</f>
        <v/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>
        <f>IF(AND(C134="",OR(E134="",E134=0)),"",(IF(E134=1,30,IF(E134=2,20,IF(E134=3,10,IF(E134&lt;&gt;"",1,0))))+IF(F134=1,30,IF(F134=2,20,IF(F134=3,10,IF(F134&lt;&gt;"",1,0))))+IF(G134=1,30,IF(G134=2,20,IF(G134=3,10,IF(G134&lt;&gt;"",1,0))))+IF(H134=1,30,IF(H134=2,20,IF(H134=3,10,IF(H134&lt;&gt;"",1,0)))))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>
        <f>IF(AND(C135="",OR(E135="",E135=0)),"",(IF(E135=1,30,IF(E135=2,20,IF(E135=3,10,IF(E135&lt;&gt;"",1,0))))+IF(F135=1,30,IF(F135=2,20,IF(F135=3,10,IF(F135&lt;&gt;"",1,0))))+IF(G135=1,30,IF(G135=2,20,IF(G135=3,10,IF(G135&lt;&gt;"",1,0))))+IF(H135=1,30,IF(H135=2,20,IF(H135=3,10,IF(H135&lt;&gt;"",1,0))))))</f>
        <v/>
      </c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>
        <f>IF(AND(C136="",OR(E136="",E136=0)),"",(IF(E136=1,30,IF(E136=2,20,IF(E136=3,10,IF(E136&lt;&gt;"",1,0))))+IF(F136=1,30,IF(F136=2,20,IF(F136=3,10,IF(F136&lt;&gt;"",1,0))))+IF(G136=1,30,IF(G136=2,20,IF(G136=3,10,IF(G136&lt;&gt;"",1,0))))+IF(H136=1,30,IF(H136=2,20,IF(H136=3,10,IF(H136&lt;&gt;"",1,0))))))</f>
        <v/>
      </c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>
        <f>IF(AND(C137="",OR(E137="",E137=0)),"",(IF(E137=1,30,IF(E137=2,20,IF(E137=3,10,IF(E137&lt;&gt;"",1,0))))+IF(F137=1,30,IF(F137=2,20,IF(F137=3,10,IF(F137&lt;&gt;"",1,0))))+IF(G137=1,30,IF(G137=2,20,IF(G137=3,10,IF(G137&lt;&gt;"",1,0))))+IF(H137=1,30,IF(H137=2,20,IF(H137=3,10,IF(H137&lt;&gt;"",1,0))))))</f>
        <v/>
      </c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>
        <f>IF(AND(C138="",OR(E138="",E138=0)),"",(IF(E138=1,30,IF(E138=2,20,IF(E138=3,10,IF(E138&lt;&gt;"",1,0))))+IF(F138=1,30,IF(F138=2,20,IF(F138=3,10,IF(F138&lt;&gt;"",1,0))))+IF(G138=1,30,IF(G138=2,20,IF(G138=3,10,IF(G138&lt;&gt;"",1,0))))+IF(H138=1,30,IF(H138=2,20,IF(H138=3,10,IF(H138&lt;&gt;"",1,0))))))</f>
        <v/>
      </c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>
        <f>IF(AND(C139="",OR(E139="",E139=0)),"",(IF(E139=1,30,IF(E139=2,20,IF(E139=3,10,IF(E139&lt;&gt;"",1,0))))+IF(F139=1,30,IF(F139=2,20,IF(F139=3,10,IF(F139&lt;&gt;"",1,0))))+IF(G139=1,30,IF(G139=2,20,IF(G139=3,10,IF(G139&lt;&gt;"",1,0))))+IF(H139=1,30,IF(H139=2,20,IF(H139=3,10,IF(H139&lt;&gt;"",1,0))))))</f>
        <v/>
      </c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>
        <f>IF(AND(C140="",OR(E140="",E140=0)),"",(IF(E140=1,30,IF(E140=2,20,IF(E140=3,10,IF(E140&lt;&gt;"",1,0))))+IF(F140=1,30,IF(F140=2,20,IF(F140=3,10,IF(F140&lt;&gt;"",1,0))))+IF(G140=1,30,IF(G140=2,20,IF(G140=3,10,IF(G140&lt;&gt;"",1,0))))+IF(H140=1,30,IF(H140=2,20,IF(H140=3,10,IF(H140&lt;&gt;"",1,0))))))</f>
        <v/>
      </c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>
        <f>IF(AND(C141="",OR(E141="",E141=0)),"",(IF(E141=1,30,IF(E141=2,20,IF(E141=3,10,IF(E141&lt;&gt;"",1,0))))+IF(F141=1,30,IF(F141=2,20,IF(F141=3,10,IF(F141&lt;&gt;"",1,0))))+IF(G141=1,30,IF(G141=2,20,IF(G141=3,10,IF(G141&lt;&gt;"",1,0))))+IF(H141=1,30,IF(H141=2,20,IF(H141=3,10,IF(H141&lt;&gt;"",1,0))))))</f>
        <v/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>
        <f>IF(AND(C142="",OR(E142="",E142=0)),"",(IF(E142=1,30,IF(E142=2,20,IF(E142=3,10,IF(E142&lt;&gt;"",1,0))))+IF(F142=1,30,IF(F142=2,20,IF(F142=3,10,IF(F142&lt;&gt;"",1,0))))+IF(G142=1,30,IF(G142=2,20,IF(G142=3,10,IF(G142&lt;&gt;"",1,0))))+IF(H142=1,30,IF(H142=2,20,IF(H142=3,10,IF(H142&lt;&gt;"",1,0))))))</f>
        <v/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>
        <f>IF(AND(C143="",OR(E143="",E143=0)),"",(IF(E143=1,30,IF(E143=2,20,IF(E143=3,10,IF(E143&lt;&gt;"",1,0))))+IF(F143=1,30,IF(F143=2,20,IF(F143=3,10,IF(F143&lt;&gt;"",1,0))))+IF(G143=1,30,IF(G143=2,20,IF(G143=3,10,IF(G143&lt;&gt;"",1,0))))+IF(H143=1,30,IF(H143=2,20,IF(H143=3,10,IF(H143&lt;&gt;"",1,0)))))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>
        <f>IF(AND(C144="",OR(E144="",E144=0)),"",(IF(E144=1,30,IF(E144=2,20,IF(E144=3,10,IF(E144&lt;&gt;"",1,0))))+IF(F144=1,30,IF(F144=2,20,IF(F144=3,10,IF(F144&lt;&gt;"",1,0))))+IF(G144=1,30,IF(G144=2,20,IF(G144=3,10,IF(G144&lt;&gt;"",1,0))))+IF(H144=1,30,IF(H144=2,20,IF(H144=3,10,IF(H144&lt;&gt;"",1,0)))))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>
        <f>IF(AND(C145="",OR(E145="",E145=0)),"",(IF(E145=1,30,IF(E145=2,20,IF(E145=3,10,IF(E145&lt;&gt;"",1,0))))+IF(F145=1,30,IF(F145=2,20,IF(F145=3,10,IF(F145&lt;&gt;"",1,0))))+IF(G145=1,30,IF(G145=2,20,IF(G145=3,10,IF(G145&lt;&gt;"",1,0))))+IF(H145=1,30,IF(H145=2,20,IF(H145=3,10,IF(H145&lt;&gt;"",1,0))))))</f>
        <v/>
      </c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>
        <f>IF(AND(C146="",OR(E146="",E146=0)),"",(IF(E146=1,30,IF(E146=2,20,IF(E146=3,10,IF(E146&lt;&gt;"",1,0))))+IF(F146=1,30,IF(F146=2,20,IF(F146=3,10,IF(F146&lt;&gt;"",1,0))))+IF(G146=1,30,IF(G146=2,20,IF(G146=3,10,IF(G146&lt;&gt;"",1,0))))+IF(H146=1,30,IF(H146=2,20,IF(H146=3,10,IF(H146&lt;&gt;"",1,0))))))</f>
        <v/>
      </c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>
        <f>IF(AND(C147="",OR(E147="",E147=0)),"",(IF(E147=1,30,IF(E147=2,20,IF(E147=3,10,IF(E147&lt;&gt;"",1,0))))+IF(F147=1,30,IF(F147=2,20,IF(F147=3,10,IF(F147&lt;&gt;"",1,0))))+IF(G147=1,30,IF(G147=2,20,IF(G147=3,10,IF(G147&lt;&gt;"",1,0))))+IF(H147=1,30,IF(H147=2,20,IF(H147=3,10,IF(H147&lt;&gt;"",1,0))))))</f>
        <v/>
      </c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>
        <f>IF(AND(C148="",OR(E148="",E148=0)),"",(IF(E148=1,30,IF(E148=2,20,IF(E148=3,10,IF(E148&lt;&gt;"",1,0))))+IF(F148=1,30,IF(F148=2,20,IF(F148=3,10,IF(F148&lt;&gt;"",1,0))))+IF(G148=1,30,IF(G148=2,20,IF(G148=3,10,IF(G148&lt;&gt;"",1,0))))+IF(H148=1,30,IF(H148=2,20,IF(H148=3,10,IF(H148&lt;&gt;"",1,0)))))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>
        <f>IF(AND(C149="",OR(E149="",E149=0)),"",(IF(E149=1,30,IF(E149=2,20,IF(E149=3,10,IF(E149&lt;&gt;"",1,0))))+IF(F149=1,30,IF(F149=2,20,IF(F149=3,10,IF(F149&lt;&gt;"",1,0))))+IF(G149=1,30,IF(G149=2,20,IF(G149=3,10,IF(G149&lt;&gt;"",1,0))))+IF(H149=1,30,IF(H149=2,20,IF(H149=3,10,IF(H149&lt;&gt;"",1,0))))))</f>
        <v/>
      </c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>
        <f>IF(AND(C150="",OR(E150="",E150=0)),"",(IF(E150=1,30,IF(E150=2,20,IF(E150=3,10,IF(E150&lt;&gt;"",1,0))))+IF(F150=1,30,IF(F150=2,20,IF(F150=3,10,IF(F150&lt;&gt;"",1,0))))+IF(G150=1,30,IF(G150=2,20,IF(G150=3,10,IF(G150&lt;&gt;"",1,0))))+IF(H150=1,30,IF(H150=2,20,IF(H150=3,10,IF(H150&lt;&gt;"",1,0))))))</f>
        <v/>
      </c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>
        <f>IF(AND(C151="",OR(E151="",E151=0)),"",(IF(E151=1,30,IF(E151=2,20,IF(E151=3,10,IF(E151&lt;&gt;"",1,0))))+IF(F151=1,30,IF(F151=2,20,IF(F151=3,10,IF(F151&lt;&gt;"",1,0))))+IF(G151=1,30,IF(G151=2,20,IF(G151=3,10,IF(G151&lt;&gt;"",1,0))))+IF(H151=1,30,IF(H151=2,20,IF(H151=3,10,IF(H151&lt;&gt;"",1,0))))))</f>
        <v/>
      </c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>
        <f>IF(AND(C152="",OR(E152="",E152=0)),"",(IF(E152=1,30,IF(E152=2,20,IF(E152=3,10,IF(E152&lt;&gt;"",1,0))))+IF(F152=1,30,IF(F152=2,20,IF(F152=3,10,IF(F152&lt;&gt;"",1,0))))+IF(G152=1,30,IF(G152=2,20,IF(G152=3,10,IF(G152&lt;&gt;"",1,0))))+IF(H152=1,30,IF(H152=2,20,IF(H152=3,10,IF(H152&lt;&gt;"",1,0))))))</f>
        <v/>
      </c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>
        <f>IF(AND(C153="",OR(E153="",E153=0)),"",(IF(E153=1,30,IF(E153=2,20,IF(E153=3,10,IF(E153&lt;&gt;"",1,0))))+IF(F153=1,30,IF(F153=2,20,IF(F153=3,10,IF(F153&lt;&gt;"",1,0))))+IF(G153=1,30,IF(G153=2,20,IF(G153=3,10,IF(G153&lt;&gt;"",1,0))))+IF(H153=1,30,IF(H153=2,20,IF(H153=3,10,IF(H153&lt;&gt;"",1,0))))))</f>
        <v/>
      </c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>
        <f>IF(AND(C154="",OR(E154="",E154=0)),"",(IF(E154=1,30,IF(E154=2,20,IF(E154=3,10,IF(E154&lt;&gt;"",1,0))))+IF(F154=1,30,IF(F154=2,20,IF(F154=3,10,IF(F154&lt;&gt;"",1,0))))+IF(G154=1,30,IF(G154=2,20,IF(G154=3,10,IF(G154&lt;&gt;"",1,0))))+IF(H154=1,30,IF(H154=2,20,IF(H154=3,10,IF(H154&lt;&gt;"",1,0))))))</f>
        <v/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>
        <f>IF(AND(C155="",OR(E155="",E155=0)),"",(IF(E155=1,30,IF(E155=2,20,IF(E155=3,10,IF(E155&lt;&gt;"",1,0))))+IF(F155=1,30,IF(F155=2,20,IF(F155=3,10,IF(F155&lt;&gt;"",1,0))))+IF(G155=1,30,IF(G155=2,20,IF(G155=3,10,IF(G155&lt;&gt;"",1,0))))+IF(H155=1,30,IF(H155=2,20,IF(H155=3,10,IF(H155&lt;&gt;"",1,0))))))</f>
        <v/>
      </c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>
        <f>IF(AND(C156="",OR(E156="",E156=0)),"",(IF(E156=1,30,IF(E156=2,20,IF(E156=3,10,IF(E156&lt;&gt;"",1,0))))+IF(F156=1,30,IF(F156=2,20,IF(F156=3,10,IF(F156&lt;&gt;"",1,0))))+IF(G156=1,30,IF(G156=2,20,IF(G156=3,10,IF(G156&lt;&gt;"",1,0))))+IF(H156=1,30,IF(H156=2,20,IF(H156=3,10,IF(H156&lt;&gt;"",1,0))))))</f>
        <v/>
      </c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>
        <f>IF(AND(C157="",OR(E157="",E157=0)),"",(IF(E157=1,30,IF(E157=2,20,IF(E157=3,10,IF(E157&lt;&gt;"",1,0))))+IF(F157=1,30,IF(F157=2,20,IF(F157=3,10,IF(F157&lt;&gt;"",1,0))))+IF(G157=1,30,IF(G157=2,20,IF(G157=3,10,IF(G157&lt;&gt;"",1,0))))+IF(H157=1,30,IF(H157=2,20,IF(H157=3,10,IF(H157&lt;&gt;"",1,0)))))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>
        <f>IF(AND(C158="",OR(E158="",E158=0)),"",(IF(E158=1,30,IF(E158=2,20,IF(E158=3,10,IF(E158&lt;&gt;"",1,0))))+IF(F158=1,30,IF(F158=2,20,IF(F158=3,10,IF(F158&lt;&gt;"",1,0))))+IF(G158=1,30,IF(G158=2,20,IF(G158=3,10,IF(G158&lt;&gt;"",1,0))))+IF(H158=1,30,IF(H158=2,20,IF(H158=3,10,IF(H158&lt;&gt;"",1,0))))))</f>
        <v/>
      </c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>
        <f>IF(AND(C159="",OR(E159="",E159=0)),"",(IF(E159=1,30,IF(E159=2,20,IF(E159=3,10,IF(E159&lt;&gt;"",1,0))))+IF(F159=1,30,IF(F159=2,20,IF(F159=3,10,IF(F159&lt;&gt;"",1,0))))+IF(G159=1,30,IF(G159=2,20,IF(G159=3,10,IF(G159&lt;&gt;"",1,0))))+IF(H159=1,30,IF(H159=2,20,IF(H159=3,10,IF(H159&lt;&gt;"",1,0))))))</f>
        <v/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>
        <f>IF(AND(C160="",OR(E160="",E160=0)),"",(IF(E160=1,30,IF(E160=2,20,IF(E160=3,10,IF(E160&lt;&gt;"",1,0))))+IF(F160=1,30,IF(F160=2,20,IF(F160=3,10,IF(F160&lt;&gt;"",1,0))))+IF(G160=1,30,IF(G160=2,20,IF(G160=3,10,IF(G160&lt;&gt;"",1,0))))+IF(H160=1,30,IF(H160=2,20,IF(H160=3,10,IF(H160&lt;&gt;"",1,0))))))</f>
        <v/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>
        <f>IF(AND(C161="",OR(E161="",E161=0)),"",(IF(E161=1,30,IF(E161=2,20,IF(E161=3,10,IF(E161&lt;&gt;"",1,0))))+IF(F161=1,30,IF(F161=2,20,IF(F161=3,10,IF(F161&lt;&gt;"",1,0))))+IF(G161=1,30,IF(G161=2,20,IF(G161=3,10,IF(G161&lt;&gt;"",1,0))))+IF(H161=1,30,IF(H161=2,20,IF(H161=3,10,IF(H161&lt;&gt;"",1,0)))))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>
        <f>IF(AND(C162="",OR(E162="",E162=0)),"",(IF(E162=1,30,IF(E162=2,20,IF(E162=3,10,IF(E162&lt;&gt;"",1,0))))+IF(F162=1,30,IF(F162=2,20,IF(F162=3,10,IF(F162&lt;&gt;"",1,0))))+IF(G162=1,30,IF(G162=2,20,IF(G162=3,10,IF(G162&lt;&gt;"",1,0))))+IF(H162=1,30,IF(H162=2,20,IF(H162=3,10,IF(H162&lt;&gt;"",1,0))))))</f>
        <v/>
      </c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>
        <f>IF(AND(C163="",OR(E163="",E163=0)),"",(IF(E163=1,30,IF(E163=2,20,IF(E163=3,10,IF(E163&lt;&gt;"",1,0))))+IF(F163=1,30,IF(F163=2,20,IF(F163=3,10,IF(F163&lt;&gt;"",1,0))))+IF(G163=1,30,IF(G163=2,20,IF(G163=3,10,IF(G163&lt;&gt;"",1,0))))+IF(H163=1,30,IF(H163=2,20,IF(H163=3,10,IF(H163&lt;&gt;"",1,0))))))</f>
        <v/>
      </c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>
        <f>IF(AND(C164="",OR(E164="",E164=0)),"",(IF(E164=1,30,IF(E164=2,20,IF(E164=3,10,IF(E164&lt;&gt;"",1,0))))+IF(F164=1,30,IF(F164=2,20,IF(F164=3,10,IF(F164&lt;&gt;"",1,0))))+IF(G164=1,30,IF(G164=2,20,IF(G164=3,10,IF(G164&lt;&gt;"",1,0))))+IF(H164=1,30,IF(H164=2,20,IF(H164=3,10,IF(H164&lt;&gt;"",1,0))))))</f>
        <v/>
      </c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>
        <f>IF(AND(C165="",OR(E165="",E165=0)),"",(IF(E165=1,30,IF(E165=2,20,IF(E165=3,10,IF(E165&lt;&gt;"",1,0))))+IF(F165=1,30,IF(F165=2,20,IF(F165=3,10,IF(F165&lt;&gt;"",1,0))))+IF(G165=1,30,IF(G165=2,20,IF(G165=3,10,IF(G165&lt;&gt;"",1,0))))+IF(H165=1,30,IF(H165=2,20,IF(H165=3,10,IF(H165&lt;&gt;"",1,0))))))</f>
        <v/>
      </c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>
        <f>IF(AND(C166="",OR(E166="",E166=0)),"",(IF(E166=1,30,IF(E166=2,20,IF(E166=3,10,IF(E166&lt;&gt;"",1,0))))+IF(F166=1,30,IF(F166=2,20,IF(F166=3,10,IF(F166&lt;&gt;"",1,0))))+IF(G166=1,30,IF(G166=2,20,IF(G166=3,10,IF(G166&lt;&gt;"",1,0))))+IF(H166=1,30,IF(H166=2,20,IF(H166=3,10,IF(H166&lt;&gt;"",1,0)))))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>
        <f>IF(AND(C167="",OR(E167="",E167=0)),"",(IF(E167=1,30,IF(E167=2,20,IF(E167=3,10,IF(E167&lt;&gt;"",1,0))))+IF(F167=1,30,IF(F167=2,20,IF(F167=3,10,IF(F167&lt;&gt;"",1,0))))+IF(G167=1,30,IF(G167=2,20,IF(G167=3,10,IF(G167&lt;&gt;"",1,0))))+IF(H167=1,30,IF(H167=2,20,IF(H167=3,10,IF(H167&lt;&gt;"",1,0))))))</f>
        <v/>
      </c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>
        <f>IF(AND(C168="",OR(E168="",E168=0)),"",(IF(E168=1,30,IF(E168=2,20,IF(E168=3,10,IF(E168&lt;&gt;"",1,0))))+IF(F168=1,30,IF(F168=2,20,IF(F168=3,10,IF(F168&lt;&gt;"",1,0))))+IF(G168=1,30,IF(G168=2,20,IF(G168=3,10,IF(G168&lt;&gt;"",1,0))))+IF(H168=1,30,IF(H168=2,20,IF(H168=3,10,IF(H168&lt;&gt;"",1,0))))))</f>
        <v/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>
        <f>IF(AND(C169="",OR(E169="",E169=0)),"",(IF(E169=1,30,IF(E169=2,20,IF(E169=3,10,IF(E169&lt;&gt;"",1,0))))+IF(F169=1,30,IF(F169=2,20,IF(F169=3,10,IF(F169&lt;&gt;"",1,0))))+IF(G169=1,30,IF(G169=2,20,IF(G169=3,10,IF(G169&lt;&gt;"",1,0))))+IF(H169=1,30,IF(H169=2,20,IF(H169=3,10,IF(H169&lt;&gt;"",1,0))))))</f>
        <v/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>
        <f>IF(AND(C170="",OR(E170="",E170=0)),"",(IF(E170=1,30,IF(E170=2,20,IF(E170=3,10,IF(E170&lt;&gt;"",1,0))))+IF(F170=1,30,IF(F170=2,20,IF(F170=3,10,IF(F170&lt;&gt;"",1,0))))+IF(G170=1,30,IF(G170=2,20,IF(G170=3,10,IF(G170&lt;&gt;"",1,0))))+IF(H170=1,30,IF(H170=2,20,IF(H170=3,10,IF(H170&lt;&gt;"",1,0)))))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>
        <f>IF(AND(C171="",OR(E171="",E171=0)),"",(IF(E171=1,30,IF(E171=2,20,IF(E171=3,10,IF(E171&lt;&gt;"",1,0))))+IF(F171=1,30,IF(F171=2,20,IF(F171=3,10,IF(F171&lt;&gt;"",1,0))))+IF(G171=1,30,IF(G171=2,20,IF(G171=3,10,IF(G171&lt;&gt;"",1,0))))+IF(H171=1,30,IF(H171=2,20,IF(H171=3,10,IF(H171&lt;&gt;"",1,0))))))</f>
        <v/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>
        <f>IF(AND(C172="",OR(E172="",E172=0)),"",(IF(E172=1,30,IF(E172=2,20,IF(E172=3,10,IF(E172&lt;&gt;"",1,0))))+IF(F172=1,30,IF(F172=2,20,IF(F172=3,10,IF(F172&lt;&gt;"",1,0))))+IF(G172=1,30,IF(G172=2,20,IF(G172=3,10,IF(G172&lt;&gt;"",1,0))))+IF(H172=1,30,IF(H172=2,20,IF(H172=3,10,IF(H172&lt;&gt;"",1,0))))))</f>
        <v/>
      </c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>
        <f>IF(AND(C173="",OR(E173="",E173=0)),"",(IF(E173=1,30,IF(E173=2,20,IF(E173=3,10,IF(E173&lt;&gt;"",1,0))))+IF(F173=1,30,IF(F173=2,20,IF(F173=3,10,IF(F173&lt;&gt;"",1,0))))+IF(G173=1,30,IF(G173=2,20,IF(G173=3,10,IF(G173&lt;&gt;"",1,0))))+IF(H173=1,30,IF(H173=2,20,IF(H173=3,10,IF(H173&lt;&gt;"",1,0))))))</f>
        <v/>
      </c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>
        <f>IF(AND(C174="",OR(E174="",E174=0)),"",(IF(E174=1,30,IF(E174=2,20,IF(E174=3,10,IF(E174&lt;&gt;"",1,0))))+IF(F174=1,30,IF(F174=2,20,IF(F174=3,10,IF(F174&lt;&gt;"",1,0))))+IF(G174=1,30,IF(G174=2,20,IF(G174=3,10,IF(G174&lt;&gt;"",1,0))))+IF(H174=1,30,IF(H174=2,20,IF(H174=3,10,IF(H174&lt;&gt;"",1,0))))))</f>
        <v/>
      </c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>
        <f>IF(AND(C175="",OR(E175="",E175=0)),"",(IF(E175=1,30,IF(E175=2,20,IF(E175=3,10,IF(E175&lt;&gt;"",1,0))))+IF(F175=1,30,IF(F175=2,20,IF(F175=3,10,IF(F175&lt;&gt;"",1,0))))+IF(G175=1,30,IF(G175=2,20,IF(G175=3,10,IF(G175&lt;&gt;"",1,0))))+IF(H175=1,30,IF(H175=2,20,IF(H175=3,10,IF(H175&lt;&gt;"",1,0)))))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>
        <f>IF(AND(C176="",OR(E176="",E176=0)),"",(IF(E176=1,30,IF(E176=2,20,IF(E176=3,10,IF(E176&lt;&gt;"",1,0))))+IF(F176=1,30,IF(F176=2,20,IF(F176=3,10,IF(F176&lt;&gt;"",1,0))))+IF(G176=1,30,IF(G176=2,20,IF(G176=3,10,IF(G176&lt;&gt;"",1,0))))+IF(H176=1,30,IF(H176=2,20,IF(H176=3,10,IF(H176&lt;&gt;"",1,0))))))</f>
        <v/>
      </c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>
        <f>IF(AND(C177="",OR(E177="",E177=0)),"",(IF(E177=1,30,IF(E177=2,20,IF(E177=3,10,IF(E177&lt;&gt;"",1,0))))+IF(F177=1,30,IF(F177=2,20,IF(F177=3,10,IF(F177&lt;&gt;"",1,0))))+IF(G177=1,30,IF(G177=2,20,IF(G177=3,10,IF(G177&lt;&gt;"",1,0))))+IF(H177=1,30,IF(H177=2,20,IF(H177=3,10,IF(H177&lt;&gt;"",1,0))))))</f>
        <v/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>
        <f>IF(AND(C178="",OR(E178="",E178=0)),"",(IF(E178=1,30,IF(E178=2,20,IF(E178=3,10,IF(E178&lt;&gt;"",1,0))))+IF(F178=1,30,IF(F178=2,20,IF(F178=3,10,IF(F178&lt;&gt;"",1,0))))+IF(G178=1,30,IF(G178=2,20,IF(G178=3,10,IF(G178&lt;&gt;"",1,0))))+IF(H178=1,30,IF(H178=2,20,IF(H178=3,10,IF(H178&lt;&gt;"",1,0))))))</f>
        <v/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>
        <f>IF(AND(C179="",OR(E179="",E179=0)),"",(IF(E179=1,30,IF(E179=2,20,IF(E179=3,10,IF(E179&lt;&gt;"",1,0))))+IF(F179=1,30,IF(F179=2,20,IF(F179=3,10,IF(F179&lt;&gt;"",1,0))))+IF(G179=1,30,IF(G179=2,20,IF(G179=3,10,IF(G179&lt;&gt;"",1,0))))+IF(H179=1,30,IF(H179=2,20,IF(H179=3,10,IF(H179&lt;&gt;"",1,0)))))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>
        <f>IF(AND(C180="",OR(E180="",E180=0)),"",(IF(E180=1,30,IF(E180=2,20,IF(E180=3,10,IF(E180&lt;&gt;"",1,0))))+IF(F180=1,30,IF(F180=2,20,IF(F180=3,10,IF(F180&lt;&gt;"",1,0))))+IF(G180=1,30,IF(G180=2,20,IF(G180=3,10,IF(G180&lt;&gt;"",1,0))))+IF(H180=1,30,IF(H180=2,20,IF(H180=3,10,IF(H180&lt;&gt;"",1,0))))))</f>
        <v/>
      </c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>
        <f>IF(AND(C181="",OR(E181="",E181=0)),"",(IF(E181=1,30,IF(E181=2,20,IF(E181=3,10,IF(E181&lt;&gt;"",1,0))))+IF(F181=1,30,IF(F181=2,20,IF(F181=3,10,IF(F181&lt;&gt;"",1,0))))+IF(G181=1,30,IF(G181=2,20,IF(G181=3,10,IF(G181&lt;&gt;"",1,0))))+IF(H181=1,30,IF(H181=2,20,IF(H181=3,10,IF(H181&lt;&gt;"",1,0))))))</f>
        <v/>
      </c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>
        <f>IF(AND(C182="",OR(E182="",E182=0)),"",(IF(E182=1,30,IF(E182=2,20,IF(E182=3,10,IF(E182&lt;&gt;"",1,0))))+IF(F182=1,30,IF(F182=2,20,IF(F182=3,10,IF(F182&lt;&gt;"",1,0))))+IF(G182=1,30,IF(G182=2,20,IF(G182=3,10,IF(G182&lt;&gt;"",1,0))))+IF(H182=1,30,IF(H182=2,20,IF(H182=3,10,IF(H182&lt;&gt;"",1,0))))))</f>
        <v/>
      </c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>
        <f>IF(AND(C183="",OR(E183="",E183=0)),"",(IF(E183=1,30,IF(E183=2,20,IF(E183=3,10,IF(E183&lt;&gt;"",1,0))))+IF(F183=1,30,IF(F183=2,20,IF(F183=3,10,IF(F183&lt;&gt;"",1,0))))+IF(G183=1,30,IF(G183=2,20,IF(G183=3,10,IF(G183&lt;&gt;"",1,0))))+IF(H183=1,30,IF(H183=2,20,IF(H183=3,10,IF(H183&lt;&gt;"",1,0))))))</f>
        <v/>
      </c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>
        <f>IF(AND(C184="",OR(E184="",E184=0)),"",(IF(E184=1,30,IF(E184=2,20,IF(E184=3,10,IF(E184&lt;&gt;"",1,0))))+IF(F184=1,30,IF(F184=2,20,IF(F184=3,10,IF(F184&lt;&gt;"",1,0))))+IF(G184=1,30,IF(G184=2,20,IF(G184=3,10,IF(G184&lt;&gt;"",1,0))))+IF(H184=1,30,IF(H184=2,20,IF(H184=3,10,IF(H184&lt;&gt;"",1,0)))))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>
        <f>IF(AND(C185="",OR(E185="",E185=0)),"",(IF(E185=1,30,IF(E185=2,20,IF(E185=3,10,IF(E185&lt;&gt;"",1,0))))+IF(F185=1,30,IF(F185=2,20,IF(F185=3,10,IF(F185&lt;&gt;"",1,0))))+IF(G185=1,30,IF(G185=2,20,IF(G185=3,10,IF(G185&lt;&gt;"",1,0))))+IF(H185=1,30,IF(H185=2,20,IF(H185=3,10,IF(H185&lt;&gt;"",1,0))))))</f>
        <v/>
      </c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>
        <f>IF(AND(C186="",OR(E186="",E186=0)),"",(IF(E186=1,30,IF(E186=2,20,IF(E186=3,10,IF(E186&lt;&gt;"",1,0))))+IF(F186=1,30,IF(F186=2,20,IF(F186=3,10,IF(F186&lt;&gt;"",1,0))))+IF(G186=1,30,IF(G186=2,20,IF(G186=3,10,IF(G186&lt;&gt;"",1,0))))+IF(H186=1,30,IF(H186=2,20,IF(H186=3,10,IF(H186&lt;&gt;"",1,0))))))</f>
        <v/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>
        <f>IF(AND(C187="",OR(E187="",E187=0)),"",(IF(E187=1,30,IF(E187=2,20,IF(E187=3,10,IF(E187&lt;&gt;"",1,0))))+IF(F187=1,30,IF(F187=2,20,IF(F187=3,10,IF(F187&lt;&gt;"",1,0))))+IF(G187=1,30,IF(G187=2,20,IF(G187=3,10,IF(G187&lt;&gt;"",1,0))))+IF(H187=1,30,IF(H187=2,20,IF(H187=3,10,IF(H187&lt;&gt;"",1,0))))))</f>
        <v/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>
        <f>IF(AND(C188="",OR(E188="",E188=0)),"",(IF(E188=1,30,IF(E188=2,20,IF(E188=3,10,IF(E188&lt;&gt;"",1,0))))+IF(F188=1,30,IF(F188=2,20,IF(F188=3,10,IF(F188&lt;&gt;"",1,0))))+IF(G188=1,30,IF(G188=2,20,IF(G188=3,10,IF(G188&lt;&gt;"",1,0))))+IF(H188=1,30,IF(H188=2,20,IF(H188=3,10,IF(H188&lt;&gt;"",1,0)))))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>
        <f>IF(AND(C189="",OR(E189="",E189=0)),"",(IF(E189=1,30,IF(E189=2,20,IF(E189=3,10,IF(E189&lt;&gt;"",1,0))))+IF(F189=1,30,IF(F189=2,20,IF(F189=3,10,IF(F189&lt;&gt;"",1,0))))+IF(G189=1,30,IF(G189=2,20,IF(G189=3,10,IF(G189&lt;&gt;"",1,0))))+IF(H189=1,30,IF(H189=2,20,IF(H189=3,10,IF(H189&lt;&gt;"",1,0))))))</f>
        <v/>
      </c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>
        <f>IF(AND(C190="",OR(E190="",E190=0)),"",(IF(E190=1,30,IF(E190=2,20,IF(E190=3,10,IF(E190&lt;&gt;"",1,0))))+IF(F190=1,30,IF(F190=2,20,IF(F190=3,10,IF(F190&lt;&gt;"",1,0))))+IF(G190=1,30,IF(G190=2,20,IF(G190=3,10,IF(G190&lt;&gt;"",1,0))))+IF(H190=1,30,IF(H190=2,20,IF(H190=3,10,IF(H190&lt;&gt;"",1,0))))))</f>
        <v/>
      </c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>
        <f>IF(AND(C191="",OR(E191="",E191=0)),"",(IF(E191=1,30,IF(E191=2,20,IF(E191=3,10,IF(E191&lt;&gt;"",1,0))))+IF(F191=1,30,IF(F191=2,20,IF(F191=3,10,IF(F191&lt;&gt;"",1,0))))+IF(G191=1,30,IF(G191=2,20,IF(G191=3,10,IF(G191&lt;&gt;"",1,0))))+IF(H191=1,30,IF(H191=2,20,IF(H191=3,10,IF(H191&lt;&gt;"",1,0))))))</f>
        <v/>
      </c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>
        <f>IF(AND(C192="",OR(E192="",E192=0)),"",(IF(E192=1,30,IF(E192=2,20,IF(E192=3,10,IF(E192&lt;&gt;"",1,0))))+IF(F192=1,30,IF(F192=2,20,IF(F192=3,10,IF(F192&lt;&gt;"",1,0))))+IF(G192=1,30,IF(G192=2,20,IF(G192=3,10,IF(G192&lt;&gt;"",1,0))))+IF(H192=1,30,IF(H192=2,20,IF(H192=3,10,IF(H192&lt;&gt;"",1,0))))))</f>
        <v/>
      </c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>
        <f>IF(AND(C193="",OR(E193="",E193=0)),"",(IF(E193=1,30,IF(E193=2,20,IF(E193=3,10,IF(E193&lt;&gt;"",1,0))))+IF(F193=1,30,IF(F193=2,20,IF(F193=3,10,IF(F193&lt;&gt;"",1,0))))+IF(G193=1,30,IF(G193=2,20,IF(G193=3,10,IF(G193&lt;&gt;"",1,0))))+IF(H193=1,30,IF(H193=2,20,IF(H193=3,10,IF(H193&lt;&gt;"",1,0)))))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>
        <f>IF(AND(C194="",OR(E194="",E194=0)),"",(IF(E194=1,30,IF(E194=2,20,IF(E194=3,10,IF(E194&lt;&gt;"",1,0))))+IF(F194=1,30,IF(F194=2,20,IF(F194=3,10,IF(F194&lt;&gt;"",1,0))))+IF(G194=1,30,IF(G194=2,20,IF(G194=3,10,IF(G194&lt;&gt;"",1,0))))+IF(H194=1,30,IF(H194=2,20,IF(H194=3,10,IF(H194&lt;&gt;"",1,0))))))</f>
        <v/>
      </c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>
        <f>IF(AND(C195="",OR(E195="",E195=0)),"",(IF(E195=1,30,IF(E195=2,20,IF(E195=3,10,IF(E195&lt;&gt;"",1,0))))+IF(F195=1,30,IF(F195=2,20,IF(F195=3,10,IF(F195&lt;&gt;"",1,0))))+IF(G195=1,30,IF(G195=2,20,IF(G195=3,10,IF(G195&lt;&gt;"",1,0))))+IF(H195=1,30,IF(H195=2,20,IF(H195=3,10,IF(H195&lt;&gt;"",1,0))))))</f>
        <v/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>
        <f>IF(AND(C196="",OR(E196="",E196=0)),"",(IF(E196=1,30,IF(E196=2,20,IF(E196=3,10,IF(E196&lt;&gt;"",1,0))))+IF(F196=1,30,IF(F196=2,20,IF(F196=3,10,IF(F196&lt;&gt;"",1,0))))+IF(G196=1,30,IF(G196=2,20,IF(G196=3,10,IF(G196&lt;&gt;"",1,0))))+IF(H196=1,30,IF(H196=2,20,IF(H196=3,10,IF(H196&lt;&gt;"",1,0))))))</f>
        <v/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>
        <f>IF(AND(C197="",OR(E197="",E197=0)),"",(IF(E197=1,30,IF(E197=2,20,IF(E197=3,10,IF(E197&lt;&gt;"",1,0))))+IF(F197=1,30,IF(F197=2,20,IF(F197=3,10,IF(F197&lt;&gt;"",1,0))))+IF(G197=1,30,IF(G197=2,20,IF(G197=3,10,IF(G197&lt;&gt;"",1,0))))+IF(H197=1,30,IF(H197=2,20,IF(H197=3,10,IF(H197&lt;&gt;"",1,0))))))</f>
        <v/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>
        <f>IF(AND(C198="",OR(E198="",E198=0)),"",(IF(E198=1,30,IF(E198=2,20,IF(E198=3,10,IF(E198&lt;&gt;"",1,0))))+IF(F198=1,30,IF(F198=2,20,IF(F198=3,10,IF(F198&lt;&gt;"",1,0))))+IF(G198=1,30,IF(G198=2,20,IF(G198=3,10,IF(G198&lt;&gt;"",1,0))))+IF(H198=1,30,IF(H198=2,20,IF(H198=3,10,IF(H198&lt;&gt;"",1,0))))))</f>
        <v/>
      </c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>
        <f>IF(AND(C199="",OR(E199="",E199=0)),"",(IF(E199=1,30,IF(E199=2,20,IF(E199=3,10,IF(E199&lt;&gt;"",1,0))))+IF(F199=1,30,IF(F199=2,20,IF(F199=3,10,IF(F199&lt;&gt;"",1,0))))+IF(G199=1,30,IF(G199=2,20,IF(G199=3,10,IF(G199&lt;&gt;"",1,0))))+IF(H199=1,30,IF(H199=2,20,IF(H199=3,10,IF(H199&lt;&gt;"",1,0))))))</f>
        <v/>
      </c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>
        <f>IF(AND(C200="",OR(E200="",E200=0)),"",(IF(E200=1,30,IF(E200=2,20,IF(E200=3,10,IF(E200&lt;&gt;"",1,0))))+IF(F200=1,30,IF(F200=2,20,IF(F200=3,10,IF(F200&lt;&gt;"",1,0))))+IF(G200=1,30,IF(G200=2,20,IF(G200=3,10,IF(G200&lt;&gt;"",1,0))))+IF(H200=1,30,IF(H200=2,20,IF(H200=3,10,IF(H200&lt;&gt;"",1,0))))))</f>
        <v/>
      </c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>
        <f>IF(AND(C201="",OR(E201="",E201=0)),"",(IF(E201=1,30,IF(E201=2,20,IF(E201=3,10,IF(E201&lt;&gt;"",1,0))))+IF(F201=1,30,IF(F201=2,20,IF(F201=3,10,IF(F201&lt;&gt;"",1,0))))+IF(G201=1,30,IF(G201=2,20,IF(G201=3,10,IF(G201&lt;&gt;"",1,0))))+IF(H201=1,30,IF(H201=2,20,IF(H201=3,10,IF(H201&lt;&gt;"",1,0))))))</f>
        <v/>
      </c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>
        <f>IF(AND(C202="",OR(E202="",E202=0)),"",(IF(E202=1,30,IF(E202=2,20,IF(E202=3,10,IF(E202&lt;&gt;"",1,0))))+IF(F202=1,30,IF(F202=2,20,IF(F202=3,10,IF(F202&lt;&gt;"",1,0))))+IF(G202=1,30,IF(G202=2,20,IF(G202=3,10,IF(G202&lt;&gt;"",1,0))))+IF(H202=1,30,IF(H202=2,20,IF(H202=3,10,IF(H202&lt;&gt;"",1,0)))))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>
        <f>IF(AND(C203="",OR(E203="",E203=0)),"",(IF(E203=1,30,IF(E203=2,20,IF(E203=3,10,IF(E203&lt;&gt;"",1,0))))+IF(F203=1,30,IF(F203=2,20,IF(F203=3,10,IF(F203&lt;&gt;"",1,0))))+IF(G203=1,30,IF(G203=2,20,IF(G203=3,10,IF(G203&lt;&gt;"",1,0))))+IF(H203=1,30,IF(H203=2,20,IF(H203=3,10,IF(H203&lt;&gt;"",1,0))))))</f>
        <v/>
      </c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>
        <f>IF(AND(C204="",OR(E204="",E204=0)),"",(IF(E204=1,30,IF(E204=2,20,IF(E204=3,10,IF(E204&lt;&gt;"",1,0))))+IF(F204=1,30,IF(F204=2,20,IF(F204=3,10,IF(F204&lt;&gt;"",1,0))))+IF(G204=1,30,IF(G204=2,20,IF(G204=3,10,IF(G204&lt;&gt;"",1,0))))+IF(H204=1,30,IF(H204=2,20,IF(H204=3,10,IF(H204&lt;&gt;"",1,0))))))</f>
        <v/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>
        <f>IF(AND(C205="",OR(E205="",E205=0)),"",(IF(E205=1,30,IF(E205=2,20,IF(E205=3,10,IF(E205&lt;&gt;"",1,0))))+IF(F205=1,30,IF(F205=2,20,IF(F205=3,10,IF(F205&lt;&gt;"",1,0))))+IF(G205=1,30,IF(G205=2,20,IF(G205=3,10,IF(G205&lt;&gt;"",1,0))))+IF(H205=1,30,IF(H205=2,20,IF(H205=3,10,IF(H205&lt;&gt;"",1,0))))))</f>
        <v/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>
        <f>IF(AND(C206="",OR(E206="",E206=0)),"",(IF(E206=1,30,IF(E206=2,20,IF(E206=3,10,IF(E206&lt;&gt;"",1,0))))+IF(F206=1,30,IF(F206=2,20,IF(F206=3,10,IF(F206&lt;&gt;"",1,0))))+IF(G206=1,30,IF(G206=2,20,IF(G206=3,10,IF(G206&lt;&gt;"",1,0))))+IF(H206=1,30,IF(H206=2,20,IF(H206=3,10,IF(H206&lt;&gt;"",1,0)))))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>
        <f>IF(AND(C207="",OR(E207="",E207=0)),"",(IF(E207=1,30,IF(E207=2,20,IF(E207=3,10,IF(E207&lt;&gt;"",1,0))))+IF(F207=1,30,IF(F207=2,20,IF(F207=3,10,IF(F207&lt;&gt;"",1,0))))+IF(G207=1,30,IF(G207=2,20,IF(G207=3,10,IF(G207&lt;&gt;"",1,0))))+IF(H207=1,30,IF(H207=2,20,IF(H207=3,10,IF(H207&lt;&gt;"",1,0)))))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>
        <f>IF(AND(C208="",OR(E208="",E208=0)),"",(IF(E208=1,30,IF(E208=2,20,IF(E208=3,10,IF(E208&lt;&gt;"",1,0))))+IF(F208=1,30,IF(F208=2,20,IF(F208=3,10,IF(F208&lt;&gt;"",1,0))))+IF(G208=1,30,IF(G208=2,20,IF(G208=3,10,IF(G208&lt;&gt;"",1,0))))+IF(H208=1,30,IF(H208=2,20,IF(H208=3,10,IF(H208&lt;&gt;"",1,0))))))</f>
        <v/>
      </c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>
        <f>IF(AND(C209="",OR(E209="",E209=0)),"",(IF(E209=1,30,IF(E209=2,20,IF(E209=3,10,IF(E209&lt;&gt;"",1,0))))+IF(F209=1,30,IF(F209=2,20,IF(F209=3,10,IF(F209&lt;&gt;"",1,0))))+IF(G209=1,30,IF(G209=2,20,IF(G209=3,10,IF(G209&lt;&gt;"",1,0))))+IF(H209=1,30,IF(H209=2,20,IF(H209=3,10,IF(H209&lt;&gt;"",1,0))))))</f>
        <v/>
      </c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>
        <f>IF(AND(C210="",OR(E210="",E210=0)),"",(IF(E210=1,30,IF(E210=2,20,IF(E210=3,10,IF(E210&lt;&gt;"",1,0))))+IF(F210=1,30,IF(F210=2,20,IF(F210=3,10,IF(F210&lt;&gt;"",1,0))))+IF(G210=1,30,IF(G210=2,20,IF(G210=3,10,IF(G210&lt;&gt;"",1,0))))+IF(H210=1,30,IF(H210=2,20,IF(H210=3,10,IF(H210&lt;&gt;"",1,0))))))</f>
        <v/>
      </c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>
        <f>IF(AND(C211="",OR(E211="",E211=0)),"",(IF(E211=1,30,IF(E211=2,20,IF(E211=3,10,IF(E211&lt;&gt;"",1,0))))+IF(F211=1,30,IF(F211=2,20,IF(F211=3,10,IF(F211&lt;&gt;"",1,0))))+IF(G211=1,30,IF(G211=2,20,IF(G211=3,10,IF(G211&lt;&gt;"",1,0))))+IF(H211=1,30,IF(H211=2,20,IF(H211=3,10,IF(H211&lt;&gt;"",1,0)))))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>
        <f>IF(AND(C212="",OR(E212="",E212=0)),"",(IF(E212=1,30,IF(E212=2,20,IF(E212=3,10,IF(E212&lt;&gt;"",1,0))))+IF(F212=1,30,IF(F212=2,20,IF(F212=3,10,IF(F212&lt;&gt;"",1,0))))+IF(G212=1,30,IF(G212=2,20,IF(G212=3,10,IF(G212&lt;&gt;"",1,0))))+IF(H212=1,30,IF(H212=2,20,IF(H212=3,10,IF(H212&lt;&gt;"",1,0))))))</f>
        <v/>
      </c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>
        <f>IF(AND(C213="",OR(E213="",E213=0)),"",(IF(E213=1,30,IF(E213=2,20,IF(E213=3,10,IF(E213&lt;&gt;"",1,0))))+IF(F213=1,30,IF(F213=2,20,IF(F213=3,10,IF(F213&lt;&gt;"",1,0))))+IF(G213=1,30,IF(G213=2,20,IF(G213=3,10,IF(G213&lt;&gt;"",1,0))))+IF(H213=1,30,IF(H213=2,20,IF(H213=3,10,IF(H213&lt;&gt;"",1,0))))))</f>
        <v/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>
        <f>IF(AND(C214="",OR(E214="",E214=0)),"",(IF(E214=1,30,IF(E214=2,20,IF(E214=3,10,IF(E214&lt;&gt;"",1,0))))+IF(F214=1,30,IF(F214=2,20,IF(F214=3,10,IF(F214&lt;&gt;"",1,0))))+IF(G214=1,30,IF(G214=2,20,IF(G214=3,10,IF(G214&lt;&gt;"",1,0))))+IF(H214=1,30,IF(H214=2,20,IF(H214=3,10,IF(H214&lt;&gt;"",1,0))))))</f>
        <v/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>
        <f>IF(AND(C215="",OR(E215="",E215=0)),"",(IF(E215=1,30,IF(E215=2,20,IF(E215=3,10,IF(E215&lt;&gt;"",1,0))))+IF(F215=1,30,IF(F215=2,20,IF(F215=3,10,IF(F215&lt;&gt;"",1,0))))+IF(G215=1,30,IF(G215=2,20,IF(G215=3,10,IF(G215&lt;&gt;"",1,0))))+IF(H215=1,30,IF(H215=2,20,IF(H215=3,10,IF(H215&lt;&gt;"",1,0)))))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>
        <f>IF(AND(C216="",OR(E216="",E216=0)),"",(IF(E216=1,30,IF(E216=2,20,IF(E216=3,10,IF(E216&lt;&gt;"",1,0))))+IF(F216=1,30,IF(F216=2,20,IF(F216=3,10,IF(F216&lt;&gt;"",1,0))))+IF(G216=1,30,IF(G216=2,20,IF(G216=3,10,IF(G216&lt;&gt;"",1,0))))+IF(H216=1,30,IF(H216=2,20,IF(H216=3,10,IF(H216&lt;&gt;"",1,0)))))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>
        <f>IF(AND(C217="",OR(E217="",E217=0)),"",(IF(E217=1,30,IF(E217=2,20,IF(E217=3,10,IF(E217&lt;&gt;"",1,0))))+IF(F217=1,30,IF(F217=2,20,IF(F217=3,10,IF(F217&lt;&gt;"",1,0))))+IF(G217=1,30,IF(G217=2,20,IF(G217=3,10,IF(G217&lt;&gt;"",1,0))))+IF(H217=1,30,IF(H217=2,20,IF(H217=3,10,IF(H217&lt;&gt;"",1,0))))))</f>
        <v/>
      </c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>
        <f>IF(AND(C218="",OR(E218="",E218=0)),"",(IF(E218=1,30,IF(E218=2,20,IF(E218=3,10,IF(E218&lt;&gt;"",1,0))))+IF(F218=1,30,IF(F218=2,20,IF(F218=3,10,IF(F218&lt;&gt;"",1,0))))+IF(G218=1,30,IF(G218=2,20,IF(G218=3,10,IF(G218&lt;&gt;"",1,0))))+IF(H218=1,30,IF(H218=2,20,IF(H218=3,10,IF(H218&lt;&gt;"",1,0))))))</f>
        <v/>
      </c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>
        <f>IF(AND(C219="",OR(E219="",E219=0)),"",(IF(E219=1,30,IF(E219=2,20,IF(E219=3,10,IF(E219&lt;&gt;"",1,0))))+IF(F219=1,30,IF(F219=2,20,IF(F219=3,10,IF(F219&lt;&gt;"",1,0))))+IF(G219=1,30,IF(G219=2,20,IF(G219=3,10,IF(G219&lt;&gt;"",1,0))))+IF(H219=1,30,IF(H219=2,20,IF(H219=3,10,IF(H219&lt;&gt;"",1,0))))))</f>
        <v/>
      </c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>
        <f>IF(AND(C220="",OR(E220="",E220=0)),"",(IF(E220=1,30,IF(E220=2,20,IF(E220=3,10,IF(E220&lt;&gt;"",1,0))))+IF(F220=1,30,IF(F220=2,20,IF(F220=3,10,IF(F220&lt;&gt;"",1,0))))+IF(G220=1,30,IF(G220=2,20,IF(G220=3,10,IF(G220&lt;&gt;"",1,0))))+IF(H220=1,30,IF(H220=2,20,IF(H220=3,10,IF(H220&lt;&gt;"",1,0)))))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>
        <f>IF(AND(C221="",OR(E221="",E221=0)),"",(IF(E221=1,30,IF(E221=2,20,IF(E221=3,10,IF(E221&lt;&gt;"",1,0))))+IF(F221=1,30,IF(F221=2,20,IF(F221=3,10,IF(F221&lt;&gt;"",1,0))))+IF(G221=1,30,IF(G221=2,20,IF(G221=3,10,IF(G221&lt;&gt;"",1,0))))+IF(H221=1,30,IF(H221=2,20,IF(H221=3,10,IF(H221&lt;&gt;"",1,0))))))</f>
        <v/>
      </c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>
        <f>IF(AND(C222="",OR(E222="",E222=0)),"",(IF(E222=1,30,IF(E222=2,20,IF(E222=3,10,IF(E222&lt;&gt;"",1,0))))+IF(F222=1,30,IF(F222=2,20,IF(F222=3,10,IF(F222&lt;&gt;"",1,0))))+IF(G222=1,30,IF(G222=2,20,IF(G222=3,10,IF(G222&lt;&gt;"",1,0))))+IF(H222=1,30,IF(H222=2,20,IF(H222=3,10,IF(H222&lt;&gt;"",1,0))))))</f>
        <v/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>
        <f>IF(AND(C223="",OR(E223="",E223=0)),"",(IF(E223=1,30,IF(E223=2,20,IF(E223=3,10,IF(E223&lt;&gt;"",1,0))))+IF(F223=1,30,IF(F223=2,20,IF(F223=3,10,IF(F223&lt;&gt;"",1,0))))+IF(G223=1,30,IF(G223=2,20,IF(G223=3,10,IF(G223&lt;&gt;"",1,0))))+IF(H223=1,30,IF(H223=2,20,IF(H223=3,10,IF(H223&lt;&gt;"",1,0))))))</f>
        <v/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4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>
        <f>IF(AND(C224="",OR(E224="",E224=0)),"",(IF(E224=1,30,IF(E224=2,20,IF(E224=3,10,IF(E224&lt;&gt;"",1,0))))+IF(F224=1,30,IF(F224=2,20,IF(F224=3,10,IF(F224&lt;&gt;"",1,0))))+IF(G224=1,30,IF(G224=2,20,IF(G224=3,10,IF(G224&lt;&gt;"",1,0))))+IF(H224=1,30,IF(H224=2,20,IF(H224=3,10,IF(H224&lt;&gt;"",1,0)))))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4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>
        <f>IF(AND(C225="",OR(E225="",E225=0)),"",(IF(E225=1,30,IF(E225=2,20,IF(E225=3,10,IF(E225&lt;&gt;"",1,0))))+IF(F225=1,30,IF(F225=2,20,IF(F225=3,10,IF(F225&lt;&gt;"",1,0))))+IF(G225=1,30,IF(G225=2,20,IF(G225=3,10,IF(G225&lt;&gt;"",1,0))))+IF(H225=1,30,IF(H225=2,20,IF(H225=3,10,IF(H225&lt;&gt;"",1,0))))))</f>
        <v/>
      </c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4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>
        <f>IF(AND(C226="",OR(E226="",E226=0)),"",(IF(E226=1,30,IF(E226=2,20,IF(E226=3,10,IF(E226&lt;&gt;"",1,0))))+IF(F226=1,30,IF(F226=2,20,IF(F226=3,10,IF(F226&lt;&gt;"",1,0))))+IF(G226=1,30,IF(G226=2,20,IF(G226=3,10,IF(G226&lt;&gt;"",1,0))))+IF(H226=1,30,IF(H226=2,20,IF(H226=3,10,IF(H226&lt;&gt;"",1,0))))))</f>
        <v/>
      </c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4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>
        <f>IF(AND(C227="",OR(E227="",E227=0)),"",(IF(E227=1,30,IF(E227=2,20,IF(E227=3,10,IF(E227&lt;&gt;"",1,0))))+IF(F227=1,30,IF(F227=2,20,IF(F227=3,10,IF(F227&lt;&gt;"",1,0))))+IF(G227=1,30,IF(G227=2,20,IF(G227=3,10,IF(G227&lt;&gt;"",1,0))))+IF(H227=1,30,IF(H227=2,20,IF(H227=3,10,IF(H227&lt;&gt;"",1,0))))))</f>
        <v/>
      </c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4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>
        <f>IF(AND(C228="",OR(E228="",E228=0)),"",(IF(E228=1,30,IF(E228=2,20,IF(E228=3,10,IF(E228&lt;&gt;"",1,0))))+IF(F228=1,30,IF(F228=2,20,IF(F228=3,10,IF(F228&lt;&gt;"",1,0))))+IF(G228=1,30,IF(G228=2,20,IF(G228=3,10,IF(G228&lt;&gt;"",1,0))))+IF(H228=1,30,IF(H228=2,20,IF(H228=3,10,IF(H228&lt;&gt;"",1,0))))))</f>
        <v/>
      </c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4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>
        <f>IF(AND(C229="",OR(E229="",E229=0)),"",(IF(E229=1,30,IF(E229=2,20,IF(E229=3,10,IF(E229&lt;&gt;"",1,0))))+IF(F229=1,30,IF(F229=2,20,IF(F229=3,10,IF(F229&lt;&gt;"",1,0))))+IF(G229=1,30,IF(G229=2,20,IF(G229=3,10,IF(G229&lt;&gt;"",1,0))))+IF(H229=1,30,IF(H229=2,20,IF(H229=3,10,IF(H229&lt;&gt;"",1,0)))))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4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>
        <f>IF(AND(C230="",OR(E230="",E230=0)),"",(IF(E230=1,30,IF(E230=2,20,IF(E230=3,10,IF(E230&lt;&gt;"",1,0))))+IF(F230=1,30,IF(F230=2,20,IF(F230=3,10,IF(F230&lt;&gt;"",1,0))))+IF(G230=1,30,IF(G230=2,20,IF(G230=3,10,IF(G230&lt;&gt;"",1,0))))+IF(H230=1,30,IF(H230=2,20,IF(H230=3,10,IF(H230&lt;&gt;"",1,0))))))</f>
        <v/>
      </c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4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>
        <f>IF(AND(C231="",OR(E231="",E231=0)),"",(IF(E231=1,30,IF(E231=2,20,IF(E231=3,10,IF(E231&lt;&gt;"",1,0))))+IF(F231=1,30,IF(F231=2,20,IF(F231=3,10,IF(F231&lt;&gt;"",1,0))))+IF(G231=1,30,IF(G231=2,20,IF(G231=3,10,IF(G231&lt;&gt;"",1,0))))+IF(H231=1,30,IF(H231=2,20,IF(H231=3,10,IF(H231&lt;&gt;"",1,0))))))</f>
        <v/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4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>
        <f>IF(AND(C232="",OR(E232="",E232=0)),"",(IF(E232=1,30,IF(E232=2,20,IF(E232=3,10,IF(E232&lt;&gt;"",1,0))))+IF(F232=1,30,IF(F232=2,20,IF(F232=3,10,IF(F232&lt;&gt;"",1,0))))+IF(G232=1,30,IF(G232=2,20,IF(G232=3,10,IF(G232&lt;&gt;"",1,0))))+IF(H232=1,30,IF(H232=2,20,IF(H232=3,10,IF(H232&lt;&gt;"",1,0))))))</f>
        <v/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4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>
        <f>IF(AND(C233="",OR(E233="",E233=0)),"",(IF(E233=1,30,IF(E233=2,20,IF(E233=3,10,IF(E233&lt;&gt;"",1,0))))+IF(F233=1,30,IF(F233=2,20,IF(F233=3,10,IF(F233&lt;&gt;"",1,0))))+IF(G233=1,30,IF(G233=2,20,IF(G233=3,10,IF(G233&lt;&gt;"",1,0))))+IF(H233=1,30,IF(H233=2,20,IF(H233=3,10,IF(H233&lt;&gt;"",1,0)))))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4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>
        <f>IF(AND(C234="",OR(E234="",E234=0)),"",(IF(E234=1,30,IF(E234=2,20,IF(E234=3,10,IF(E234&lt;&gt;"",1,0))))+IF(F234=1,30,IF(F234=2,20,IF(F234=3,10,IF(F234&lt;&gt;"",1,0))))+IF(G234=1,30,IF(G234=2,20,IF(G234=3,10,IF(G234&lt;&gt;"",1,0))))+IF(H234=1,30,IF(H234=2,20,IF(H234=3,10,IF(H234&lt;&gt;"",1,0))))))</f>
        <v/>
      </c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4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>
        <f>IF(AND(C235="",OR(E235="",E235=0)),"",(IF(E235=1,30,IF(E235=2,20,IF(E235=3,10,IF(E235&lt;&gt;"",1,0))))+IF(F235=1,30,IF(F235=2,20,IF(F235=3,10,IF(F235&lt;&gt;"",1,0))))+IF(G235=1,30,IF(G235=2,20,IF(G235=3,10,IF(G235&lt;&gt;"",1,0))))+IF(H235=1,30,IF(H235=2,20,IF(H235=3,10,IF(H235&lt;&gt;"",1,0))))))</f>
        <v/>
      </c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4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>
        <f>IF(AND(C236="",OR(E236="",E236=0)),"",(IF(E236=1,30,IF(E236=2,20,IF(E236=3,10,IF(E236&lt;&gt;"",1,0))))+IF(F236=1,30,IF(F236=2,20,IF(F236=3,10,IF(F236&lt;&gt;"",1,0))))+IF(G236=1,30,IF(G236=2,20,IF(G236=3,10,IF(G236&lt;&gt;"",1,0))))+IF(H236=1,30,IF(H236=2,20,IF(H236=3,10,IF(H236&lt;&gt;"",1,0))))))</f>
        <v/>
      </c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4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>
        <f>IF(AND(C237="",OR(E237="",E237=0)),"",(IF(E237=1,30,IF(E237=2,20,IF(E237=3,10,IF(E237&lt;&gt;"",1,0))))+IF(F237=1,30,IF(F237=2,20,IF(F237=3,10,IF(F237&lt;&gt;"",1,0))))+IF(G237=1,30,IF(G237=2,20,IF(G237=3,10,IF(G237&lt;&gt;"",1,0))))+IF(H237=1,30,IF(H237=2,20,IF(H237=3,10,IF(H237&lt;&gt;"",1,0))))))</f>
        <v/>
      </c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4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>
        <f>IF(AND(C238="",OR(E238="",E238=0)),"",(IF(E238=1,30,IF(E238=2,20,IF(E238=3,10,IF(E238&lt;&gt;"",1,0))))+IF(F238=1,30,IF(F238=2,20,IF(F238=3,10,IF(F238&lt;&gt;"",1,0))))+IF(G238=1,30,IF(G238=2,20,IF(G238=3,10,IF(G238&lt;&gt;"",1,0))))+IF(H238=1,30,IF(H238=2,20,IF(H238=3,10,IF(H238&lt;&gt;"",1,0)))))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4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>
        <f>IF(AND(C239="",OR(E239="",E239=0)),"",(IF(E239=1,30,IF(E239=2,20,IF(E239=3,10,IF(E239&lt;&gt;"",1,0))))+IF(F239=1,30,IF(F239=2,20,IF(F239=3,10,IF(F239&lt;&gt;"",1,0))))+IF(G239=1,30,IF(G239=2,20,IF(G239=3,10,IF(G239&lt;&gt;"",1,0))))+IF(H239=1,30,IF(H239=2,20,IF(H239=3,10,IF(H239&lt;&gt;"",1,0))))))</f>
        <v/>
      </c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4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>
        <f>IF(AND(C240="",OR(E240="",E240=0)),"",(IF(E240=1,30,IF(E240=2,20,IF(E240=3,10,IF(E240&lt;&gt;"",1,0))))+IF(F240=1,30,IF(F240=2,20,IF(F240=3,10,IF(F240&lt;&gt;"",1,0))))+IF(G240=1,30,IF(G240=2,20,IF(G240=3,10,IF(G240&lt;&gt;"",1,0))))+IF(H240=1,30,IF(H240=2,20,IF(H240=3,10,IF(H240&lt;&gt;"",1,0))))))</f>
        <v/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4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>
        <f>IF(AND(C241="",OR(E241="",E241=0)),"",(IF(E241=1,30,IF(E241=2,20,IF(E241=3,10,IF(E241&lt;&gt;"",1,0))))+IF(F241=1,30,IF(F241=2,20,IF(F241=3,10,IF(F241&lt;&gt;"",1,0))))+IF(G241=1,30,IF(G241=2,20,IF(G241=3,10,IF(G241&lt;&gt;"",1,0))))+IF(H241=1,30,IF(H241=2,20,IF(H241=3,10,IF(H241&lt;&gt;"",1,0))))))</f>
        <v/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4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>
        <f>IF(AND(C242="",OR(E242="",E242=0)),"",(IF(E242=1,30,IF(E242=2,20,IF(E242=3,10,IF(E242&lt;&gt;"",1,0))))+IF(F242=1,30,IF(F242=2,20,IF(F242=3,10,IF(F242&lt;&gt;"",1,0))))+IF(G242=1,30,IF(G242=2,20,IF(G242=3,10,IF(G242&lt;&gt;"",1,0))))+IF(H242=1,30,IF(H242=2,20,IF(H242=3,10,IF(H242&lt;&gt;"",1,0)))))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>
        <f>IF(AND(C243="",OR(E243="",E243=0)),"",(IF(E243=1,30,IF(E243=2,20,IF(E243=3,10,IF(E243&lt;&gt;"",1,0))))+IF(F243=1,30,IF(F243=2,20,IF(F243=3,10,IF(F243&lt;&gt;"",1,0))))+IF(G243=1,30,IF(G243=2,20,IF(G243=3,10,IF(G243&lt;&gt;"",1,0))))+IF(H243=1,30,IF(H243=2,20,IF(H243=3,10,IF(H243&lt;&gt;"",1,0)))))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4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>
        <f>IF(AND(C244="",OR(E244="",E244=0)),"",(IF(E244=1,30,IF(E244=2,20,IF(E244=3,10,IF(E244&lt;&gt;"",1,0))))+IF(F244=1,30,IF(F244=2,20,IF(F244=3,10,IF(F244&lt;&gt;"",1,0))))+IF(G244=1,30,IF(G244=2,20,IF(G244=3,10,IF(G244&lt;&gt;"",1,0))))+IF(H244=1,30,IF(H244=2,20,IF(H244=3,10,IF(H244&lt;&gt;"",1,0)))))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4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>
        <f>IF(AND(C245="",OR(E245="",E245=0)),"",(IF(E245=1,30,IF(E245=2,20,IF(E245=3,10,IF(E245&lt;&gt;"",1,0))))+IF(F245=1,30,IF(F245=2,20,IF(F245=3,10,IF(F245&lt;&gt;"",1,0))))+IF(G245=1,30,IF(G245=2,20,IF(G245=3,10,IF(G245&lt;&gt;"",1,0))))+IF(H245=1,30,IF(H245=2,20,IF(H245=3,10,IF(H245&lt;&gt;"",1,0)))))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4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>
        <f>IF(AND(C246="",OR(E246="",E246=0)),"",(IF(E246=1,30,IF(E246=2,20,IF(E246=3,10,IF(E246&lt;&gt;"",1,0))))+IF(F246=1,30,IF(F246=2,20,IF(F246=3,10,IF(F246&lt;&gt;"",1,0))))+IF(G246=1,30,IF(G246=2,20,IF(G246=3,10,IF(G246&lt;&gt;"",1,0))))+IF(H246=1,30,IF(H246=2,20,IF(H246=3,10,IF(H246&lt;&gt;"",1,0))))))</f>
        <v/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4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>
        <f>IF(AND(C247="",OR(E247="",E247=0)),"",(IF(E247=1,30,IF(E247=2,20,IF(E247=3,10,IF(E247&lt;&gt;"",1,0))))+IF(F247=1,30,IF(F247=2,20,IF(F247=3,10,IF(F247&lt;&gt;"",1,0))))+IF(G247=1,30,IF(G247=2,20,IF(G247=3,10,IF(G247&lt;&gt;"",1,0))))+IF(H247=1,30,IF(H247=2,20,IF(H247=3,10,IF(H247&lt;&gt;"",1,0)))))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4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>
        <f>IF(AND(C248="",OR(E248="",E248=0)),"",(IF(E248=1,30,IF(E248=2,20,IF(E248=3,10,IF(E248&lt;&gt;"",1,0))))+IF(F248=1,30,IF(F248=2,20,IF(F248=3,10,IF(F248&lt;&gt;"",1,0))))+IF(G248=1,30,IF(G248=2,20,IF(G248=3,10,IF(G248&lt;&gt;"",1,0))))+IF(H248=1,30,IF(H248=2,20,IF(H248=3,10,IF(H248&lt;&gt;"",1,0))))))</f>
        <v/>
      </c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4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>
        <f>IF(AND(C249="",OR(E249="",E249=0)),"",(IF(E249=1,30,IF(E249=2,20,IF(E249=3,10,IF(E249&lt;&gt;"",1,0))))+IF(F249=1,30,IF(F249=2,20,IF(F249=3,10,IF(F249&lt;&gt;"",1,0))))+IF(G249=1,30,IF(G249=2,20,IF(G249=3,10,IF(G249&lt;&gt;"",1,0))))+IF(H249=1,30,IF(H249=2,20,IF(H249=3,10,IF(H249&lt;&gt;"",1,0))))))</f>
        <v/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4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>
        <f>IF(AND(C250="",OR(E250="",E250=0)),"",(IF(E250=1,30,IF(E250=2,20,IF(E250=3,10,IF(E250&lt;&gt;"",1,0))))+IF(F250=1,30,IF(F250=2,20,IF(F250=3,10,IF(F250&lt;&gt;"",1,0))))+IF(G250=1,30,IF(G250=2,20,IF(G250=3,10,IF(G250&lt;&gt;"",1,0))))+IF(H250=1,30,IF(H250=2,20,IF(H250=3,10,IF(H250&lt;&gt;"",1,0))))))</f>
        <v/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4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>
        <f>IF(AND(C251="",OR(E251="",E251=0)),"",(IF(E251=1,30,IF(E251=2,20,IF(E251=3,10,IF(E251&lt;&gt;"",1,0))))+IF(F251=1,30,IF(F251=2,20,IF(F251=3,10,IF(F251&lt;&gt;"",1,0))))+IF(G251=1,30,IF(G251=2,20,IF(G251=3,10,IF(G251&lt;&gt;"",1,0))))+IF(H251=1,30,IF(H251=2,20,IF(H251=3,10,IF(H251&lt;&gt;"",1,0)))))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4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>
        <f>IF(AND(C252="",OR(E252="",E252=0)),"",(IF(E252=1,30,IF(E252=2,20,IF(E252=3,10,IF(E252&lt;&gt;"",1,0))))+IF(F252=1,30,IF(F252=2,20,IF(F252=3,10,IF(F252&lt;&gt;"",1,0))))+IF(G252=1,30,IF(G252=2,20,IF(G252=3,10,IF(G252&lt;&gt;"",1,0))))+IF(H252=1,30,IF(H252=2,20,IF(H252=3,10,IF(H252&lt;&gt;"",1,0))))))</f>
        <v/>
      </c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4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>
        <f>IF(AND(C253="",OR(E253="",E253=0)),"",(IF(E253=1,30,IF(E253=2,20,IF(E253=3,10,IF(E253&lt;&gt;"",1,0))))+IF(F253=1,30,IF(F253=2,20,IF(F253=3,10,IF(F253&lt;&gt;"",1,0))))+IF(G253=1,30,IF(G253=2,20,IF(G253=3,10,IF(G253&lt;&gt;"",1,0))))+IF(H253=1,30,IF(H253=2,20,IF(H253=3,10,IF(H253&lt;&gt;"",1,0))))))</f>
        <v/>
      </c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4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>
        <f>IF(AND(C254="",OR(E254="",E254=0)),"",(IF(E254=1,30,IF(E254=2,20,IF(E254=3,10,IF(E254&lt;&gt;"",1,0))))+IF(F254=1,30,IF(F254=2,20,IF(F254=3,10,IF(F254&lt;&gt;"",1,0))))+IF(G254=1,30,IF(G254=2,20,IF(G254=3,10,IF(G254&lt;&gt;"",1,0))))+IF(H254=1,30,IF(H254=2,20,IF(H254=3,10,IF(H254&lt;&gt;"",1,0))))))</f>
        <v/>
      </c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4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>
        <f>IF(AND(C255="",OR(E255="",E255=0)),"",(IF(E255=1,30,IF(E255=2,20,IF(E255=3,10,IF(E255&lt;&gt;"",1,0))))+IF(F255=1,30,IF(F255=2,20,IF(F255=3,10,IF(F255&lt;&gt;"",1,0))))+IF(G255=1,30,IF(G255=2,20,IF(G255=3,10,IF(G255&lt;&gt;"",1,0))))+IF(H255=1,30,IF(H255=2,20,IF(H255=3,10,IF(H255&lt;&gt;"",1,0))))))</f>
        <v/>
      </c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4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>
        <f>IF(AND(C256="",OR(E256="",E256=0)),"",(IF(E256=1,30,IF(E256=2,20,IF(E256=3,10,IF(E256&lt;&gt;"",1,0))))+IF(F256=1,30,IF(F256=2,20,IF(F256=3,10,IF(F256&lt;&gt;"",1,0))))+IF(G256=1,30,IF(G256=2,20,IF(G256=3,10,IF(G256&lt;&gt;"",1,0))))+IF(H256=1,30,IF(H256=2,20,IF(H256=3,10,IF(H256&lt;&gt;"",1,0)))))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4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>
        <f>IF(AND(C257="",OR(E257="",E257=0)),"",(IF(E257=1,30,IF(E257=2,20,IF(E257=3,10,IF(E257&lt;&gt;"",1,0))))+IF(F257=1,30,IF(F257=2,20,IF(F257=3,10,IF(F257&lt;&gt;"",1,0))))+IF(G257=1,30,IF(G257=2,20,IF(G257=3,10,IF(G257&lt;&gt;"",1,0))))+IF(H257=1,30,IF(H257=2,20,IF(H257=3,10,IF(H257&lt;&gt;"",1,0))))))</f>
        <v/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4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>
        <f>IF(AND(C258="",OR(E258="",E258=0)),"",(IF(E258=1,30,IF(E258=2,20,IF(E258=3,10,IF(E258&lt;&gt;"",1,0))))+IF(F258=1,30,IF(F258=2,20,IF(F258=3,10,IF(F258&lt;&gt;"",1,0))))+IF(G258=1,30,IF(G258=2,20,IF(G258=3,10,IF(G258&lt;&gt;"",1,0))))+IF(H258=1,30,IF(H258=2,20,IF(H258=3,10,IF(H258&lt;&gt;"",1,0))))))</f>
        <v/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4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>
        <f>IF(AND(C259="",OR(E259="",E259=0)),"",(IF(E259=1,30,IF(E259=2,20,IF(E259=3,10,IF(E259&lt;&gt;"",1,0))))+IF(F259=1,30,IF(F259=2,20,IF(F259=3,10,IF(F259&lt;&gt;"",1,0))))+IF(G259=1,30,IF(G259=2,20,IF(G259=3,10,IF(G259&lt;&gt;"",1,0))))+IF(H259=1,30,IF(H259=2,20,IF(H259=3,10,IF(H259&lt;&gt;"",1,0))))))</f>
        <v/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4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>
        <f>IF(AND(C260="",OR(E260="",E260=0)),"",(IF(E260=1,30,IF(E260=2,20,IF(E260=3,10,IF(E260&lt;&gt;"",1,0))))+IF(F260=1,30,IF(F260=2,20,IF(F260=3,10,IF(F260&lt;&gt;"",1,0))))+IF(G260=1,30,IF(G260=2,20,IF(G260=3,10,IF(G260&lt;&gt;"",1,0))))+IF(H260=1,30,IF(H260=2,20,IF(H260=3,10,IF(H260&lt;&gt;"",1,0)))))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4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>
        <f>IF(AND(C261="",OR(E261="",E261=0)),"",(IF(E261=1,30,IF(E261=2,20,IF(E261=3,10,IF(E261&lt;&gt;"",1,0))))+IF(F261=1,30,IF(F261=2,20,IF(F261=3,10,IF(F261&lt;&gt;"",1,0))))+IF(G261=1,30,IF(G261=2,20,IF(G261=3,10,IF(G261&lt;&gt;"",1,0))))+IF(H261=1,30,IF(H261=2,20,IF(H261=3,10,IF(H261&lt;&gt;"",1,0))))))</f>
        <v/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4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>
        <f>IF(AND(C262="",OR(E262="",E262=0)),"",(IF(E262=1,30,IF(E262=2,20,IF(E262=3,10,IF(E262&lt;&gt;"",1,0))))+IF(F262=1,30,IF(F262=2,20,IF(F262=3,10,IF(F262&lt;&gt;"",1,0))))+IF(G262=1,30,IF(G262=2,20,IF(G262=3,10,IF(G262&lt;&gt;"",1,0))))+IF(H262=1,30,IF(H262=2,20,IF(H262=3,10,IF(H262&lt;&gt;"",1,0))))))</f>
        <v/>
      </c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4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>
        <f>IF(AND(C263="",OR(E263="",E263=0)),"",(IF(E263=1,30,IF(E263=2,20,IF(E263=3,10,IF(E263&lt;&gt;"",1,0))))+IF(F263=1,30,IF(F263=2,20,IF(F263=3,10,IF(F263&lt;&gt;"",1,0))))+IF(G263=1,30,IF(G263=2,20,IF(G263=3,10,IF(G263&lt;&gt;"",1,0))))+IF(H263=1,30,IF(H263=2,20,IF(H263=3,10,IF(H263&lt;&gt;"",1,0))))))</f>
        <v/>
      </c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4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>
        <f>IF(AND(C264="",OR(E264="",E264=0)),"",(IF(E264=1,30,IF(E264=2,20,IF(E264=3,10,IF(E264&lt;&gt;"",1,0))))+IF(F264=1,30,IF(F264=2,20,IF(F264=3,10,IF(F264&lt;&gt;"",1,0))))+IF(G264=1,30,IF(G264=2,20,IF(G264=3,10,IF(G264&lt;&gt;"",1,0))))+IF(H264=1,30,IF(H264=2,20,IF(H264=3,10,IF(H264&lt;&gt;"",1,0))))))</f>
        <v/>
      </c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4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>
        <f>IF(AND(C265="",OR(E265="",E265=0)),"",(IF(E265=1,30,IF(E265=2,20,IF(E265=3,10,IF(E265&lt;&gt;"",1,0))))+IF(F265=1,30,IF(F265=2,20,IF(F265=3,10,IF(F265&lt;&gt;"",1,0))))+IF(G265=1,30,IF(G265=2,20,IF(G265=3,10,IF(G265&lt;&gt;"",1,0))))+IF(H265=1,30,IF(H265=2,20,IF(H265=3,10,IF(H265&lt;&gt;"",1,0)))))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4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>
        <f>IF(AND(C266="",OR(E266="",E266=0)),"",(IF(E266=1,30,IF(E266=2,20,IF(E266=3,10,IF(E266&lt;&gt;"",1,0))))+IF(F266=1,30,IF(F266=2,20,IF(F266=3,10,IF(F266&lt;&gt;"",1,0))))+IF(G266=1,30,IF(G266=2,20,IF(G266=3,10,IF(G266&lt;&gt;"",1,0))))+IF(H266=1,30,IF(H266=2,20,IF(H266=3,10,IF(H266&lt;&gt;"",1,0))))))</f>
        <v/>
      </c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4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>
        <f>IF(AND(C267="",OR(E267="",E267=0)),"",(IF(E267=1,30,IF(E267=2,20,IF(E267=3,10,IF(E267&lt;&gt;"",1,0))))+IF(F267=1,30,IF(F267=2,20,IF(F267=3,10,IF(F267&lt;&gt;"",1,0))))+IF(G267=1,30,IF(G267=2,20,IF(G267=3,10,IF(G267&lt;&gt;"",1,0))))+IF(H267=1,30,IF(H267=2,20,IF(H267=3,10,IF(H267&lt;&gt;"",1,0))))))</f>
        <v/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4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>
        <f>IF(AND(C268="",OR(E268="",E268=0)),"",(IF(E268=1,30,IF(E268=2,20,IF(E268=3,10,IF(E268&lt;&gt;"",1,0))))+IF(F268=1,30,IF(F268=2,20,IF(F268=3,10,IF(F268&lt;&gt;"",1,0))))+IF(G268=1,30,IF(G268=2,20,IF(G268=3,10,IF(G268&lt;&gt;"",1,0))))+IF(H268=1,30,IF(H268=2,20,IF(H268=3,10,IF(H268&lt;&gt;"",1,0))))))</f>
        <v/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4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>
        <f>IF(AND(C269="",OR(E269="",E269=0)),"",(IF(E269=1,30,IF(E269=2,20,IF(E269=3,10,IF(E269&lt;&gt;"",1,0))))+IF(F269=1,30,IF(F269=2,20,IF(F269=3,10,IF(F269&lt;&gt;"",1,0))))+IF(G269=1,30,IF(G269=2,20,IF(G269=3,10,IF(G269&lt;&gt;"",1,0))))+IF(H269=1,30,IF(H269=2,20,IF(H269=3,10,IF(H269&lt;&gt;"",1,0)))))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4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>
        <f>IF(AND(C270="",OR(E270="",E270=0)),"",(IF(E270=1,30,IF(E270=2,20,IF(E270=3,10,IF(E270&lt;&gt;"",1,0))))+IF(F270=1,30,IF(F270=2,20,IF(F270=3,10,IF(F270&lt;&gt;"",1,0))))+IF(G270=1,30,IF(G270=2,20,IF(G270=3,10,IF(G270&lt;&gt;"",1,0))))+IF(H270=1,30,IF(H270=2,20,IF(H270=3,10,IF(H270&lt;&gt;"",1,0))))))</f>
        <v/>
      </c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4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>
        <f>IF(AND(C271="",OR(E271="",E271=0)),"",(IF(E271=1,30,IF(E271=2,20,IF(E271=3,10,IF(E271&lt;&gt;"",1,0))))+IF(F271=1,30,IF(F271=2,20,IF(F271=3,10,IF(F271&lt;&gt;"",1,0))))+IF(G271=1,30,IF(G271=2,20,IF(G271=3,10,IF(G271&lt;&gt;"",1,0))))+IF(H271=1,30,IF(H271=2,20,IF(H271=3,10,IF(H271&lt;&gt;"",1,0))))))</f>
        <v/>
      </c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4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>
        <f>IF(AND(C272="",OR(E272="",E272=0)),"",(IF(E272=1,30,IF(E272=2,20,IF(E272=3,10,IF(E272&lt;&gt;"",1,0))))+IF(F272=1,30,IF(F272=2,20,IF(F272=3,10,IF(F272&lt;&gt;"",1,0))))+IF(G272=1,30,IF(G272=2,20,IF(G272=3,10,IF(G272&lt;&gt;"",1,0))))+IF(H272=1,30,IF(H272=2,20,IF(H272=3,10,IF(H272&lt;&gt;"",1,0))))))</f>
        <v/>
      </c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4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>
        <f>IF(AND(C273="",OR(E273="",E273=0)),"",(IF(E273=1,30,IF(E273=2,20,IF(E273=3,10,IF(E273&lt;&gt;"",1,0))))+IF(F273=1,30,IF(F273=2,20,IF(F273=3,10,IF(F273&lt;&gt;"",1,0))))+IF(G273=1,30,IF(G273=2,20,IF(G273=3,10,IF(G273&lt;&gt;"",1,0))))+IF(H273=1,30,IF(H273=2,20,IF(H273=3,10,IF(H273&lt;&gt;"",1,0))))))</f>
        <v/>
      </c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4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>
        <f>IF(AND(C274="",OR(E274="",E274=0)),"",(IF(E274=1,30,IF(E274=2,20,IF(E274=3,10,IF(E274&lt;&gt;"",1,0))))+IF(F274=1,30,IF(F274=2,20,IF(F274=3,10,IF(F274&lt;&gt;"",1,0))))+IF(G274=1,30,IF(G274=2,20,IF(G274=3,10,IF(G274&lt;&gt;"",1,0))))+IF(H274=1,30,IF(H274=2,20,IF(H274=3,10,IF(H274&lt;&gt;"",1,0)))))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4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>
        <f>IF(AND(C275="",OR(E275="",E275=0)),"",(IF(E275=1,30,IF(E275=2,20,IF(E275=3,10,IF(E275&lt;&gt;"",1,0))))+IF(F275=1,30,IF(F275=2,20,IF(F275=3,10,IF(F275&lt;&gt;"",1,0))))+IF(G275=1,30,IF(G275=2,20,IF(G275=3,10,IF(G275&lt;&gt;"",1,0))))+IF(H275=1,30,IF(H275=2,20,IF(H275=3,10,IF(H275&lt;&gt;"",1,0))))))</f>
        <v/>
      </c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4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>
        <f>IF(AND(C276="",OR(E276="",E276=0)),"",(IF(E276=1,30,IF(E276=2,20,IF(E276=3,10,IF(E276&lt;&gt;"",1,0))))+IF(F276=1,30,IF(F276=2,20,IF(F276=3,10,IF(F276&lt;&gt;"",1,0))))+IF(G276=1,30,IF(G276=2,20,IF(G276=3,10,IF(G276&lt;&gt;"",1,0))))+IF(H276=1,30,IF(H276=2,20,IF(H276=3,10,IF(H276&lt;&gt;"",1,0))))))</f>
        <v/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4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>
        <f>IF(AND(C277="",OR(E277="",E277=0)),"",(IF(E277=1,30,IF(E277=2,20,IF(E277=3,10,IF(E277&lt;&gt;"",1,0))))+IF(F277=1,30,IF(F277=2,20,IF(F277=3,10,IF(F277&lt;&gt;"",1,0))))+IF(G277=1,30,IF(G277=2,20,IF(G277=3,10,IF(G277&lt;&gt;"",1,0))))+IF(H277=1,30,IF(H277=2,20,IF(H277=3,10,IF(H277&lt;&gt;"",1,0))))))</f>
        <v/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4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>
        <f>IF(AND(C278="",OR(E278="",E278=0)),"",(IF(E278=1,30,IF(E278=2,20,IF(E278=3,10,IF(E278&lt;&gt;"",1,0))))+IF(F278=1,30,IF(F278=2,20,IF(F278=3,10,IF(F278&lt;&gt;"",1,0))))+IF(G278=1,30,IF(G278=2,20,IF(G278=3,10,IF(G278&lt;&gt;"",1,0))))+IF(H278=1,30,IF(H278=2,20,IF(H278=3,10,IF(H278&lt;&gt;"",1,0)))))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4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>
        <f>IF(AND(C279="",OR(E279="",E279=0)),"",(IF(E279=1,30,IF(E279=2,20,IF(E279=3,10,IF(E279&lt;&gt;"",1,0))))+IF(F279=1,30,IF(F279=2,20,IF(F279=3,10,IF(F279&lt;&gt;"",1,0))))+IF(G279=1,30,IF(G279=2,20,IF(G279=3,10,IF(G279&lt;&gt;"",1,0))))+IF(H279=1,30,IF(H279=2,20,IF(H279=3,10,IF(H279&lt;&gt;"",1,0)))))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14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>
        <f>IF(AND(C280="",OR(E280="",E280=0)),"",(IF(E280=1,30,IF(E280=2,20,IF(E280=3,10,IF(E280&lt;&gt;"",1,0))))+IF(F280=1,30,IF(F280=2,20,IF(F280=3,10,IF(F280&lt;&gt;"",1,0))))+IF(G280=1,30,IF(G280=2,20,IF(G280=3,10,IF(G280&lt;&gt;"",1,0))))+IF(H280=1,30,IF(H280=2,20,IF(H280=3,10,IF(H280&lt;&gt;"",1,0)))))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14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>
        <f>IF(AND(C281="",OR(E281="",E281=0)),"",(IF(E281=1,30,IF(E281=2,20,IF(E281=3,10,IF(E281&lt;&gt;"",1,0))))+IF(F281=1,30,IF(F281=2,20,IF(F281=3,10,IF(F281&lt;&gt;"",1,0))))+IF(G281=1,30,IF(G281=2,20,IF(G281=3,10,IF(G281&lt;&gt;"",1,0))))+IF(H281=1,30,IF(H281=2,20,IF(H281=3,10,IF(H281&lt;&gt;"",1,0)))))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14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>
        <f>IF(AND(C282="",OR(E282="",E282=0)),"",(IF(E282=1,30,IF(E282=2,20,IF(E282=3,10,IF(E282&lt;&gt;"",1,0))))+IF(F282=1,30,IF(F282=2,20,IF(F282=3,10,IF(F282&lt;&gt;"",1,0))))+IF(G282=1,30,IF(G282=2,20,IF(G282=3,10,IF(G282&lt;&gt;"",1,0))))+IF(H282=1,30,IF(H282=2,20,IF(H282=3,10,IF(H282&lt;&gt;"",1,0)))))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14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>
        <f>IF(AND(C283="",OR(E283="",E283=0)),"",(IF(E283=1,30,IF(E283=2,20,IF(E283=3,10,IF(E283&lt;&gt;"",1,0))))+IF(F283=1,30,IF(F283=2,20,IF(F283=3,10,IF(F283&lt;&gt;"",1,0))))+IF(G283=1,30,IF(G283=2,20,IF(G283=3,10,IF(G283&lt;&gt;"",1,0))))+IF(H283=1,30,IF(H283=2,20,IF(H283=3,10,IF(H283&lt;&gt;"",1,0)))))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14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>
        <f>IF(AND(C284="",OR(E284="",E284=0)),"",(IF(E284=1,30,IF(E284=2,20,IF(E284=3,10,IF(E284&lt;&gt;"",1,0))))+IF(F284=1,30,IF(F284=2,20,IF(F284=3,10,IF(F284&lt;&gt;"",1,0))))+IF(G284=1,30,IF(G284=2,20,IF(G284=3,10,IF(G284&lt;&gt;"",1,0))))+IF(H284=1,30,IF(H284=2,20,IF(H284=3,10,IF(H284&lt;&gt;"",1,0)))))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14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>
        <f>IF(AND(C285="",OR(E285="",E285=0)),"",(IF(E285=1,30,IF(E285=2,20,IF(E285=3,10,IF(E285&lt;&gt;"",1,0))))+IF(F285=1,30,IF(F285=2,20,IF(F285=3,10,IF(F285&lt;&gt;"",1,0))))+IF(G285=1,30,IF(G285=2,20,IF(G285=3,10,IF(G285&lt;&gt;"",1,0))))+IF(H285=1,30,IF(H285=2,20,IF(H285=3,10,IF(H285&lt;&gt;"",1,0))))))</f>
        <v/>
      </c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14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>
        <f>IF(AND(C286="",OR(E286="",E286=0)),"",(IF(E286=1,30,IF(E286=2,20,IF(E286=3,10,IF(E286&lt;&gt;"",1,0))))+IF(F286=1,30,IF(F286=2,20,IF(F286=3,10,IF(F286&lt;&gt;"",1,0))))+IF(G286=1,30,IF(G286=2,20,IF(G286=3,10,IF(G286&lt;&gt;"",1,0))))+IF(H286=1,30,IF(H286=2,20,IF(H286=3,10,IF(H286&lt;&gt;"",1,0))))))</f>
        <v/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14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>
        <f>IF(AND(C287="",OR(E287="",E287=0)),"",(IF(E287=1,30,IF(E287=2,20,IF(E287=3,10,IF(E287&lt;&gt;"",1,0))))+IF(F287=1,30,IF(F287=2,20,IF(F287=3,10,IF(F287&lt;&gt;"",1,0))))+IF(G287=1,30,IF(G287=2,20,IF(G287=3,10,IF(G287&lt;&gt;"",1,0))))+IF(H287=1,30,IF(H287=2,20,IF(H287=3,10,IF(H287&lt;&gt;"",1,0))))))</f>
        <v/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14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>
        <f>IF(AND(C288="",OR(E288="",E288=0)),"",(IF(E288=1,30,IF(E288=2,20,IF(E288=3,10,IF(E288&lt;&gt;"",1,0))))+IF(F288=1,30,IF(F288=2,20,IF(F288=3,10,IF(F288&lt;&gt;"",1,0))))+IF(G288=1,30,IF(G288=2,20,IF(G288=3,10,IF(G288&lt;&gt;"",1,0))))+IF(H288=1,30,IF(H288=2,20,IF(H288=3,10,IF(H288&lt;&gt;"",1,0)))))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14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>
        <f>IF(AND(C289="",OR(E289="",E289=0)),"",(IF(E289=1,30,IF(E289=2,20,IF(E289=3,10,IF(E289&lt;&gt;"",1,0))))+IF(F289=1,30,IF(F289=2,20,IF(F289=3,10,IF(F289&lt;&gt;"",1,0))))+IF(G289=1,30,IF(G289=2,20,IF(G289=3,10,IF(G289&lt;&gt;"",1,0))))+IF(H289=1,30,IF(H289=2,20,IF(H289=3,10,IF(H289&lt;&gt;"",1,0)))))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14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>
        <f>IF(AND(C290="",OR(E290="",E290=0)),"",(IF(E290=1,30,IF(E290=2,20,IF(E290=3,10,IF(E290&lt;&gt;"",1,0))))+IF(F290=1,30,IF(F290=2,20,IF(F290=3,10,IF(F290&lt;&gt;"",1,0))))+IF(G290=1,30,IF(G290=2,20,IF(G290=3,10,IF(G290&lt;&gt;"",1,0))))+IF(H290=1,30,IF(H290=2,20,IF(H290=3,10,IF(H290&lt;&gt;"",1,0)))))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14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>
        <f>IF(AND(C291="",OR(E291="",E291=0)),"",(IF(E291=1,30,IF(E291=2,20,IF(E291=3,10,IF(E291&lt;&gt;"",1,0))))+IF(F291=1,30,IF(F291=2,20,IF(F291=3,10,IF(F291&lt;&gt;"",1,0))))+IF(G291=1,30,IF(G291=2,20,IF(G291=3,10,IF(G291&lt;&gt;"",1,0))))+IF(H291=1,30,IF(H291=2,20,IF(H291=3,10,IF(H291&lt;&gt;"",1,0)))))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14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>
        <f>IF(AND(C292="",OR(E292="",E292=0)),"",(IF(E292=1,30,IF(E292=2,20,IF(E292=3,10,IF(E292&lt;&gt;"",1,0))))+IF(F292=1,30,IF(F292=2,20,IF(F292=3,10,IF(F292&lt;&gt;"",1,0))))+IF(G292=1,30,IF(G292=2,20,IF(G292=3,10,IF(G292&lt;&gt;"",1,0))))+IF(H292=1,30,IF(H292=2,20,IF(H292=3,10,IF(H292&lt;&gt;"",1,0))))))</f>
        <v/>
      </c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14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>
        <f>IF(AND(C293="",OR(E293="",E293=0)),"",(IF(E293=1,30,IF(E293=2,20,IF(E293=3,10,IF(E293&lt;&gt;"",1,0))))+IF(F293=1,30,IF(F293=2,20,IF(F293=3,10,IF(F293&lt;&gt;"",1,0))))+IF(G293=1,30,IF(G293=2,20,IF(G293=3,10,IF(G293&lt;&gt;"",1,0))))+IF(H293=1,30,IF(H293=2,20,IF(H293=3,10,IF(H293&lt;&gt;"",1,0)))))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14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>
        <f>IF(AND(C294="",OR(E294="",E294=0)),"",(IF(E294=1,30,IF(E294=2,20,IF(E294=3,10,IF(E294&lt;&gt;"",1,0))))+IF(F294=1,30,IF(F294=2,20,IF(F294=3,10,IF(F294&lt;&gt;"",1,0))))+IF(G294=1,30,IF(G294=2,20,IF(G294=3,10,IF(G294&lt;&gt;"",1,0))))+IF(H294=1,30,IF(H294=2,20,IF(H294=3,10,IF(H294&lt;&gt;"",1,0))))))</f>
        <v/>
      </c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14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>
        <f>IF(AND(C295="",OR(E295="",E295=0)),"",(IF(E295=1,30,IF(E295=2,20,IF(E295=3,10,IF(E295&lt;&gt;"",1,0))))+IF(F295=1,30,IF(F295=2,20,IF(F295=3,10,IF(F295&lt;&gt;"",1,0))))+IF(G295=1,30,IF(G295=2,20,IF(G295=3,10,IF(G295&lt;&gt;"",1,0))))+IF(H295=1,30,IF(H295=2,20,IF(H295=3,10,IF(H295&lt;&gt;"",1,0))))))</f>
        <v/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14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>
        <f>IF(AND(C296="",OR(E296="",E296=0)),"",(IF(E296=1,30,IF(E296=2,20,IF(E296=3,10,IF(E296&lt;&gt;"",1,0))))+IF(F296=1,30,IF(F296=2,20,IF(F296=3,10,IF(F296&lt;&gt;"",1,0))))+IF(G296=1,30,IF(G296=2,20,IF(G296=3,10,IF(G296&lt;&gt;"",1,0))))+IF(H296=1,30,IF(H296=2,20,IF(H296=3,10,IF(H296&lt;&gt;"",1,0))))))</f>
        <v/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14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>
        <f>IF(AND(C297="",OR(E297="",E297=0)),"",(IF(E297=1,30,IF(E297=2,20,IF(E297=3,10,IF(E297&lt;&gt;"",1,0))))+IF(F297=1,30,IF(F297=2,20,IF(F297=3,10,IF(F297&lt;&gt;"",1,0))))+IF(G297=1,30,IF(G297=2,20,IF(G297=3,10,IF(G297&lt;&gt;"",1,0))))+IF(H297=1,30,IF(H297=2,20,IF(H297=3,10,IF(H297&lt;&gt;"",1,0)))))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14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>
        <f>IF(AND(C298="",OR(E298="",E298=0)),"",(IF(E298=1,30,IF(E298=2,20,IF(E298=3,10,IF(E298&lt;&gt;"",1,0))))+IF(F298=1,30,IF(F298=2,20,IF(F298=3,10,IF(F298&lt;&gt;"",1,0))))+IF(G298=1,30,IF(G298=2,20,IF(G298=3,10,IF(G298&lt;&gt;"",1,0))))+IF(H298=1,30,IF(H298=2,20,IF(H298=3,10,IF(H298&lt;&gt;"",1,0)))))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14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>
        <f>IF(AND(C299="",OR(E299="",E299=0)),"",(IF(E299=1,30,IF(E299=2,20,IF(E299=3,10,IF(E299&lt;&gt;"",1,0))))+IF(F299=1,30,IF(F299=2,20,IF(F299=3,10,IF(F299&lt;&gt;"",1,0))))+IF(G299=1,30,IF(G299=2,20,IF(G299=3,10,IF(G299&lt;&gt;"",1,0))))+IF(H299=1,30,IF(H299=2,20,IF(H299=3,10,IF(H299&lt;&gt;"",1,0))))))</f>
        <v/>
      </c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14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>
        <f>IF(AND(C300="",OR(E300="",E300=0)),"",(IF(E300=1,30,IF(E300=2,20,IF(E300=3,10,IF(E300&lt;&gt;"",1,0))))+IF(F300=1,30,IF(F300=2,20,IF(F300=3,10,IF(F300&lt;&gt;"",1,0))))+IF(G300=1,30,IF(G300=2,20,IF(G300=3,10,IF(G300&lt;&gt;"",1,0))))+IF(H300=1,30,IF(H300=2,20,IF(H300=3,10,IF(H300&lt;&gt;"",1,0))))))</f>
        <v/>
      </c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14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>
        <f>IF(AND(C301="",OR(E301="",E301=0)),"",(IF(E301=1,30,IF(E301=2,20,IF(E301=3,10,IF(E301&lt;&gt;"",1,0))))+IF(F301=1,30,IF(F301=2,20,IF(F301=3,10,IF(F301&lt;&gt;"",1,0))))+IF(G301=1,30,IF(G301=2,20,IF(G301=3,10,IF(G301&lt;&gt;"",1,0))))+IF(H301=1,30,IF(H301=2,20,IF(H301=3,10,IF(H301&lt;&gt;"",1,0))))))</f>
        <v/>
      </c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14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>
        <f>IF(AND(C302="",OR(E302="",E302=0)),"",(IF(E302=1,30,IF(E302=2,20,IF(E302=3,10,IF(E302&lt;&gt;"",1,0))))+IF(F302=1,30,IF(F302=2,20,IF(F302=3,10,IF(F302&lt;&gt;"",1,0))))+IF(G302=1,30,IF(G302=2,20,IF(G302=3,10,IF(G302&lt;&gt;"",1,0))))+IF(H302=1,30,IF(H302=2,20,IF(H302=3,10,IF(H302&lt;&gt;"",1,0)))))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14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>
        <f>IF(AND(C303="",OR(E303="",E303=0)),"",(IF(E303=1,30,IF(E303=2,20,IF(E303=3,10,IF(E303&lt;&gt;"",1,0))))+IF(F303=1,30,IF(F303=2,20,IF(F303=3,10,IF(F303&lt;&gt;"",1,0))))+IF(G303=1,30,IF(G303=2,20,IF(G303=3,10,IF(G303&lt;&gt;"",1,0))))+IF(H303=1,30,IF(H303=2,20,IF(H303=3,10,IF(H303&lt;&gt;"",1,0))))))</f>
        <v/>
      </c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14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>
        <f>IF(AND(C304="",OR(E304="",E304=0)),"",(IF(E304=1,30,IF(E304=2,20,IF(E304=3,10,IF(E304&lt;&gt;"",1,0))))+IF(F304=1,30,IF(F304=2,20,IF(F304=3,10,IF(F304&lt;&gt;"",1,0))))+IF(G304=1,30,IF(G304=2,20,IF(G304=3,10,IF(G304&lt;&gt;"",1,0))))+IF(H304=1,30,IF(H304=2,20,IF(H304=3,10,IF(H304&lt;&gt;"",1,0))))))</f>
        <v/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14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>
        <f>IF(AND(C305="",OR(E305="",E305=0)),"",(IF(E305=1,30,IF(E305=2,20,IF(E305=3,10,IF(E305&lt;&gt;"",1,0))))+IF(F305=1,30,IF(F305=2,20,IF(F305=3,10,IF(F305&lt;&gt;"",1,0))))+IF(G305=1,30,IF(G305=2,20,IF(G305=3,10,IF(G305&lt;&gt;"",1,0))))+IF(H305=1,30,IF(H305=2,20,IF(H305=3,10,IF(H305&lt;&gt;"",1,0))))))</f>
        <v/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14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>
        <f>IF(AND(C306="",OR(E306="",E306=0)),"",(IF(E306=1,30,IF(E306=2,20,IF(E306=3,10,IF(E306&lt;&gt;"",1,0))))+IF(F306=1,30,IF(F306=2,20,IF(F306=3,10,IF(F306&lt;&gt;"",1,0))))+IF(G306=1,30,IF(G306=2,20,IF(G306=3,10,IF(G306&lt;&gt;"",1,0))))+IF(H306=1,30,IF(H306=2,20,IF(H306=3,10,IF(H306&lt;&gt;"",1,0))))))</f>
        <v/>
      </c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14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>
        <f>IF(AND(C307="",OR(E307="",E307=0)),"",(IF(E307=1,30,IF(E307=2,20,IF(E307=3,10,IF(E307&lt;&gt;"",1,0))))+IF(F307=1,30,IF(F307=2,20,IF(F307=3,10,IF(F307&lt;&gt;"",1,0))))+IF(G307=1,30,IF(G307=2,20,IF(G307=3,10,IF(G307&lt;&gt;"",1,0))))+IF(H307=1,30,IF(H307=2,20,IF(H307=3,10,IF(H307&lt;&gt;"",1,0))))))</f>
        <v/>
      </c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14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>
        <f>IF(AND(C308="",OR(E308="",E308=0)),"",(IF(E308=1,30,IF(E308=2,20,IF(E308=3,10,IF(E308&lt;&gt;"",1,0))))+IF(F308=1,30,IF(F308=2,20,IF(F308=3,10,IF(F308&lt;&gt;"",1,0))))+IF(G308=1,30,IF(G308=2,20,IF(G308=3,10,IF(G308&lt;&gt;"",1,0))))+IF(H308=1,30,IF(H308=2,20,IF(H308=3,10,IF(H308&lt;&gt;"",1,0))))))</f>
        <v/>
      </c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14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>
        <f>IF(AND(C309="",OR(E309="",E309=0)),"",(IF(E309=1,30,IF(E309=2,20,IF(E309=3,10,IF(E309&lt;&gt;"",1,0))))+IF(F309=1,30,IF(F309=2,20,IF(F309=3,10,IF(F309&lt;&gt;"",1,0))))+IF(G309=1,30,IF(G309=2,20,IF(G309=3,10,IF(G309&lt;&gt;"",1,0))))+IF(H309=1,30,IF(H309=2,20,IF(H309=3,10,IF(H309&lt;&gt;"",1,0))))))</f>
        <v/>
      </c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14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>
        <f>IF(AND(C310="",OR(E310="",E310=0)),"",(IF(E310=1,30,IF(E310=2,20,IF(E310=3,10,IF(E310&lt;&gt;"",1,0))))+IF(F310=1,30,IF(F310=2,20,IF(F310=3,10,IF(F310&lt;&gt;"",1,0))))+IF(G310=1,30,IF(G310=2,20,IF(G310=3,10,IF(G310&lt;&gt;"",1,0))))+IF(H310=1,30,IF(H310=2,20,IF(H310=3,10,IF(H310&lt;&gt;"",1,0))))))</f>
        <v/>
      </c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14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>
        <f>IF(AND(C311="",OR(E311="",E311=0)),"",(IF(E311=1,30,IF(E311=2,20,IF(E311=3,10,IF(E311&lt;&gt;"",1,0))))+IF(F311=1,30,IF(F311=2,20,IF(F311=3,10,IF(F311&lt;&gt;"",1,0))))+IF(G311=1,30,IF(G311=2,20,IF(G311=3,10,IF(G311&lt;&gt;"",1,0))))+IF(H311=1,30,IF(H311=2,20,IF(H311=3,10,IF(H311&lt;&gt;"",1,0)))))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14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>
        <f>IF(AND(C312="",OR(E312="",E312=0)),"",(IF(E312=1,30,IF(E312=2,20,IF(E312=3,10,IF(E312&lt;&gt;"",1,0))))+IF(F312=1,30,IF(F312=2,20,IF(F312=3,10,IF(F312&lt;&gt;"",1,0))))+IF(G312=1,30,IF(G312=2,20,IF(G312=3,10,IF(G312&lt;&gt;"",1,0))))+IF(H312=1,30,IF(H312=2,20,IF(H312=3,10,IF(H312&lt;&gt;"",1,0))))))</f>
        <v/>
      </c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14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>
        <f>IF(AND(C313="",OR(E313="",E313=0)),"",(IF(E313=1,30,IF(E313=2,20,IF(E313=3,10,IF(E313&lt;&gt;"",1,0))))+IF(F313=1,30,IF(F313=2,20,IF(F313=3,10,IF(F313&lt;&gt;"",1,0))))+IF(G313=1,30,IF(G313=2,20,IF(G313=3,10,IF(G313&lt;&gt;"",1,0))))+IF(H313=1,30,IF(H313=2,20,IF(H313=3,10,IF(H313&lt;&gt;"",1,0))))))</f>
        <v/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14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>
        <f>IF(AND(C314="",OR(E314="",E314=0)),"",(IF(E314=1,30,IF(E314=2,20,IF(E314=3,10,IF(E314&lt;&gt;"",1,0))))+IF(F314=1,30,IF(F314=2,20,IF(F314=3,10,IF(F314&lt;&gt;"",1,0))))+IF(G314=1,30,IF(G314=2,20,IF(G314=3,10,IF(G314&lt;&gt;"",1,0))))+IF(H314=1,30,IF(H314=2,20,IF(H314=3,10,IF(H314&lt;&gt;"",1,0))))))</f>
        <v/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14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>
        <f>IF(AND(C315="",OR(E315="",E315=0)),"",(IF(E315=1,30,IF(E315=2,20,IF(E315=3,10,IF(E315&lt;&gt;"",1,0))))+IF(F315=1,30,IF(F315=2,20,IF(F315=3,10,IF(F315&lt;&gt;"",1,0))))+IF(G315=1,30,IF(G315=2,20,IF(G315=3,10,IF(G315&lt;&gt;"",1,0))))+IF(H315=1,30,IF(H315=2,20,IF(H315=3,10,IF(H315&lt;&gt;"",1,0)))))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14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>
        <f>IF(AND(C316="",OR(E316="",E316=0)),"",(IF(E316=1,30,IF(E316=2,20,IF(E316=3,10,IF(E316&lt;&gt;"",1,0))))+IF(F316=1,30,IF(F316=2,20,IF(F316=3,10,IF(F316&lt;&gt;"",1,0))))+IF(G316=1,30,IF(G316=2,20,IF(G316=3,10,IF(G316&lt;&gt;"",1,0))))+IF(H316=1,30,IF(H316=2,20,IF(H316=3,10,IF(H316&lt;&gt;"",1,0))))))</f>
        <v/>
      </c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14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>
        <f>IF(AND(C317="",OR(E317="",E317=0)),"",(IF(E317=1,30,IF(E317=2,20,IF(E317=3,10,IF(E317&lt;&gt;"",1,0))))+IF(F317=1,30,IF(F317=2,20,IF(F317=3,10,IF(F317&lt;&gt;"",1,0))))+IF(G317=1,30,IF(G317=2,20,IF(G317=3,10,IF(G317&lt;&gt;"",1,0))))+IF(H317=1,30,IF(H317=2,20,IF(H317=3,10,IF(H317&lt;&gt;"",1,0))))))</f>
        <v/>
      </c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14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>
        <f>IF(AND(C318="",OR(E318="",E318=0)),"",(IF(E318=1,30,IF(E318=2,20,IF(E318=3,10,IF(E318&lt;&gt;"",1,0))))+IF(F318=1,30,IF(F318=2,20,IF(F318=3,10,IF(F318&lt;&gt;"",1,0))))+IF(G318=1,30,IF(G318=2,20,IF(G318=3,10,IF(G318&lt;&gt;"",1,0))))+IF(H318=1,30,IF(H318=2,20,IF(H318=3,10,IF(H318&lt;&gt;"",1,0))))))</f>
        <v/>
      </c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14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>
        <f>IF(AND(C319="",OR(E319="",E319=0)),"",(IF(E319=1,30,IF(E319=2,20,IF(E319=3,10,IF(E319&lt;&gt;"",1,0))))+IF(F319=1,30,IF(F319=2,20,IF(F319=3,10,IF(F319&lt;&gt;"",1,0))))+IF(G319=1,30,IF(G319=2,20,IF(G319=3,10,IF(G319&lt;&gt;"",1,0))))+IF(H319=1,30,IF(H319=2,20,IF(H319=3,10,IF(H319&lt;&gt;"",1,0))))))</f>
        <v/>
      </c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14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>
        <f>IF(AND(C320="",OR(E320="",E320=0)),"",(IF(E320=1,30,IF(E320=2,20,IF(E320=3,10,IF(E320&lt;&gt;"",1,0))))+IF(F320=1,30,IF(F320=2,20,IF(F320=3,10,IF(F320&lt;&gt;"",1,0))))+IF(G320=1,30,IF(G320=2,20,IF(G320=3,10,IF(G320&lt;&gt;"",1,0))))+IF(H320=1,30,IF(H320=2,20,IF(H320=3,10,IF(H320&lt;&gt;"",1,0)))))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14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>
        <f>IF(AND(C321="",OR(E321="",E321=0)),"",(IF(E321=1,30,IF(E321=2,20,IF(E321=3,10,IF(E321&lt;&gt;"",1,0))))+IF(F321=1,30,IF(F321=2,20,IF(F321=3,10,IF(F321&lt;&gt;"",1,0))))+IF(G321=1,30,IF(G321=2,20,IF(G321=3,10,IF(G321&lt;&gt;"",1,0))))+IF(H321=1,30,IF(H321=2,20,IF(H321=3,10,IF(H321&lt;&gt;"",1,0))))))</f>
        <v/>
      </c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14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>
        <f>IF(AND(C322="",OR(E322="",E322=0)),"",(IF(E322=1,30,IF(E322=2,20,IF(E322=3,10,IF(E322&lt;&gt;"",1,0))))+IF(F322=1,30,IF(F322=2,20,IF(F322=3,10,IF(F322&lt;&gt;"",1,0))))+IF(G322=1,30,IF(G322=2,20,IF(G322=3,10,IF(G322&lt;&gt;"",1,0))))+IF(H322=1,30,IF(H322=2,20,IF(H322=3,10,IF(H322&lt;&gt;"",1,0))))))</f>
        <v/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14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>
        <f>IF(AND(C323="",OR(E323="",E323=0)),"",(IF(E323=1,30,IF(E323=2,20,IF(E323=3,10,IF(E323&lt;&gt;"",1,0))))+IF(F323=1,30,IF(F323=2,20,IF(F323=3,10,IF(F323&lt;&gt;"",1,0))))+IF(G323=1,30,IF(G323=2,20,IF(G323=3,10,IF(G323&lt;&gt;"",1,0))))+IF(H323=1,30,IF(H323=2,20,IF(H323=3,10,IF(H323&lt;&gt;"",1,0))))))</f>
        <v/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14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>
        <f>IF(AND(C324="",OR(E324="",E324=0)),"",(IF(E324=1,30,IF(E324=2,20,IF(E324=3,10,IF(E324&lt;&gt;"",1,0))))+IF(F324=1,30,IF(F324=2,20,IF(F324=3,10,IF(F324&lt;&gt;"",1,0))))+IF(G324=1,30,IF(G324=2,20,IF(G324=3,10,IF(G324&lt;&gt;"",1,0))))+IF(H324=1,30,IF(H324=2,20,IF(H324=3,10,IF(H324&lt;&gt;"",1,0)))))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14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>
        <f>IF(AND(C325="",OR(E325="",E325=0)),"",(IF(E325=1,30,IF(E325=2,20,IF(E325=3,10,IF(E325&lt;&gt;"",1,0))))+IF(F325=1,30,IF(F325=2,20,IF(F325=3,10,IF(F325&lt;&gt;"",1,0))))+IF(G325=1,30,IF(G325=2,20,IF(G325=3,10,IF(G325&lt;&gt;"",1,0))))+IF(H325=1,30,IF(H325=2,20,IF(H325=3,10,IF(H325&lt;&gt;"",1,0))))))</f>
        <v/>
      </c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14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>
        <f>IF(AND(C326="",OR(E326="",E326=0)),"",(IF(E326=1,30,IF(E326=2,20,IF(E326=3,10,IF(E326&lt;&gt;"",1,0))))+IF(F326=1,30,IF(F326=2,20,IF(F326=3,10,IF(F326&lt;&gt;"",1,0))))+IF(G326=1,30,IF(G326=2,20,IF(G326=3,10,IF(G326&lt;&gt;"",1,0))))+IF(H326=1,30,IF(H326=2,20,IF(H326=3,10,IF(H326&lt;&gt;"",1,0))))))</f>
        <v/>
      </c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14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>
        <f>IF(AND(C327="",OR(E327="",E327=0)),"",(IF(E327=1,30,IF(E327=2,20,IF(E327=3,10,IF(E327&lt;&gt;"",1,0))))+IF(F327=1,30,IF(F327=2,20,IF(F327=3,10,IF(F327&lt;&gt;"",1,0))))+IF(G327=1,30,IF(G327=2,20,IF(G327=3,10,IF(G327&lt;&gt;"",1,0))))+IF(H327=1,30,IF(H327=2,20,IF(H327=3,10,IF(H327&lt;&gt;"",1,0))))))</f>
        <v/>
      </c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14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>
        <f>IF(AND(C328="",OR(E328="",E328=0)),"",(IF(E328=1,30,IF(E328=2,20,IF(E328=3,10,IF(E328&lt;&gt;"",1,0))))+IF(F328=1,30,IF(F328=2,20,IF(F328=3,10,IF(F328&lt;&gt;"",1,0))))+IF(G328=1,30,IF(G328=2,20,IF(G328=3,10,IF(G328&lt;&gt;"",1,0))))+IF(H328=1,30,IF(H328=2,20,IF(H328=3,10,IF(H328&lt;&gt;"",1,0))))))</f>
        <v/>
      </c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14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>
        <f>IF(AND(C329="",OR(E329="",E329=0)),"",(IF(E329=1,30,IF(E329=2,20,IF(E329=3,10,IF(E329&lt;&gt;"",1,0))))+IF(F329=1,30,IF(F329=2,20,IF(F329=3,10,IF(F329&lt;&gt;"",1,0))))+IF(G329=1,30,IF(G329=2,20,IF(G329=3,10,IF(G329&lt;&gt;"",1,0))))+IF(H329=1,30,IF(H329=2,20,IF(H329=3,10,IF(H329&lt;&gt;"",1,0)))))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14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>
        <f>IF(AND(C330="",OR(E330="",E330=0)),"",(IF(E330=1,30,IF(E330=2,20,IF(E330=3,10,IF(E330&lt;&gt;"",1,0))))+IF(F330=1,30,IF(F330=2,20,IF(F330=3,10,IF(F330&lt;&gt;"",1,0))))+IF(G330=1,30,IF(G330=2,20,IF(G330=3,10,IF(G330&lt;&gt;"",1,0))))+IF(H330=1,30,IF(H330=2,20,IF(H330=3,10,IF(H330&lt;&gt;"",1,0))))))</f>
        <v/>
      </c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14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>
        <f>IF(AND(C331="",OR(E331="",E331=0)),"",(IF(E331=1,30,IF(E331=2,20,IF(E331=3,10,IF(E331&lt;&gt;"",1,0))))+IF(F331=1,30,IF(F331=2,20,IF(F331=3,10,IF(F331&lt;&gt;"",1,0))))+IF(G331=1,30,IF(G331=2,20,IF(G331=3,10,IF(G331&lt;&gt;"",1,0))))+IF(H331=1,30,IF(H331=2,20,IF(H331=3,10,IF(H331&lt;&gt;"",1,0))))))</f>
        <v/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14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>
        <f>IF(AND(C332="",OR(E332="",E332=0)),"",(IF(E332=1,30,IF(E332=2,20,IF(E332=3,10,IF(E332&lt;&gt;"",1,0))))+IF(F332=1,30,IF(F332=2,20,IF(F332=3,10,IF(F332&lt;&gt;"",1,0))))+IF(G332=1,30,IF(G332=2,20,IF(G332=3,10,IF(G332&lt;&gt;"",1,0))))+IF(H332=1,30,IF(H332=2,20,IF(H332=3,10,IF(H332&lt;&gt;"",1,0))))))</f>
        <v/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14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>
        <f>IF(AND(C333="",OR(E333="",E333=0)),"",(IF(E333=1,30,IF(E333=2,20,IF(E333=3,10,IF(E333&lt;&gt;"",1,0))))+IF(F333=1,30,IF(F333=2,20,IF(F333=3,10,IF(F333&lt;&gt;"",1,0))))+IF(G333=1,30,IF(G333=2,20,IF(G333=3,10,IF(G333&lt;&gt;"",1,0))))+IF(H333=1,30,IF(H333=2,20,IF(H333=3,10,IF(H333&lt;&gt;"",1,0)))))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14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>
        <f>IF(AND(C334="",OR(E334="",E334=0)),"",(IF(E334=1,30,IF(E334=2,20,IF(E334=3,10,IF(E334&lt;&gt;"",1,0))))+IF(F334=1,30,IF(F334=2,20,IF(F334=3,10,IF(F334&lt;&gt;"",1,0))))+IF(G334=1,30,IF(G334=2,20,IF(G334=3,10,IF(G334&lt;&gt;"",1,0))))+IF(H334=1,30,IF(H334=2,20,IF(H334=3,10,IF(H334&lt;&gt;"",1,0))))))</f>
        <v/>
      </c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14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>
        <f>IF(AND(C335="",OR(E335="",E335=0)),"",(IF(E335=1,30,IF(E335=2,20,IF(E335=3,10,IF(E335&lt;&gt;"",1,0))))+IF(F335=1,30,IF(F335=2,20,IF(F335=3,10,IF(F335&lt;&gt;"",1,0))))+IF(G335=1,30,IF(G335=2,20,IF(G335=3,10,IF(G335&lt;&gt;"",1,0))))+IF(H335=1,30,IF(H335=2,20,IF(H335=3,10,IF(H335&lt;&gt;"",1,0))))))</f>
        <v/>
      </c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14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>
        <f>IF(AND(C336="",OR(E336="",E336=0)),"",(IF(E336=1,30,IF(E336=2,20,IF(E336=3,10,IF(E336&lt;&gt;"",1,0))))+IF(F336=1,30,IF(F336=2,20,IF(F336=3,10,IF(F336&lt;&gt;"",1,0))))+IF(G336=1,30,IF(G336=2,20,IF(G336=3,10,IF(G336&lt;&gt;"",1,0))))+IF(H336=1,30,IF(H336=2,20,IF(H336=3,10,IF(H336&lt;&gt;"",1,0))))))</f>
        <v/>
      </c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14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>
        <f>IF(AND(C337="",OR(E337="",E337=0)),"",(IF(E337=1,30,IF(E337=2,20,IF(E337=3,10,IF(E337&lt;&gt;"",1,0))))+IF(F337=1,30,IF(F337=2,20,IF(F337=3,10,IF(F337&lt;&gt;"",1,0))))+IF(G337=1,30,IF(G337=2,20,IF(G337=3,10,IF(G337&lt;&gt;"",1,0))))+IF(H337=1,30,IF(H337=2,20,IF(H337=3,10,IF(H337&lt;&gt;"",1,0))))))</f>
        <v/>
      </c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14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>
        <f>IF(AND(C338="",OR(E338="",E338=0)),"",(IF(E338=1,30,IF(E338=2,20,IF(E338=3,10,IF(E338&lt;&gt;"",1,0))))+IF(F338=1,30,IF(F338=2,20,IF(F338=3,10,IF(F338&lt;&gt;"",1,0))))+IF(G338=1,30,IF(G338=2,20,IF(G338=3,10,IF(G338&lt;&gt;"",1,0))))+IF(H338=1,30,IF(H338=2,20,IF(H338=3,10,IF(H338&lt;&gt;"",1,0)))))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14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>
        <f>IF(AND(C339="",OR(E339="",E339=0)),"",(IF(E339=1,30,IF(E339=2,20,IF(E339=3,10,IF(E339&lt;&gt;"",1,0))))+IF(F339=1,30,IF(F339=2,20,IF(F339=3,10,IF(F339&lt;&gt;"",1,0))))+IF(G339=1,30,IF(G339=2,20,IF(G339=3,10,IF(G339&lt;&gt;"",1,0))))+IF(H339=1,30,IF(H339=2,20,IF(H339=3,10,IF(H339&lt;&gt;"",1,0))))))</f>
        <v/>
      </c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14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>
        <f>IF(AND(C340="",OR(E340="",E340=0)),"",(IF(E340=1,30,IF(E340=2,20,IF(E340=3,10,IF(E340&lt;&gt;"",1,0))))+IF(F340=1,30,IF(F340=2,20,IF(F340=3,10,IF(F340&lt;&gt;"",1,0))))+IF(G340=1,30,IF(G340=2,20,IF(G340=3,10,IF(G340&lt;&gt;"",1,0))))+IF(H340=1,30,IF(H340=2,20,IF(H340=3,10,IF(H340&lt;&gt;"",1,0))))))</f>
        <v/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14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>
        <f>IF(AND(C341="",OR(E341="",E341=0)),"",(IF(E341=1,30,IF(E341=2,20,IF(E341=3,10,IF(E341&lt;&gt;"",1,0))))+IF(F341=1,30,IF(F341=2,20,IF(F341=3,10,IF(F341&lt;&gt;"",1,0))))+IF(G341=1,30,IF(G341=2,20,IF(G341=3,10,IF(G341&lt;&gt;"",1,0))))+IF(H341=1,30,IF(H341=2,20,IF(H341=3,10,IF(H341&lt;&gt;"",1,0))))))</f>
        <v/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14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>
        <f>IF(AND(C342="",OR(E342="",E342=0)),"",(IF(E342=1,30,IF(E342=2,20,IF(E342=3,10,IF(E342&lt;&gt;"",1,0))))+IF(F342=1,30,IF(F342=2,20,IF(F342=3,10,IF(F342&lt;&gt;"",1,0))))+IF(G342=1,30,IF(G342=2,20,IF(G342=3,10,IF(G342&lt;&gt;"",1,0))))+IF(H342=1,30,IF(H342=2,20,IF(H342=3,10,IF(H342&lt;&gt;"",1,0)))))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1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>
        <f>IF(AND(C343="",OR(E343="",E343=0)),"",(IF(E343=1,30,IF(E343=2,20,IF(E343=3,10,IF(E343&lt;&gt;"",1,0))))+IF(F343=1,30,IF(F343=2,20,IF(F343=3,10,IF(F343&lt;&gt;"",1,0))))+IF(G343=1,30,IF(G343=2,20,IF(G343=3,10,IF(G343&lt;&gt;"",1,0))))+IF(H343=1,30,IF(H343=2,20,IF(H343=3,10,IF(H343&lt;&gt;"",1,0))))))</f>
        <v/>
      </c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14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>
        <f>IF(AND(C344="",OR(E344="",E344=0)),"",(IF(E344=1,30,IF(E344=2,20,IF(E344=3,10,IF(E344&lt;&gt;"",1,0))))+IF(F344=1,30,IF(F344=2,20,IF(F344=3,10,IF(F344&lt;&gt;"",1,0))))+IF(G344=1,30,IF(G344=2,20,IF(G344=3,10,IF(G344&lt;&gt;"",1,0))))+IF(H344=1,30,IF(H344=2,20,IF(H344=3,10,IF(H344&lt;&gt;"",1,0))))))</f>
        <v/>
      </c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14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>
        <f>IF(AND(C345="",OR(E345="",E345=0)),"",(IF(E345=1,30,IF(E345=2,20,IF(E345=3,10,IF(E345&lt;&gt;"",1,0))))+IF(F345=1,30,IF(F345=2,20,IF(F345=3,10,IF(F345&lt;&gt;"",1,0))))+IF(G345=1,30,IF(G345=2,20,IF(G345=3,10,IF(G345&lt;&gt;"",1,0))))+IF(H345=1,30,IF(H345=2,20,IF(H345=3,10,IF(H345&lt;&gt;"",1,0))))))</f>
        <v/>
      </c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14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>
        <f>IF(AND(C346="",OR(E346="",E346=0)),"",(IF(E346=1,30,IF(E346=2,20,IF(E346=3,10,IF(E346&lt;&gt;"",1,0))))+IF(F346=1,30,IF(F346=2,20,IF(F346=3,10,IF(F346&lt;&gt;"",1,0))))+IF(G346=1,30,IF(G346=2,20,IF(G346=3,10,IF(G346&lt;&gt;"",1,0))))+IF(H346=1,30,IF(H346=2,20,IF(H346=3,10,IF(H346&lt;&gt;"",1,0))))))</f>
        <v/>
      </c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14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>
        <f>IF(AND(C347="",OR(E347="",E347=0)),"",(IF(E347=1,30,IF(E347=2,20,IF(E347=3,10,IF(E347&lt;&gt;"",1,0))))+IF(F347=1,30,IF(F347=2,20,IF(F347=3,10,IF(F347&lt;&gt;"",1,0))))+IF(G347=1,30,IF(G347=2,20,IF(G347=3,10,IF(G347&lt;&gt;"",1,0))))+IF(H347=1,30,IF(H347=2,20,IF(H347=3,10,IF(H347&lt;&gt;"",1,0)))))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14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>
        <f>IF(AND(C348="",OR(E348="",E348=0)),"",(IF(E348=1,30,IF(E348=2,20,IF(E348=3,10,IF(E348&lt;&gt;"",1,0))))+IF(F348=1,30,IF(F348=2,20,IF(F348=3,10,IF(F348&lt;&gt;"",1,0))))+IF(G348=1,30,IF(G348=2,20,IF(G348=3,10,IF(G348&lt;&gt;"",1,0))))+IF(H348=1,30,IF(H348=2,20,IF(H348=3,10,IF(H348&lt;&gt;"",1,0))))))</f>
        <v/>
      </c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14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>
        <f>IF(AND(C349="",OR(E349="",E349=0)),"",(IF(E349=1,30,IF(E349=2,20,IF(E349=3,10,IF(E349&lt;&gt;"",1,0))))+IF(F349=1,30,IF(F349=2,20,IF(F349=3,10,IF(F349&lt;&gt;"",1,0))))+IF(G349=1,30,IF(G349=2,20,IF(G349=3,10,IF(G349&lt;&gt;"",1,0))))+IF(H349=1,30,IF(H349=2,20,IF(H349=3,10,IF(H349&lt;&gt;"",1,0))))))</f>
        <v/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14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>
        <f>IF(AND(C350="",OR(E350="",E350=0)),"",(IF(E350=1,30,IF(E350=2,20,IF(E350=3,10,IF(E350&lt;&gt;"",1,0))))+IF(F350=1,30,IF(F350=2,20,IF(F350=3,10,IF(F350&lt;&gt;"",1,0))))+IF(G350=1,30,IF(G350=2,20,IF(G350=3,10,IF(G350&lt;&gt;"",1,0))))+IF(H350=1,30,IF(H350=2,20,IF(H350=3,10,IF(H350&lt;&gt;"",1,0))))))</f>
        <v/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14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>
        <f>IF(AND(C351="",OR(E351="",E351=0)),"",(IF(E351=1,30,IF(E351=2,20,IF(E351=3,10,IF(E351&lt;&gt;"",1,0))))+IF(F351=1,30,IF(F351=2,20,IF(F351=3,10,IF(F351&lt;&gt;"",1,0))))+IF(G351=1,30,IF(G351=2,20,IF(G351=3,10,IF(G351&lt;&gt;"",1,0))))+IF(H351=1,30,IF(H351=2,20,IF(H351=3,10,IF(H351&lt;&gt;"",1,0))))))</f>
        <v/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14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>
        <f>IF(AND(C352="",OR(E352="",E352=0)),"",(IF(E352=1,30,IF(E352=2,20,IF(E352=3,10,IF(E352&lt;&gt;"",1,0))))+IF(F352=1,30,IF(F352=2,20,IF(F352=3,10,IF(F352&lt;&gt;"",1,0))))+IF(G352=1,30,IF(G352=2,20,IF(G352=3,10,IF(G352&lt;&gt;"",1,0))))+IF(H352=1,30,IF(H352=2,20,IF(H352=3,10,IF(H352&lt;&gt;"",1,0))))))</f>
        <v/>
      </c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14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>
        <f>IF(AND(C353="",OR(E353="",E353=0)),"",(IF(E353=1,30,IF(E353=2,20,IF(E353=3,10,IF(E353&lt;&gt;"",1,0))))+IF(F353=1,30,IF(F353=2,20,IF(F353=3,10,IF(F353&lt;&gt;"",1,0))))+IF(G353=1,30,IF(G353=2,20,IF(G353=3,10,IF(G353&lt;&gt;"",1,0))))+IF(H353=1,30,IF(H353=2,20,IF(H353=3,10,IF(H353&lt;&gt;"",1,0))))))</f>
        <v/>
      </c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14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>
        <f>IF(AND(C354="",OR(E354="",E354=0)),"",(IF(E354=1,30,IF(E354=2,20,IF(E354=3,10,IF(E354&lt;&gt;"",1,0))))+IF(F354=1,30,IF(F354=2,20,IF(F354=3,10,IF(F354&lt;&gt;"",1,0))))+IF(G354=1,30,IF(G354=2,20,IF(G354=3,10,IF(G354&lt;&gt;"",1,0))))+IF(H354=1,30,IF(H354=2,20,IF(H354=3,10,IF(H354&lt;&gt;"",1,0))))))</f>
        <v/>
      </c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14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>
        <f>IF(AND(C355="",OR(E355="",E355=0)),"",(IF(E355=1,30,IF(E355=2,20,IF(E355=3,10,IF(E355&lt;&gt;"",1,0))))+IF(F355=1,30,IF(F355=2,20,IF(F355=3,10,IF(F355&lt;&gt;"",1,0))))+IF(G355=1,30,IF(G355=2,20,IF(G355=3,10,IF(G355&lt;&gt;"",1,0))))+IF(H355=1,30,IF(H355=2,20,IF(H355=3,10,IF(H355&lt;&gt;"",1,0))))))</f>
        <v/>
      </c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14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>
        <f>IF(AND(C356="",OR(E356="",E356=0)),"",(IF(E356=1,30,IF(E356=2,20,IF(E356=3,10,IF(E356&lt;&gt;"",1,0))))+IF(F356=1,30,IF(F356=2,20,IF(F356=3,10,IF(F356&lt;&gt;"",1,0))))+IF(G356=1,30,IF(G356=2,20,IF(G356=3,10,IF(G356&lt;&gt;"",1,0))))+IF(H356=1,30,IF(H356=2,20,IF(H356=3,10,IF(H356&lt;&gt;"",1,0)))))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14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>
        <f>IF(AND(C357="",OR(E357="",E357=0)),"",(IF(E357=1,30,IF(E357=2,20,IF(E357=3,10,IF(E357&lt;&gt;"",1,0))))+IF(F357=1,30,IF(F357=2,20,IF(F357=3,10,IF(F357&lt;&gt;"",1,0))))+IF(G357=1,30,IF(G357=2,20,IF(G357=3,10,IF(G357&lt;&gt;"",1,0))))+IF(H357=1,30,IF(H357=2,20,IF(H357=3,10,IF(H357&lt;&gt;"",1,0))))))</f>
        <v/>
      </c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14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>
        <f>IF(AND(C358="",OR(E358="",E358=0)),"",(IF(E358=1,30,IF(E358=2,20,IF(E358=3,10,IF(E358&lt;&gt;"",1,0))))+IF(F358=1,30,IF(F358=2,20,IF(F358=3,10,IF(F358&lt;&gt;"",1,0))))+IF(G358=1,30,IF(G358=2,20,IF(G358=3,10,IF(G358&lt;&gt;"",1,0))))+IF(H358=1,30,IF(H358=2,20,IF(H358=3,10,IF(H358&lt;&gt;"",1,0))))))</f>
        <v/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14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>
        <f>IF(AND(C359="",OR(E359="",E359=0)),"",(IF(E359=1,30,IF(E359=2,20,IF(E359=3,10,IF(E359&lt;&gt;"",1,0))))+IF(F359=1,30,IF(F359=2,20,IF(F359=3,10,IF(F359&lt;&gt;"",1,0))))+IF(G359=1,30,IF(G359=2,20,IF(G359=3,10,IF(G359&lt;&gt;"",1,0))))+IF(H359=1,30,IF(H359=2,20,IF(H359=3,10,IF(H359&lt;&gt;"",1,0))))))</f>
        <v/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14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>
        <f>IF(AND(C360="",OR(E360="",E360=0)),"",(IF(E360=1,30,IF(E360=2,20,IF(E360=3,10,IF(E360&lt;&gt;"",1,0))))+IF(F360=1,30,IF(F360=2,20,IF(F360=3,10,IF(F360&lt;&gt;"",1,0))))+IF(G360=1,30,IF(G360=2,20,IF(G360=3,10,IF(G360&lt;&gt;"",1,0))))+IF(H360=1,30,IF(H360=2,20,IF(H360=3,10,IF(H360&lt;&gt;"",1,0)))))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14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>
        <f>IF(AND(C361="",OR(E361="",E361=0)),"",(IF(E361=1,30,IF(E361=2,20,IF(E361=3,10,IF(E361&lt;&gt;"",1,0))))+IF(F361=1,30,IF(F361=2,20,IF(F361=3,10,IF(F361&lt;&gt;"",1,0))))+IF(G361=1,30,IF(G361=2,20,IF(G361=3,10,IF(G361&lt;&gt;"",1,0))))+IF(H361=1,30,IF(H361=2,20,IF(H361=3,10,IF(H361&lt;&gt;"",1,0))))))</f>
        <v/>
      </c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14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>
        <f>IF(AND(C362="",OR(E362="",E362=0)),"",(IF(E362=1,30,IF(E362=2,20,IF(E362=3,10,IF(E362&lt;&gt;"",1,0))))+IF(F362=1,30,IF(F362=2,20,IF(F362=3,10,IF(F362&lt;&gt;"",1,0))))+IF(G362=1,30,IF(G362=2,20,IF(G362=3,10,IF(G362&lt;&gt;"",1,0))))+IF(H362=1,30,IF(H362=2,20,IF(H362=3,10,IF(H362&lt;&gt;"",1,0))))))</f>
        <v/>
      </c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14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>
        <f>IF(AND(C363="",OR(E363="",E363=0)),"",(IF(E363=1,30,IF(E363=2,20,IF(E363=3,10,IF(E363&lt;&gt;"",1,0))))+IF(F363=1,30,IF(F363=2,20,IF(F363=3,10,IF(F363&lt;&gt;"",1,0))))+IF(G363=1,30,IF(G363=2,20,IF(G363=3,10,IF(G363&lt;&gt;"",1,0))))+IF(H363=1,30,IF(H363=2,20,IF(H363=3,10,IF(H363&lt;&gt;"",1,0))))))</f>
        <v/>
      </c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14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>
        <f>IF(AND(C364="",OR(E364="",E364=0)),"",(IF(E364=1,30,IF(E364=2,20,IF(E364=3,10,IF(E364&lt;&gt;"",1,0))))+IF(F364=1,30,IF(F364=2,20,IF(F364=3,10,IF(F364&lt;&gt;"",1,0))))+IF(G364=1,30,IF(G364=2,20,IF(G364=3,10,IF(G364&lt;&gt;"",1,0))))+IF(H364=1,30,IF(H364=2,20,IF(H364=3,10,IF(H364&lt;&gt;"",1,0))))))</f>
        <v/>
      </c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14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>
        <f>IF(AND(C365="",OR(E365="",E365=0)),"",(IF(E365=1,30,IF(E365=2,20,IF(E365=3,10,IF(E365&lt;&gt;"",1,0))))+IF(F365=1,30,IF(F365=2,20,IF(F365=3,10,IF(F365&lt;&gt;"",1,0))))+IF(G365=1,30,IF(G365=2,20,IF(G365=3,10,IF(G365&lt;&gt;"",1,0))))+IF(H365=1,30,IF(H365=2,20,IF(H365=3,10,IF(H365&lt;&gt;"",1,0)))))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14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>
        <f>IF(AND(C366="",OR(E366="",E366=0)),"",(IF(E366=1,30,IF(E366=2,20,IF(E366=3,10,IF(E366&lt;&gt;"",1,0))))+IF(F366=1,30,IF(F366=2,20,IF(F366=3,10,IF(F366&lt;&gt;"",1,0))))+IF(G366=1,30,IF(G366=2,20,IF(G366=3,10,IF(G366&lt;&gt;"",1,0))))+IF(H366=1,30,IF(H366=2,20,IF(H366=3,10,IF(H366&lt;&gt;"",1,0))))))</f>
        <v/>
      </c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14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>
        <f>IF(AND(C367="",OR(E367="",E367=0)),"",(IF(E367=1,30,IF(E367=2,20,IF(E367=3,10,IF(E367&lt;&gt;"",1,0))))+IF(F367=1,30,IF(F367=2,20,IF(F367=3,10,IF(F367&lt;&gt;"",1,0))))+IF(G367=1,30,IF(G367=2,20,IF(G367=3,10,IF(G367&lt;&gt;"",1,0))))+IF(H367=1,30,IF(H367=2,20,IF(H367=3,10,IF(H367&lt;&gt;"",1,0))))))</f>
        <v/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14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>
        <f>IF(AND(C368="",OR(E368="",E368=0)),"",(IF(E368=1,30,IF(E368=2,20,IF(E368=3,10,IF(E368&lt;&gt;"",1,0))))+IF(F368=1,30,IF(F368=2,20,IF(F368=3,10,IF(F368&lt;&gt;"",1,0))))+IF(G368=1,30,IF(G368=2,20,IF(G368=3,10,IF(G368&lt;&gt;"",1,0))))+IF(H368=1,30,IF(H368=2,20,IF(H368=3,10,IF(H368&lt;&gt;"",1,0))))))</f>
        <v/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14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>
        <f>IF(AND(C369="",OR(E369="",E369=0)),"",(IF(E369=1,30,IF(E369=2,20,IF(E369=3,10,IF(E369&lt;&gt;"",1,0))))+IF(F369=1,30,IF(F369=2,20,IF(F369=3,10,IF(F369&lt;&gt;"",1,0))))+IF(G369=1,30,IF(G369=2,20,IF(G369=3,10,IF(G369&lt;&gt;"",1,0))))+IF(H369=1,30,IF(H369=2,20,IF(H369=3,10,IF(H369&lt;&gt;"",1,0)))))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14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>
        <f>IF(AND(C370="",OR(E370="",E370=0)),"",(IF(E370=1,30,IF(E370=2,20,IF(E370=3,10,IF(E370&lt;&gt;"",1,0))))+IF(F370=1,30,IF(F370=2,20,IF(F370=3,10,IF(F370&lt;&gt;"",1,0))))+IF(G370=1,30,IF(G370=2,20,IF(G370=3,10,IF(G370&lt;&gt;"",1,0))))+IF(H370=1,30,IF(H370=2,20,IF(H370=3,10,IF(H370&lt;&gt;"",1,0))))))</f>
        <v/>
      </c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14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>
        <f>IF(AND(C371="",OR(E371="",E371=0)),"",(IF(E371=1,30,IF(E371=2,20,IF(E371=3,10,IF(E371&lt;&gt;"",1,0))))+IF(F371=1,30,IF(F371=2,20,IF(F371=3,10,IF(F371&lt;&gt;"",1,0))))+IF(G371=1,30,IF(G371=2,20,IF(G371=3,10,IF(G371&lt;&gt;"",1,0))))+IF(H371=1,30,IF(H371=2,20,IF(H371=3,10,IF(H371&lt;&gt;"",1,0))))))</f>
        <v/>
      </c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14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>
        <f>IF(AND(C372="",OR(E372="",E372=0)),"",(IF(E372=1,30,IF(E372=2,20,IF(E372=3,10,IF(E372&lt;&gt;"",1,0))))+IF(F372=1,30,IF(F372=2,20,IF(F372=3,10,IF(F372&lt;&gt;"",1,0))))+IF(G372=1,30,IF(G372=2,20,IF(G372=3,10,IF(G372&lt;&gt;"",1,0))))+IF(H372=1,30,IF(H372=2,20,IF(H372=3,10,IF(H372&lt;&gt;"",1,0))))))</f>
        <v/>
      </c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14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>
        <f>IF(AND(C373="",OR(E373="",E373=0)),"",(IF(E373=1,30,IF(E373=2,20,IF(E373=3,10,IF(E373&lt;&gt;"",1,0))))+IF(F373=1,30,IF(F373=2,20,IF(F373=3,10,IF(F373&lt;&gt;"",1,0))))+IF(G373=1,30,IF(G373=2,20,IF(G373=3,10,IF(G373&lt;&gt;"",1,0))))+IF(H373=1,30,IF(H373=2,20,IF(H373=3,10,IF(H373&lt;&gt;"",1,0))))))</f>
        <v/>
      </c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14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>
        <f>IF(AND(C374="",OR(E374="",E374=0)),"",(IF(E374=1,30,IF(E374=2,20,IF(E374=3,10,IF(E374&lt;&gt;"",1,0))))+IF(F374=1,30,IF(F374=2,20,IF(F374=3,10,IF(F374&lt;&gt;"",1,0))))+IF(G374=1,30,IF(G374=2,20,IF(G374=3,10,IF(G374&lt;&gt;"",1,0))))+IF(H374=1,30,IF(H374=2,20,IF(H374=3,10,IF(H374&lt;&gt;"",1,0)))))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14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>
        <f>IF(AND(C375="",OR(E375="",E375=0)),"",(IF(E375=1,30,IF(E375=2,20,IF(E375=3,10,IF(E375&lt;&gt;"",1,0))))+IF(F375=1,30,IF(F375=2,20,IF(F375=3,10,IF(F375&lt;&gt;"",1,0))))+IF(G375=1,30,IF(G375=2,20,IF(G375=3,10,IF(G375&lt;&gt;"",1,0))))+IF(H375=1,30,IF(H375=2,20,IF(H375=3,10,IF(H375&lt;&gt;"",1,0))))))</f>
        <v/>
      </c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14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>
        <f>IF(AND(C376="",OR(E376="",E376=0)),"",(IF(E376=1,30,IF(E376=2,20,IF(E376=3,10,IF(E376&lt;&gt;"",1,0))))+IF(F376=1,30,IF(F376=2,20,IF(F376=3,10,IF(F376&lt;&gt;"",1,0))))+IF(G376=1,30,IF(G376=2,20,IF(G376=3,10,IF(G376&lt;&gt;"",1,0))))+IF(H376=1,30,IF(H376=2,20,IF(H376=3,10,IF(H376&lt;&gt;"",1,0))))))</f>
        <v/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14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>
        <f>IF(AND(C377="",OR(E377="",E377=0)),"",(IF(E377=1,30,IF(E377=2,20,IF(E377=3,10,IF(E377&lt;&gt;"",1,0))))+IF(F377=1,30,IF(F377=2,20,IF(F377=3,10,IF(F377&lt;&gt;"",1,0))))+IF(G377=1,30,IF(G377=2,20,IF(G377=3,10,IF(G377&lt;&gt;"",1,0))))+IF(H377=1,30,IF(H377=2,20,IF(H377=3,10,IF(H377&lt;&gt;"",1,0))))))</f>
        <v/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14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>
        <f>IF(AND(C378="",OR(E378="",E378=0)),"",(IF(E378=1,30,IF(E378=2,20,IF(E378=3,10,IF(E378&lt;&gt;"",1,0))))+IF(F378=1,30,IF(F378=2,20,IF(F378=3,10,IF(F378&lt;&gt;"",1,0))))+IF(G378=1,30,IF(G378=2,20,IF(G378=3,10,IF(G378&lt;&gt;"",1,0))))+IF(H378=1,30,IF(H378=2,20,IF(H378=3,10,IF(H378&lt;&gt;"",1,0)))))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14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>
        <f>IF(AND(C379="",OR(E379="",E379=0)),"",(IF(E379=1,30,IF(E379=2,20,IF(E379=3,10,IF(E379&lt;&gt;"",1,0))))+IF(F379=1,30,IF(F379=2,20,IF(F379=3,10,IF(F379&lt;&gt;"",1,0))))+IF(G379=1,30,IF(G379=2,20,IF(G379=3,10,IF(G379&lt;&gt;"",1,0))))+IF(H379=1,30,IF(H379=2,20,IF(H379=3,10,IF(H379&lt;&gt;"",1,0))))))</f>
        <v/>
      </c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14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>
        <f>IF(AND(C380="",OR(E380="",E380=0)),"",(IF(E380=1,30,IF(E380=2,20,IF(E380=3,10,IF(E380&lt;&gt;"",1,0))))+IF(F380=1,30,IF(F380=2,20,IF(F380=3,10,IF(F380&lt;&gt;"",1,0))))+IF(G380=1,30,IF(G380=2,20,IF(G380=3,10,IF(G380&lt;&gt;"",1,0))))+IF(H380=1,30,IF(H380=2,20,IF(H380=3,10,IF(H380&lt;&gt;"",1,0))))))</f>
        <v/>
      </c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14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>
        <f>IF(AND(C381="",OR(E381="",E381=0)),"",(IF(E381=1,30,IF(E381=2,20,IF(E381=3,10,IF(E381&lt;&gt;"",1,0))))+IF(F381=1,30,IF(F381=2,20,IF(F381=3,10,IF(F381&lt;&gt;"",1,0))))+IF(G381=1,30,IF(G381=2,20,IF(G381=3,10,IF(G381&lt;&gt;"",1,0))))+IF(H381=1,30,IF(H381=2,20,IF(H381=3,10,IF(H381&lt;&gt;"",1,0))))))</f>
        <v/>
      </c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14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>
        <f>IF(AND(C382="",OR(E382="",E382=0)),"",(IF(E382=1,30,IF(E382=2,20,IF(E382=3,10,IF(E382&lt;&gt;"",1,0))))+IF(F382=1,30,IF(F382=2,20,IF(F382=3,10,IF(F382&lt;&gt;"",1,0))))+IF(G382=1,30,IF(G382=2,20,IF(G382=3,10,IF(G382&lt;&gt;"",1,0))))+IF(H382=1,30,IF(H382=2,20,IF(H382=3,10,IF(H382&lt;&gt;"",1,0))))))</f>
        <v/>
      </c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14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>
        <f>IF(AND(C383="",OR(E383="",E383=0)),"",(IF(E383=1,30,IF(E383=2,20,IF(E383=3,10,IF(E383&lt;&gt;"",1,0))))+IF(F383=1,30,IF(F383=2,20,IF(F383=3,10,IF(F383&lt;&gt;"",1,0))))+IF(G383=1,30,IF(G383=2,20,IF(G383=3,10,IF(G383&lt;&gt;"",1,0))))+IF(H383=1,30,IF(H383=2,20,IF(H383=3,10,IF(H383&lt;&gt;"",1,0)))))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14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>
        <f>IF(AND(C384="",OR(E384="",E384=0)),"",(IF(E384=1,30,IF(E384=2,20,IF(E384=3,10,IF(E384&lt;&gt;"",1,0))))+IF(F384=1,30,IF(F384=2,20,IF(F384=3,10,IF(F384&lt;&gt;"",1,0))))+IF(G384=1,30,IF(G384=2,20,IF(G384=3,10,IF(G384&lt;&gt;"",1,0))))+IF(H384=1,30,IF(H384=2,20,IF(H384=3,10,IF(H384&lt;&gt;"",1,0))))))</f>
        <v/>
      </c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14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>
        <f>IF(AND(C385="",OR(E385="",E385=0)),"",(IF(E385=1,30,IF(E385=2,20,IF(E385=3,10,IF(E385&lt;&gt;"",1,0))))+IF(F385=1,30,IF(F385=2,20,IF(F385=3,10,IF(F385&lt;&gt;"",1,0))))+IF(G385=1,30,IF(G385=2,20,IF(G385=3,10,IF(G385&lt;&gt;"",1,0))))+IF(H385=1,30,IF(H385=2,20,IF(H385=3,10,IF(H385&lt;&gt;"",1,0))))))</f>
        <v/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14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>
        <f>IF(AND(C386="",OR(E386="",E386=0)),"",(IF(E386=1,30,IF(E386=2,20,IF(E386=3,10,IF(E386&lt;&gt;"",1,0))))+IF(F386=1,30,IF(F386=2,20,IF(F386=3,10,IF(F386&lt;&gt;"",1,0))))+IF(G386=1,30,IF(G386=2,20,IF(G386=3,10,IF(G386&lt;&gt;"",1,0))))+IF(H386=1,30,IF(H386=2,20,IF(H386=3,10,IF(H386&lt;&gt;"",1,0))))))</f>
        <v/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14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>
        <f>IF(AND(C387="",OR(E387="",E387=0)),"",(IF(E387=1,30,IF(E387=2,20,IF(E387=3,10,IF(E387&lt;&gt;"",1,0))))+IF(F387=1,30,IF(F387=2,20,IF(F387=3,10,IF(F387&lt;&gt;"",1,0))))+IF(G387=1,30,IF(G387=2,20,IF(G387=3,10,IF(G387&lt;&gt;"",1,0))))+IF(H387=1,30,IF(H387=2,20,IF(H387=3,10,IF(H387&lt;&gt;"",1,0)))))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14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>
        <f>IF(AND(C388="",OR(E388="",E388=0)),"",(IF(E388=1,30,IF(E388=2,20,IF(E388=3,10,IF(E388&lt;&gt;"",1,0))))+IF(F388=1,30,IF(F388=2,20,IF(F388=3,10,IF(F388&lt;&gt;"",1,0))))+IF(G388=1,30,IF(G388=2,20,IF(G388=3,10,IF(G388&lt;&gt;"",1,0))))+IF(H388=1,30,IF(H388=2,20,IF(H388=3,10,IF(H388&lt;&gt;"",1,0))))))</f>
        <v/>
      </c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14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>
        <f>IF(AND(C389="",OR(E389="",E389=0)),"",(IF(E389=1,30,IF(E389=2,20,IF(E389=3,10,IF(E389&lt;&gt;"",1,0))))+IF(F389=1,30,IF(F389=2,20,IF(F389=3,10,IF(F389&lt;&gt;"",1,0))))+IF(G389=1,30,IF(G389=2,20,IF(G389=3,10,IF(G389&lt;&gt;"",1,0))))+IF(H389=1,30,IF(H389=2,20,IF(H389=3,10,IF(H389&lt;&gt;"",1,0))))))</f>
        <v/>
      </c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14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>
        <f>IF(AND(C390="",OR(E390="",E390=0)),"",(IF(E390=1,30,IF(E390=2,20,IF(E390=3,10,IF(E390&lt;&gt;"",1,0))))+IF(F390=1,30,IF(F390=2,20,IF(F390=3,10,IF(F390&lt;&gt;"",1,0))))+IF(G390=1,30,IF(G390=2,20,IF(G390=3,10,IF(G390&lt;&gt;"",1,0))))+IF(H390=1,30,IF(H390=2,20,IF(H390=3,10,IF(H390&lt;&gt;"",1,0))))))</f>
        <v/>
      </c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14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>
        <f>IF(AND(C391="",OR(E391="",E391=0)),"",(IF(E391=1,30,IF(E391=2,20,IF(E391=3,10,IF(E391&lt;&gt;"",1,0))))+IF(F391=1,30,IF(F391=2,20,IF(F391=3,10,IF(F391&lt;&gt;"",1,0))))+IF(G391=1,30,IF(G391=2,20,IF(G391=3,10,IF(G391&lt;&gt;"",1,0))))+IF(H391=1,30,IF(H391=2,20,IF(H391=3,10,IF(H391&lt;&gt;"",1,0))))))</f>
        <v/>
      </c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14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>
        <f>IF(AND(C392="",OR(E392="",E392=0)),"",(IF(E392=1,30,IF(E392=2,20,IF(E392=3,10,IF(E392&lt;&gt;"",1,0))))+IF(F392=1,30,IF(F392=2,20,IF(F392=3,10,IF(F392&lt;&gt;"",1,0))))+IF(G392=1,30,IF(G392=2,20,IF(G392=3,10,IF(G392&lt;&gt;"",1,0))))+IF(H392=1,30,IF(H392=2,20,IF(H392=3,10,IF(H392&lt;&gt;"",1,0)))))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14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>
        <f>IF(AND(C393="",OR(E393="",E393=0)),"",(IF(E393=1,30,IF(E393=2,20,IF(E393=3,10,IF(E393&lt;&gt;"",1,0))))+IF(F393=1,30,IF(F393=2,20,IF(F393=3,10,IF(F393&lt;&gt;"",1,0))))+IF(G393=1,30,IF(G393=2,20,IF(G393=3,10,IF(G393&lt;&gt;"",1,0))))+IF(H393=1,30,IF(H393=2,20,IF(H393=3,10,IF(H393&lt;&gt;"",1,0))))))</f>
        <v/>
      </c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14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>
        <f>IF(AND(C394="",OR(E394="",E394=0)),"",(IF(E394=1,30,IF(E394=2,20,IF(E394=3,10,IF(E394&lt;&gt;"",1,0))))+IF(F394=1,30,IF(F394=2,20,IF(F394=3,10,IF(F394&lt;&gt;"",1,0))))+IF(G394=1,30,IF(G394=2,20,IF(G394=3,10,IF(G394&lt;&gt;"",1,0))))+IF(H394=1,30,IF(H394=2,20,IF(H394=3,10,IF(H394&lt;&gt;"",1,0))))))</f>
        <v/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14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>
        <f>IF(AND(C395="",OR(E395="",E395=0)),"",(IF(E395=1,30,IF(E395=2,20,IF(E395=3,10,IF(E395&lt;&gt;"",1,0))))+IF(F395=1,30,IF(F395=2,20,IF(F395=3,10,IF(F395&lt;&gt;"",1,0))))+IF(G395=1,30,IF(G395=2,20,IF(G395=3,10,IF(G395&lt;&gt;"",1,0))))+IF(H395=1,30,IF(H395=2,20,IF(H395=3,10,IF(H395&lt;&gt;"",1,0))))))</f>
        <v/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14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>
        <f>IF(AND(C396="",OR(E396="",E396=0)),"",(IF(E396=1,30,IF(E396=2,20,IF(E396=3,10,IF(E396&lt;&gt;"",1,0))))+IF(F396=1,30,IF(F396=2,20,IF(F396=3,10,IF(F396&lt;&gt;"",1,0))))+IF(G396=1,30,IF(G396=2,20,IF(G396=3,10,IF(G396&lt;&gt;"",1,0))))+IF(H396=1,30,IF(H396=2,20,IF(H396=3,10,IF(H396&lt;&gt;"",1,0)))))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14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>
        <f>IF(AND(C397="",OR(E397="",E397=0)),"",(IF(E397=1,30,IF(E397=2,20,IF(E397=3,10,IF(E397&lt;&gt;"",1,0))))+IF(F397=1,30,IF(F397=2,20,IF(F397=3,10,IF(F397&lt;&gt;"",1,0))))+IF(G397=1,30,IF(G397=2,20,IF(G397=3,10,IF(G397&lt;&gt;"",1,0))))+IF(H397=1,30,IF(H397=2,20,IF(H397=3,10,IF(H397&lt;&gt;"",1,0))))))</f>
        <v/>
      </c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14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>
        <f>IF(AND(C398="",OR(E398="",E398=0)),"",(IF(E398=1,30,IF(E398=2,20,IF(E398=3,10,IF(E398&lt;&gt;"",1,0))))+IF(F398=1,30,IF(F398=2,20,IF(F398=3,10,IF(F398&lt;&gt;"",1,0))))+IF(G398=1,30,IF(G398=2,20,IF(G398=3,10,IF(G398&lt;&gt;"",1,0))))+IF(H398=1,30,IF(H398=2,20,IF(H398=3,10,IF(H398&lt;&gt;"",1,0))))))</f>
        <v/>
      </c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14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>
        <f>IF(AND(C399="",OR(E399="",E399=0)),"",(IF(E399=1,30,IF(E399=2,20,IF(E399=3,10,IF(E399&lt;&gt;"",1,0))))+IF(F399=1,30,IF(F399=2,20,IF(F399=3,10,IF(F399&lt;&gt;"",1,0))))+IF(G399=1,30,IF(G399=2,20,IF(G399=3,10,IF(G399&lt;&gt;"",1,0))))+IF(H399=1,30,IF(H399=2,20,IF(H399=3,10,IF(H399&lt;&gt;"",1,0))))))</f>
        <v/>
      </c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14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>
        <f>IF(AND(C400="",OR(E400="",E400=0)),"",(IF(E400=1,30,IF(E400=2,20,IF(E400=3,10,IF(E400&lt;&gt;"",1,0))))+IF(F400=1,30,IF(F400=2,20,IF(F400=3,10,IF(F400&lt;&gt;"",1,0))))+IF(G400=1,30,IF(G400=2,20,IF(G400=3,10,IF(G400&lt;&gt;"",1,0))))+IF(H400=1,30,IF(H400=2,20,IF(H400=3,10,IF(H400&lt;&gt;"",1,0))))))</f>
        <v/>
      </c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14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>
        <f>IF(AND(C401="",OR(E401="",E401=0)),"",(IF(E401=1,30,IF(E401=2,20,IF(E401=3,10,IF(E401&lt;&gt;"",1,0))))+IF(F401=1,30,IF(F401=2,20,IF(F401=3,10,IF(F401&lt;&gt;"",1,0))))+IF(G401=1,30,IF(G401=2,20,IF(G401=3,10,IF(G401&lt;&gt;"",1,0))))+IF(H401=1,30,IF(H401=2,20,IF(H401=3,10,IF(H401&lt;&gt;"",1,0)))))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14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>
        <f>IF(AND(C402="",OR(E402="",E402=0)),"",(IF(E402=1,30,IF(E402=2,20,IF(E402=3,10,IF(E402&lt;&gt;"",1,0))))+IF(F402=1,30,IF(F402=2,20,IF(F402=3,10,IF(F402&lt;&gt;"",1,0))))+IF(G402=1,30,IF(G402=2,20,IF(G402=3,10,IF(G402&lt;&gt;"",1,0))))+IF(H402=1,30,IF(H402=2,20,IF(H402=3,10,IF(H402&lt;&gt;"",1,0))))))</f>
        <v/>
      </c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14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>
        <f>IF(AND(C403="",OR(E403="",E403=0)),"",(IF(E403=1,30,IF(E403=2,20,IF(E403=3,10,IF(E403&lt;&gt;"",1,0))))+IF(F403=1,30,IF(F403=2,20,IF(F403=3,10,IF(F403&lt;&gt;"",1,0))))+IF(G403=1,30,IF(G403=2,20,IF(G403=3,10,IF(G403&lt;&gt;"",1,0))))+IF(H403=1,30,IF(H403=2,20,IF(H403=3,10,IF(H403&lt;&gt;"",1,0))))))</f>
        <v/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14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>
        <f>IF(AND(C404="",OR(E404="",E404=0)),"",(IF(E404=1,30,IF(E404=2,20,IF(E404=3,10,IF(E404&lt;&gt;"",1,0))))+IF(F404=1,30,IF(F404=2,20,IF(F404=3,10,IF(F404&lt;&gt;"",1,0))))+IF(G404=1,30,IF(G404=2,20,IF(G404=3,10,IF(G404&lt;&gt;"",1,0))))+IF(H404=1,30,IF(H404=2,20,IF(H404=3,10,IF(H404&lt;&gt;"",1,0))))))</f>
        <v/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14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>
        <f>IF(AND(C405="",OR(E405="",E405=0)),"",(IF(E405=1,30,IF(E405=2,20,IF(E405=3,10,IF(E405&lt;&gt;"",1,0))))+IF(F405=1,30,IF(F405=2,20,IF(F405=3,10,IF(F405&lt;&gt;"",1,0))))+IF(G405=1,30,IF(G405=2,20,IF(G405=3,10,IF(G405&lt;&gt;"",1,0))))+IF(H405=1,30,IF(H405=2,20,IF(H405=3,10,IF(H405&lt;&gt;"",1,0)))))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14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>
        <f>IF(AND(C406="",OR(E406="",E406=0)),"",(IF(E406=1,30,IF(E406=2,20,IF(E406=3,10,IF(E406&lt;&gt;"",1,0))))+IF(F406=1,30,IF(F406=2,20,IF(F406=3,10,IF(F406&lt;&gt;"",1,0))))+IF(G406=1,30,IF(G406=2,20,IF(G406=3,10,IF(G406&lt;&gt;"",1,0))))+IF(H406=1,30,IF(H406=2,20,IF(H406=3,10,IF(H406&lt;&gt;"",1,0)))))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14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>
        <f>IF(AND(C407="",OR(E407="",E407=0)),"",(IF(E407=1,30,IF(E407=2,20,IF(E407=3,10,IF(E407&lt;&gt;"",1,0))))+IF(F407=1,30,IF(F407=2,20,IF(F407=3,10,IF(F407&lt;&gt;"",1,0))))+IF(G407=1,30,IF(G407=2,20,IF(G407=3,10,IF(G407&lt;&gt;"",1,0))))+IF(H407=1,30,IF(H407=2,20,IF(H407=3,10,IF(H407&lt;&gt;"",1,0))))))</f>
        <v/>
      </c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14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>
        <f>IF(AND(C408="",OR(E408="",E408=0)),"",(IF(E408=1,30,IF(E408=2,20,IF(E408=3,10,IF(E408&lt;&gt;"",1,0))))+IF(F408=1,30,IF(F408=2,20,IF(F408=3,10,IF(F408&lt;&gt;"",1,0))))+IF(G408=1,30,IF(G408=2,20,IF(G408=3,10,IF(G408&lt;&gt;"",1,0))))+IF(H408=1,30,IF(H408=2,20,IF(H408=3,10,IF(H408&lt;&gt;"",1,0))))))</f>
        <v/>
      </c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14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>
        <f>IF(AND(C409="",OR(E409="",E409=0)),"",(IF(E409=1,30,IF(E409=2,20,IF(E409=3,10,IF(E409&lt;&gt;"",1,0))))+IF(F409=1,30,IF(F409=2,20,IF(F409=3,10,IF(F409&lt;&gt;"",1,0))))+IF(G409=1,30,IF(G409=2,20,IF(G409=3,10,IF(G409&lt;&gt;"",1,0))))+IF(H409=1,30,IF(H409=2,20,IF(H409=3,10,IF(H409&lt;&gt;"",1,0))))))</f>
        <v/>
      </c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14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>
        <f>IF(AND(C410="",OR(E410="",E410=0)),"",(IF(E410=1,30,IF(E410=2,20,IF(E410=3,10,IF(E410&lt;&gt;"",1,0))))+IF(F410=1,30,IF(F410=2,20,IF(F410=3,10,IF(F410&lt;&gt;"",1,0))))+IF(G410=1,30,IF(G410=2,20,IF(G410=3,10,IF(G410&lt;&gt;"",1,0))))+IF(H410=1,30,IF(H410=2,20,IF(H410=3,10,IF(H410&lt;&gt;"",1,0)))))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14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>
        <f>IF(AND(C411="",OR(E411="",E411=0)),"",(IF(E411=1,30,IF(E411=2,20,IF(E411=3,10,IF(E411&lt;&gt;"",1,0))))+IF(F411=1,30,IF(F411=2,20,IF(F411=3,10,IF(F411&lt;&gt;"",1,0))))+IF(G411=1,30,IF(G411=2,20,IF(G411=3,10,IF(G411&lt;&gt;"",1,0))))+IF(H411=1,30,IF(H411=2,20,IF(H411=3,10,IF(H411&lt;&gt;"",1,0))))))</f>
        <v/>
      </c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14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>
        <f>IF(AND(C412="",OR(E412="",E412=0)),"",(IF(E412=1,30,IF(E412=2,20,IF(E412=3,10,IF(E412&lt;&gt;"",1,0))))+IF(F412=1,30,IF(F412=2,20,IF(F412=3,10,IF(F412&lt;&gt;"",1,0))))+IF(G412=1,30,IF(G412=2,20,IF(G412=3,10,IF(G412&lt;&gt;"",1,0))))+IF(H412=1,30,IF(H412=2,20,IF(H412=3,10,IF(H412&lt;&gt;"",1,0))))))</f>
        <v/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14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>
        <f>IF(AND(C413="",OR(E413="",E413=0)),"",(IF(E413=1,30,IF(E413=2,20,IF(E413=3,10,IF(E413&lt;&gt;"",1,0))))+IF(F413=1,30,IF(F413=2,20,IF(F413=3,10,IF(F413&lt;&gt;"",1,0))))+IF(G413=1,30,IF(G413=2,20,IF(G413=3,10,IF(G413&lt;&gt;"",1,0))))+IF(H413=1,30,IF(H413=2,20,IF(H413=3,10,IF(H413&lt;&gt;"",1,0))))))</f>
        <v/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14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>
        <f>IF(AND(C414="",OR(E414="",E414=0)),"",(IF(E414=1,30,IF(E414=2,20,IF(E414=3,10,IF(E414&lt;&gt;"",1,0))))+IF(F414=1,30,IF(F414=2,20,IF(F414=3,10,IF(F414&lt;&gt;"",1,0))))+IF(G414=1,30,IF(G414=2,20,IF(G414=3,10,IF(G414&lt;&gt;"",1,0))))+IF(H414=1,30,IF(H414=2,20,IF(H414=3,10,IF(H414&lt;&gt;"",1,0)))))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14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>
        <f>IF(AND(C415="",OR(E415="",E415=0)),"",(IF(E415=1,30,IF(E415=2,20,IF(E415=3,10,IF(E415&lt;&gt;"",1,0))))+IF(F415=1,30,IF(F415=2,20,IF(F415=3,10,IF(F415&lt;&gt;"",1,0))))+IF(G415=1,30,IF(G415=2,20,IF(G415=3,10,IF(G415&lt;&gt;"",1,0))))+IF(H415=1,30,IF(H415=2,20,IF(H415=3,10,IF(H415&lt;&gt;"",1,0))))))</f>
        <v/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14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>
        <f>IF(AND(C416="",OR(E416="",E416=0)),"",(IF(E416=1,30,IF(E416=2,20,IF(E416=3,10,IF(E416&lt;&gt;"",1,0))))+IF(F416=1,30,IF(F416=2,20,IF(F416=3,10,IF(F416&lt;&gt;"",1,0))))+IF(G416=1,30,IF(G416=2,20,IF(G416=3,10,IF(G416&lt;&gt;"",1,0))))+IF(H416=1,30,IF(H416=2,20,IF(H416=3,10,IF(H416&lt;&gt;"",1,0))))))</f>
        <v/>
      </c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14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>
        <f>IF(AND(C417="",OR(E417="",E417=0)),"",(IF(E417=1,30,IF(E417=2,20,IF(E417=3,10,IF(E417&lt;&gt;"",1,0))))+IF(F417=1,30,IF(F417=2,20,IF(F417=3,10,IF(F417&lt;&gt;"",1,0))))+IF(G417=1,30,IF(G417=2,20,IF(G417=3,10,IF(G417&lt;&gt;"",1,0))))+IF(H417=1,30,IF(H417=2,20,IF(H417=3,10,IF(H417&lt;&gt;"",1,0))))))</f>
        <v/>
      </c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14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>
        <f>IF(AND(C418="",OR(E418="",E418=0)),"",(IF(E418=1,30,IF(E418=2,20,IF(E418=3,10,IF(E418&lt;&gt;"",1,0))))+IF(F418=1,30,IF(F418=2,20,IF(F418=3,10,IF(F418&lt;&gt;"",1,0))))+IF(G418=1,30,IF(G418=2,20,IF(G418=3,10,IF(G418&lt;&gt;"",1,0))))+IF(H418=1,30,IF(H418=2,20,IF(H418=3,10,IF(H418&lt;&gt;"",1,0))))))</f>
        <v/>
      </c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14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>
        <f>IF(AND(C419="",OR(E419="",E419=0)),"",(IF(E419=1,30,IF(E419=2,20,IF(E419=3,10,IF(E419&lt;&gt;"",1,0))))+IF(F419=1,30,IF(F419=2,20,IF(F419=3,10,IF(F419&lt;&gt;"",1,0))))+IF(G419=1,30,IF(G419=2,20,IF(G419=3,10,IF(G419&lt;&gt;"",1,0))))+IF(H419=1,30,IF(H419=2,20,IF(H419=3,10,IF(H419&lt;&gt;"",1,0)))))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14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>
        <f>IF(AND(C420="",OR(E420="",E420=0)),"",(IF(E420=1,30,IF(E420=2,20,IF(E420=3,10,IF(E420&lt;&gt;"",1,0))))+IF(F420=1,30,IF(F420=2,20,IF(F420=3,10,IF(F420&lt;&gt;"",1,0))))+IF(G420=1,30,IF(G420=2,20,IF(G420=3,10,IF(G420&lt;&gt;"",1,0))))+IF(H420=1,30,IF(H420=2,20,IF(H420=3,10,IF(H420&lt;&gt;"",1,0))))))</f>
        <v/>
      </c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14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>
        <f>IF(AND(C421="",OR(E421="",E421=0)),"",(IF(E421=1,30,IF(E421=2,20,IF(E421=3,10,IF(E421&lt;&gt;"",1,0))))+IF(F421=1,30,IF(F421=2,20,IF(F421=3,10,IF(F421&lt;&gt;"",1,0))))+IF(G421=1,30,IF(G421=2,20,IF(G421=3,10,IF(G421&lt;&gt;"",1,0))))+IF(H421=1,30,IF(H421=2,20,IF(H421=3,10,IF(H421&lt;&gt;"",1,0))))))</f>
        <v/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14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>
        <f>IF(AND(C422="",OR(E422="",E422=0)),"",(IF(E422=1,30,IF(E422=2,20,IF(E422=3,10,IF(E422&lt;&gt;"",1,0))))+IF(F422=1,30,IF(F422=2,20,IF(F422=3,10,IF(F422&lt;&gt;"",1,0))))+IF(G422=1,30,IF(G422=2,20,IF(G422=3,10,IF(G422&lt;&gt;"",1,0))))+IF(H422=1,30,IF(H422=2,20,IF(H422=3,10,IF(H422&lt;&gt;"",1,0))))))</f>
        <v/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14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>
        <f>IF(AND(C423="",OR(E423="",E423=0)),"",(IF(E423=1,30,IF(E423=2,20,IF(E423=3,10,IF(E423&lt;&gt;"",1,0))))+IF(F423=1,30,IF(F423=2,20,IF(F423=3,10,IF(F423&lt;&gt;"",1,0))))+IF(G423=1,30,IF(G423=2,20,IF(G423=3,10,IF(G423&lt;&gt;"",1,0))))+IF(H423=1,30,IF(H423=2,20,IF(H423=3,10,IF(H423&lt;&gt;"",1,0)))))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14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>
        <f>IF(AND(C424="",OR(E424="",E424=0)),"",(IF(E424=1,30,IF(E424=2,20,IF(E424=3,10,IF(E424&lt;&gt;"",1,0))))+IF(F424=1,30,IF(F424=2,20,IF(F424=3,10,IF(F424&lt;&gt;"",1,0))))+IF(G424=1,30,IF(G424=2,20,IF(G424=3,10,IF(G424&lt;&gt;"",1,0))))+IF(H424=1,30,IF(H424=2,20,IF(H424=3,10,IF(H424&lt;&gt;"",1,0))))))</f>
        <v/>
      </c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14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>
        <f>IF(AND(C425="",OR(E425="",E425=0)),"",(IF(E425=1,30,IF(E425=2,20,IF(E425=3,10,IF(E425&lt;&gt;"",1,0))))+IF(F425=1,30,IF(F425=2,20,IF(F425=3,10,IF(F425&lt;&gt;"",1,0))))+IF(G425=1,30,IF(G425=2,20,IF(G425=3,10,IF(G425&lt;&gt;"",1,0))))+IF(H425=1,30,IF(H425=2,20,IF(H425=3,10,IF(H425&lt;&gt;"",1,0))))))</f>
        <v/>
      </c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14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>
        <f>IF(AND(C426="",OR(E426="",E426=0)),"",(IF(E426=1,30,IF(E426=2,20,IF(E426=3,10,IF(E426&lt;&gt;"",1,0))))+IF(F426=1,30,IF(F426=2,20,IF(F426=3,10,IF(F426&lt;&gt;"",1,0))))+IF(G426=1,30,IF(G426=2,20,IF(G426=3,10,IF(G426&lt;&gt;"",1,0))))+IF(H426=1,30,IF(H426=2,20,IF(H426=3,10,IF(H426&lt;&gt;"",1,0))))))</f>
        <v/>
      </c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14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>
        <f>IF(AND(C427="",OR(E427="",E427=0)),"",(IF(E427=1,30,IF(E427=2,20,IF(E427=3,10,IF(E427&lt;&gt;"",1,0))))+IF(F427=1,30,IF(F427=2,20,IF(F427=3,10,IF(F427&lt;&gt;"",1,0))))+IF(G427=1,30,IF(G427=2,20,IF(G427=3,10,IF(G427&lt;&gt;"",1,0))))+IF(H427=1,30,IF(H427=2,20,IF(H427=3,10,IF(H427&lt;&gt;"",1,0))))))</f>
        <v/>
      </c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14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>
        <f>IF(AND(C428="",OR(E428="",E428=0)),"",(IF(E428=1,30,IF(E428=2,20,IF(E428=3,10,IF(E428&lt;&gt;"",1,0))))+IF(F428=1,30,IF(F428=2,20,IF(F428=3,10,IF(F428&lt;&gt;"",1,0))))+IF(G428=1,30,IF(G428=2,20,IF(G428=3,10,IF(G428&lt;&gt;"",1,0))))+IF(H428=1,30,IF(H428=2,20,IF(H428=3,10,IF(H428&lt;&gt;"",1,0)))))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14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>
        <f>IF(AND(C429="",OR(E429="",E429=0)),"",(IF(E429=1,30,IF(E429=2,20,IF(E429=3,10,IF(E429&lt;&gt;"",1,0))))+IF(F429=1,30,IF(F429=2,20,IF(F429=3,10,IF(F429&lt;&gt;"",1,0))))+IF(G429=1,30,IF(G429=2,20,IF(G429=3,10,IF(G429&lt;&gt;"",1,0))))+IF(H429=1,30,IF(H429=2,20,IF(H429=3,10,IF(H429&lt;&gt;"",1,0))))))</f>
        <v/>
      </c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14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>
        <f>IF(AND(C430="",OR(E430="",E430=0)),"",(IF(E430=1,30,IF(E430=2,20,IF(E430=3,10,IF(E430&lt;&gt;"",1,0))))+IF(F430=1,30,IF(F430=2,20,IF(F430=3,10,IF(F430&lt;&gt;"",1,0))))+IF(G430=1,30,IF(G430=2,20,IF(G430=3,10,IF(G430&lt;&gt;"",1,0))))+IF(H430=1,30,IF(H430=2,20,IF(H430=3,10,IF(H430&lt;&gt;"",1,0))))))</f>
        <v/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14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>
        <f>IF(AND(C431="",OR(E431="",E431=0)),"",(IF(E431=1,30,IF(E431=2,20,IF(E431=3,10,IF(E431&lt;&gt;"",1,0))))+IF(F431=1,30,IF(F431=2,20,IF(F431=3,10,IF(F431&lt;&gt;"",1,0))))+IF(G431=1,30,IF(G431=2,20,IF(G431=3,10,IF(G431&lt;&gt;"",1,0))))+IF(H431=1,30,IF(H431=2,20,IF(H431=3,10,IF(H431&lt;&gt;"",1,0))))))</f>
        <v/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14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>
        <f>IF(AND(C432="",OR(E432="",E432=0)),"",(IF(E432=1,30,IF(E432=2,20,IF(E432=3,10,IF(E432&lt;&gt;"",1,0))))+IF(F432=1,30,IF(F432=2,20,IF(F432=3,10,IF(F432&lt;&gt;"",1,0))))+IF(G432=1,30,IF(G432=2,20,IF(G432=3,10,IF(G432&lt;&gt;"",1,0))))+IF(H432=1,30,IF(H432=2,20,IF(H432=3,10,IF(H432&lt;&gt;"",1,0)))))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14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>
        <f>IF(AND(C433="",OR(E433="",E433=0)),"",(IF(E433=1,30,IF(E433=2,20,IF(E433=3,10,IF(E433&lt;&gt;"",1,0))))+IF(F433=1,30,IF(F433=2,20,IF(F433=3,10,IF(F433&lt;&gt;"",1,0))))+IF(G433=1,30,IF(G433=2,20,IF(G433=3,10,IF(G433&lt;&gt;"",1,0))))+IF(H433=1,30,IF(H433=2,20,IF(H433=3,10,IF(H433&lt;&gt;"",1,0))))))</f>
        <v/>
      </c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14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>
        <f>IF(AND(C434="",OR(E434="",E434=0)),"",(IF(E434=1,30,IF(E434=2,20,IF(E434=3,10,IF(E434&lt;&gt;"",1,0))))+IF(F434=1,30,IF(F434=2,20,IF(F434=3,10,IF(F434&lt;&gt;"",1,0))))+IF(G434=1,30,IF(G434=2,20,IF(G434=3,10,IF(G434&lt;&gt;"",1,0))))+IF(H434=1,30,IF(H434=2,20,IF(H434=3,10,IF(H434&lt;&gt;"",1,0))))))</f>
        <v/>
      </c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14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>
        <f>IF(AND(C435="",OR(E435="",E435=0)),"",(IF(E435=1,30,IF(E435=2,20,IF(E435=3,10,IF(E435&lt;&gt;"",1,0))))+IF(F435=1,30,IF(F435=2,20,IF(F435=3,10,IF(F435&lt;&gt;"",1,0))))+IF(G435=1,30,IF(G435=2,20,IF(G435=3,10,IF(G435&lt;&gt;"",1,0))))+IF(H435=1,30,IF(H435=2,20,IF(H435=3,10,IF(H435&lt;&gt;"",1,0))))))</f>
        <v/>
      </c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14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>
        <f>IF(AND(C436="",OR(E436="",E436=0)),"",(IF(E436=1,30,IF(E436=2,20,IF(E436=3,10,IF(E436&lt;&gt;"",1,0))))+IF(F436=1,30,IF(F436=2,20,IF(F436=3,10,IF(F436&lt;&gt;"",1,0))))+IF(G436=1,30,IF(G436=2,20,IF(G436=3,10,IF(G436&lt;&gt;"",1,0))))+IF(H436=1,30,IF(H436=2,20,IF(H436=3,10,IF(H436&lt;&gt;"",1,0))))))</f>
        <v/>
      </c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14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>
        <f>IF(AND(C437="",OR(E437="",E437=0)),"",(IF(E437=1,30,IF(E437=2,20,IF(E437=3,10,IF(E437&lt;&gt;"",1,0))))+IF(F437=1,30,IF(F437=2,20,IF(F437=3,10,IF(F437&lt;&gt;"",1,0))))+IF(G437=1,30,IF(G437=2,20,IF(G437=3,10,IF(G437&lt;&gt;"",1,0))))+IF(H437=1,30,IF(H437=2,20,IF(H437=3,10,IF(H437&lt;&gt;"",1,0)))))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14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>
        <f>IF(AND(C438="",OR(E438="",E438=0)),"",(IF(E438=1,30,IF(E438=2,20,IF(E438=3,10,IF(E438&lt;&gt;"",1,0))))+IF(F438=1,30,IF(F438=2,20,IF(F438=3,10,IF(F438&lt;&gt;"",1,0))))+IF(G438=1,30,IF(G438=2,20,IF(G438=3,10,IF(G438&lt;&gt;"",1,0))))+IF(H438=1,30,IF(H438=2,20,IF(H438=3,10,IF(H438&lt;&gt;"",1,0))))))</f>
        <v/>
      </c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14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>
        <f>IF(AND(C439="",OR(E439="",E439=0)),"",(IF(E439=1,30,IF(E439=2,20,IF(E439=3,10,IF(E439&lt;&gt;"",1,0))))+IF(F439=1,30,IF(F439=2,20,IF(F439=3,10,IF(F439&lt;&gt;"",1,0))))+IF(G439=1,30,IF(G439=2,20,IF(G439=3,10,IF(G439&lt;&gt;"",1,0))))+IF(H439=1,30,IF(H439=2,20,IF(H439=3,10,IF(H439&lt;&gt;"",1,0))))))</f>
        <v/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14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>
        <f>IF(AND(C440="",OR(E440="",E440=0)),"",(IF(E440=1,30,IF(E440=2,20,IF(E440=3,10,IF(E440&lt;&gt;"",1,0))))+IF(F440=1,30,IF(F440=2,20,IF(F440=3,10,IF(F440&lt;&gt;"",1,0))))+IF(G440=1,30,IF(G440=2,20,IF(G440=3,10,IF(G440&lt;&gt;"",1,0))))+IF(H440=1,30,IF(H440=2,20,IF(H440=3,10,IF(H440&lt;&gt;"",1,0))))))</f>
        <v/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14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>
        <f>IF(AND(C441="",OR(E441="",E441=0)),"",(IF(E441=1,30,IF(E441=2,20,IF(E441=3,10,IF(E441&lt;&gt;"",1,0))))+IF(F441=1,30,IF(F441=2,20,IF(F441=3,10,IF(F441&lt;&gt;"",1,0))))+IF(G441=1,30,IF(G441=2,20,IF(G441=3,10,IF(G441&lt;&gt;"",1,0))))+IF(H441=1,30,IF(H441=2,20,IF(H441=3,10,IF(H441&lt;&gt;"",1,0)))))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14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>
        <f>IF(AND(C442="",OR(E442="",E442=0)),"",(IF(E442=1,30,IF(E442=2,20,IF(E442=3,10,IF(E442&lt;&gt;"",1,0))))+IF(F442=1,30,IF(F442=2,20,IF(F442=3,10,IF(F442&lt;&gt;"",1,0))))+IF(G442=1,30,IF(G442=2,20,IF(G442=3,10,IF(G442&lt;&gt;"",1,0))))+IF(H442=1,30,IF(H442=2,20,IF(H442=3,10,IF(H442&lt;&gt;"",1,0))))))</f>
        <v/>
      </c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1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>
        <f>IF(AND(C443="",OR(E443="",E443=0)),"",(IF(E443=1,30,IF(E443=2,20,IF(E443=3,10,IF(E443&lt;&gt;"",1,0))))+IF(F443=1,30,IF(F443=2,20,IF(F443=3,10,IF(F443&lt;&gt;"",1,0))))+IF(G443=1,30,IF(G443=2,20,IF(G443=3,10,IF(G443&lt;&gt;"",1,0))))+IF(H443=1,30,IF(H443=2,20,IF(H443=3,10,IF(H443&lt;&gt;"",1,0))))))</f>
        <v/>
      </c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14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>
        <f>IF(AND(C444="",OR(E444="",E444=0)),"",(IF(E444=1,30,IF(E444=2,20,IF(E444=3,10,IF(E444&lt;&gt;"",1,0))))+IF(F444=1,30,IF(F444=2,20,IF(F444=3,10,IF(F444&lt;&gt;"",1,0))))+IF(G444=1,30,IF(G444=2,20,IF(G444=3,10,IF(G444&lt;&gt;"",1,0))))+IF(H444=1,30,IF(H444=2,20,IF(H444=3,10,IF(H444&lt;&gt;"",1,0))))))</f>
        <v/>
      </c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14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>
        <f>IF(AND(C445="",OR(E445="",E445=0)),"",(IF(E445=1,30,IF(E445=2,20,IF(E445=3,10,IF(E445&lt;&gt;"",1,0))))+IF(F445=1,30,IF(F445=2,20,IF(F445=3,10,IF(F445&lt;&gt;"",1,0))))+IF(G445=1,30,IF(G445=2,20,IF(G445=3,10,IF(G445&lt;&gt;"",1,0))))+IF(H445=1,30,IF(H445=2,20,IF(H445=3,10,IF(H445&lt;&gt;"",1,0))))))</f>
        <v/>
      </c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14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>
        <f>IF(AND(C446="",OR(E446="",E446=0)),"",(IF(E446=1,30,IF(E446=2,20,IF(E446=3,10,IF(E446&lt;&gt;"",1,0))))+IF(F446=1,30,IF(F446=2,20,IF(F446=3,10,IF(F446&lt;&gt;"",1,0))))+IF(G446=1,30,IF(G446=2,20,IF(G446=3,10,IF(G446&lt;&gt;"",1,0))))+IF(H446=1,30,IF(H446=2,20,IF(H446=3,10,IF(H446&lt;&gt;"",1,0)))))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14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>
        <f>IF(AND(C447="",OR(E447="",E447=0)),"",(IF(E447=1,30,IF(E447=2,20,IF(E447=3,10,IF(E447&lt;&gt;"",1,0))))+IF(F447=1,30,IF(F447=2,20,IF(F447=3,10,IF(F447&lt;&gt;"",1,0))))+IF(G447=1,30,IF(G447=2,20,IF(G447=3,10,IF(G447&lt;&gt;"",1,0))))+IF(H447=1,30,IF(H447=2,20,IF(H447=3,10,IF(H447&lt;&gt;"",1,0))))))</f>
        <v/>
      </c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14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>
        <f>IF(AND(C448="",OR(E448="",E448=0)),"",(IF(E448=1,30,IF(E448=2,20,IF(E448=3,10,IF(E448&lt;&gt;"",1,0))))+IF(F448=1,30,IF(F448=2,20,IF(F448=3,10,IF(F448&lt;&gt;"",1,0))))+IF(G448=1,30,IF(G448=2,20,IF(G448=3,10,IF(G448&lt;&gt;"",1,0))))+IF(H448=1,30,IF(H448=2,20,IF(H448=3,10,IF(H448&lt;&gt;"",1,0))))))</f>
        <v/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14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>
        <f>IF(AND(C449="",OR(E449="",E449=0)),"",(IF(E449=1,30,IF(E449=2,20,IF(E449=3,10,IF(E449&lt;&gt;"",1,0))))+IF(F449=1,30,IF(F449=2,20,IF(F449=3,10,IF(F449&lt;&gt;"",1,0))))+IF(G449=1,30,IF(G449=2,20,IF(G449=3,10,IF(G449&lt;&gt;"",1,0))))+IF(H449=1,30,IF(H449=2,20,IF(H449=3,10,IF(H449&lt;&gt;"",1,0))))))</f>
        <v/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14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>
        <f>IF(AND(C450="",OR(E450="",E450=0)),"",(IF(E450=1,30,IF(E450=2,20,IF(E450=3,10,IF(E450&lt;&gt;"",1,0))))+IF(F450=1,30,IF(F450=2,20,IF(F450=3,10,IF(F450&lt;&gt;"",1,0))))+IF(G450=1,30,IF(G450=2,20,IF(G450=3,10,IF(G450&lt;&gt;"",1,0))))+IF(H450=1,30,IF(H450=2,20,IF(H450=3,10,IF(H450&lt;&gt;"",1,0)))))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14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>
        <f>IF(AND(C451="",OR(E451="",E451=0)),"",(IF(E451=1,30,IF(E451=2,20,IF(E451=3,10,IF(E451&lt;&gt;"",1,0))))+IF(F451=1,30,IF(F451=2,20,IF(F451=3,10,IF(F451&lt;&gt;"",1,0))))+IF(G451=1,30,IF(G451=2,20,IF(G451=3,10,IF(G451&lt;&gt;"",1,0))))+IF(H451=1,30,IF(H451=2,20,IF(H451=3,10,IF(H451&lt;&gt;"",1,0))))))</f>
        <v/>
      </c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14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>
        <f>IF(AND(C452="",OR(E452="",E452=0)),"",(IF(E452=1,30,IF(E452=2,20,IF(E452=3,10,IF(E452&lt;&gt;"",1,0))))+IF(F452=1,30,IF(F452=2,20,IF(F452=3,10,IF(F452&lt;&gt;"",1,0))))+IF(G452=1,30,IF(G452=2,20,IF(G452=3,10,IF(G452&lt;&gt;"",1,0))))+IF(H452=1,30,IF(H452=2,20,IF(H452=3,10,IF(H452&lt;&gt;"",1,0))))))</f>
        <v/>
      </c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14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>
        <f>IF(AND(C453="",OR(E453="",E453=0)),"",(IF(E453=1,30,IF(E453=2,20,IF(E453=3,10,IF(E453&lt;&gt;"",1,0))))+IF(F453=1,30,IF(F453=2,20,IF(F453=3,10,IF(F453&lt;&gt;"",1,0))))+IF(G453=1,30,IF(G453=2,20,IF(G453=3,10,IF(G453&lt;&gt;"",1,0))))+IF(H453=1,30,IF(H453=2,20,IF(H453=3,10,IF(H453&lt;&gt;"",1,0))))))</f>
        <v/>
      </c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14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>
        <f>IF(AND(C454="",OR(E454="",E454=0)),"",(IF(E454=1,30,IF(E454=2,20,IF(E454=3,10,IF(E454&lt;&gt;"",1,0))))+IF(F454=1,30,IF(F454=2,20,IF(F454=3,10,IF(F454&lt;&gt;"",1,0))))+IF(G454=1,30,IF(G454=2,20,IF(G454=3,10,IF(G454&lt;&gt;"",1,0))))+IF(H454=1,30,IF(H454=2,20,IF(H454=3,10,IF(H454&lt;&gt;"",1,0))))))</f>
        <v/>
      </c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14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>
        <f>IF(AND(C455="",OR(E455="",E455=0)),"",(IF(E455=1,30,IF(E455=2,20,IF(E455=3,10,IF(E455&lt;&gt;"",1,0))))+IF(F455=1,30,IF(F455=2,20,IF(F455=3,10,IF(F455&lt;&gt;"",1,0))))+IF(G455=1,30,IF(G455=2,20,IF(G455=3,10,IF(G455&lt;&gt;"",1,0))))+IF(H455=1,30,IF(H455=2,20,IF(H455=3,10,IF(H455&lt;&gt;"",1,0)))))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14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>
        <f>IF(AND(C456="",OR(E456="",E456=0)),"",(IF(E456=1,30,IF(E456=2,20,IF(E456=3,10,IF(E456&lt;&gt;"",1,0))))+IF(F456=1,30,IF(F456=2,20,IF(F456=3,10,IF(F456&lt;&gt;"",1,0))))+IF(G456=1,30,IF(G456=2,20,IF(G456=3,10,IF(G456&lt;&gt;"",1,0))))+IF(H456=1,30,IF(H456=2,20,IF(H456=3,10,IF(H456&lt;&gt;"",1,0))))))</f>
        <v/>
      </c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14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>
        <f>IF(AND(C457="",OR(E457="",E457=0)),"",(IF(E457=1,30,IF(E457=2,20,IF(E457=3,10,IF(E457&lt;&gt;"",1,0))))+IF(F457=1,30,IF(F457=2,20,IF(F457=3,10,IF(F457&lt;&gt;"",1,0))))+IF(G457=1,30,IF(G457=2,20,IF(G457=3,10,IF(G457&lt;&gt;"",1,0))))+IF(H457=1,30,IF(H457=2,20,IF(H457=3,10,IF(H457&lt;&gt;"",1,0))))))</f>
        <v/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14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>
        <f>IF(AND(C458="",OR(E458="",E458=0)),"",(IF(E458=1,30,IF(E458=2,20,IF(E458=3,10,IF(E458&lt;&gt;"",1,0))))+IF(F458=1,30,IF(F458=2,20,IF(F458=3,10,IF(F458&lt;&gt;"",1,0))))+IF(G458=1,30,IF(G458=2,20,IF(G458=3,10,IF(G458&lt;&gt;"",1,0))))+IF(H458=1,30,IF(H458=2,20,IF(H458=3,10,IF(H458&lt;&gt;"",1,0))))))</f>
        <v/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14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>
        <f>IF(AND(C459="",OR(E459="",E459=0)),"",(IF(E459=1,30,IF(E459=2,20,IF(E459=3,10,IF(E459&lt;&gt;"",1,0))))+IF(F459=1,30,IF(F459=2,20,IF(F459=3,10,IF(F459&lt;&gt;"",1,0))))+IF(G459=1,30,IF(G459=2,20,IF(G459=3,10,IF(G459&lt;&gt;"",1,0))))+IF(H459=1,30,IF(H459=2,20,IF(H459=3,10,IF(H459&lt;&gt;"",1,0)))))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14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>
        <f>IF(AND(C460="",OR(E460="",E460=0)),"",(IF(E460=1,30,IF(E460=2,20,IF(E460=3,10,IF(E460&lt;&gt;"",1,0))))+IF(F460=1,30,IF(F460=2,20,IF(F460=3,10,IF(F460&lt;&gt;"",1,0))))+IF(G460=1,30,IF(G460=2,20,IF(G460=3,10,IF(G460&lt;&gt;"",1,0))))+IF(H460=1,30,IF(H460=2,20,IF(H460=3,10,IF(H460&lt;&gt;"",1,0))))))</f>
        <v/>
      </c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14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>
        <f>IF(AND(C461="",OR(E461="",E461=0)),"",(IF(E461=1,30,IF(E461=2,20,IF(E461=3,10,IF(E461&lt;&gt;"",1,0))))+IF(F461=1,30,IF(F461=2,20,IF(F461=3,10,IF(F461&lt;&gt;"",1,0))))+IF(G461=1,30,IF(G461=2,20,IF(G461=3,10,IF(G461&lt;&gt;"",1,0))))+IF(H461=1,30,IF(H461=2,20,IF(H461=3,10,IF(H461&lt;&gt;"",1,0))))))</f>
        <v/>
      </c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14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>
        <f>IF(AND(C462="",OR(E462="",E462=0)),"",(IF(E462=1,30,IF(E462=2,20,IF(E462=3,10,IF(E462&lt;&gt;"",1,0))))+IF(F462=1,30,IF(F462=2,20,IF(F462=3,10,IF(F462&lt;&gt;"",1,0))))+IF(G462=1,30,IF(G462=2,20,IF(G462=3,10,IF(G462&lt;&gt;"",1,0))))+IF(H462=1,30,IF(H462=2,20,IF(H462=3,10,IF(H462&lt;&gt;"",1,0))))))</f>
        <v/>
      </c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14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>
        <f>IF(AND(C463="",OR(E463="",E463=0)),"",(IF(E463=1,30,IF(E463=2,20,IF(E463=3,10,IF(E463&lt;&gt;"",1,0))))+IF(F463=1,30,IF(F463=2,20,IF(F463=3,10,IF(F463&lt;&gt;"",1,0))))+IF(G463=1,30,IF(G463=2,20,IF(G463=3,10,IF(G463&lt;&gt;"",1,0))))+IF(H463=1,30,IF(H463=2,20,IF(H463=3,10,IF(H463&lt;&gt;"",1,0))))))</f>
        <v/>
      </c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14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>
        <f>IF(AND(C464="",OR(E464="",E464=0)),"",(IF(E464=1,30,IF(E464=2,20,IF(E464=3,10,IF(E464&lt;&gt;"",1,0))))+IF(F464=1,30,IF(F464=2,20,IF(F464=3,10,IF(F464&lt;&gt;"",1,0))))+IF(G464=1,30,IF(G464=2,20,IF(G464=3,10,IF(G464&lt;&gt;"",1,0))))+IF(H464=1,30,IF(H464=2,20,IF(H464=3,10,IF(H464&lt;&gt;"",1,0)))))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14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>
        <f>IF(AND(C465="",OR(E465="",E465=0)),"",(IF(E465=1,30,IF(E465=2,20,IF(E465=3,10,IF(E465&lt;&gt;"",1,0))))+IF(F465=1,30,IF(F465=2,20,IF(F465=3,10,IF(F465&lt;&gt;"",1,0))))+IF(G465=1,30,IF(G465=2,20,IF(G465=3,10,IF(G465&lt;&gt;"",1,0))))+IF(H465=1,30,IF(H465=2,20,IF(H465=3,10,IF(H465&lt;&gt;"",1,0))))))</f>
        <v/>
      </c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14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>
        <f>IF(AND(C466="",OR(E466="",E466=0)),"",(IF(E466=1,30,IF(E466=2,20,IF(E466=3,10,IF(E466&lt;&gt;"",1,0))))+IF(F466=1,30,IF(F466=2,20,IF(F466=3,10,IF(F466&lt;&gt;"",1,0))))+IF(G466=1,30,IF(G466=2,20,IF(G466=3,10,IF(G466&lt;&gt;"",1,0))))+IF(H466=1,30,IF(H466=2,20,IF(H466=3,10,IF(H466&lt;&gt;"",1,0))))))</f>
        <v/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14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>
        <f>IF(AND(C467="",OR(E467="",E467=0)),"",(IF(E467=1,30,IF(E467=2,20,IF(E467=3,10,IF(E467&lt;&gt;"",1,0))))+IF(F467=1,30,IF(F467=2,20,IF(F467=3,10,IF(F467&lt;&gt;"",1,0))))+IF(G467=1,30,IF(G467=2,20,IF(G467=3,10,IF(G467&lt;&gt;"",1,0))))+IF(H467=1,30,IF(H467=2,20,IF(H467=3,10,IF(H467&lt;&gt;"",1,0))))))</f>
        <v/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14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>
        <f>IF(AND(C468="",OR(E468="",E468=0)),"",(IF(E468=1,30,IF(E468=2,20,IF(E468=3,10,IF(E468&lt;&gt;"",1,0))))+IF(F468=1,30,IF(F468=2,20,IF(F468=3,10,IF(F468&lt;&gt;"",1,0))))+IF(G468=1,30,IF(G468=2,20,IF(G468=3,10,IF(G468&lt;&gt;"",1,0))))+IF(H468=1,30,IF(H468=2,20,IF(H468=3,10,IF(H468&lt;&gt;"",1,0)))))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14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>
        <f>IF(AND(C469="",OR(E469="",E469=0)),"",(IF(E469=1,30,IF(E469=2,20,IF(E469=3,10,IF(E469&lt;&gt;"",1,0))))+IF(F469=1,30,IF(F469=2,20,IF(F469=3,10,IF(F469&lt;&gt;"",1,0))))+IF(G469=1,30,IF(G469=2,20,IF(G469=3,10,IF(G469&lt;&gt;"",1,0))))+IF(H469=1,30,IF(H469=2,20,IF(H469=3,10,IF(H469&lt;&gt;"",1,0))))))</f>
        <v/>
      </c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14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>
        <f>IF(AND(C470="",OR(E470="",E470=0)),"",(IF(E470=1,30,IF(E470=2,20,IF(E470=3,10,IF(E470&lt;&gt;"",1,0))))+IF(F470=1,30,IF(F470=2,20,IF(F470=3,10,IF(F470&lt;&gt;"",1,0))))+IF(G470=1,30,IF(G470=2,20,IF(G470=3,10,IF(G470&lt;&gt;"",1,0))))+IF(H470=1,30,IF(H470=2,20,IF(H470=3,10,IF(H470&lt;&gt;"",1,0))))))</f>
        <v/>
      </c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14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>
        <f>IF(AND(C471="",OR(E471="",E471=0)),"",(IF(E471=1,30,IF(E471=2,20,IF(E471=3,10,IF(E471&lt;&gt;"",1,0))))+IF(F471=1,30,IF(F471=2,20,IF(F471=3,10,IF(F471&lt;&gt;"",1,0))))+IF(G471=1,30,IF(G471=2,20,IF(G471=3,10,IF(G471&lt;&gt;"",1,0))))+IF(H471=1,30,IF(H471=2,20,IF(H471=3,10,IF(H471&lt;&gt;"",1,0))))))</f>
        <v/>
      </c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14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>
        <f>IF(AND(C472="",OR(E472="",E472=0)),"",(IF(E472=1,30,IF(E472=2,20,IF(E472=3,10,IF(E472&lt;&gt;"",1,0))))+IF(F472=1,30,IF(F472=2,20,IF(F472=3,10,IF(F472&lt;&gt;"",1,0))))+IF(G472=1,30,IF(G472=2,20,IF(G472=3,10,IF(G472&lt;&gt;"",1,0))))+IF(H472=1,30,IF(H472=2,20,IF(H472=3,10,IF(H472&lt;&gt;"",1,0))))))</f>
        <v/>
      </c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14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>
        <f>IF(AND(C473="",OR(E473="",E473=0)),"",(IF(E473=1,30,IF(E473=2,20,IF(E473=3,10,IF(E473&lt;&gt;"",1,0))))+IF(F473=1,30,IF(F473=2,20,IF(F473=3,10,IF(F473&lt;&gt;"",1,0))))+IF(G473=1,30,IF(G473=2,20,IF(G473=3,10,IF(G473&lt;&gt;"",1,0))))+IF(H473=1,30,IF(H473=2,20,IF(H473=3,10,IF(H473&lt;&gt;"",1,0)))))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14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>
        <f>IF(AND(C474="",OR(E474="",E474=0)),"",(IF(E474=1,30,IF(E474=2,20,IF(E474=3,10,IF(E474&lt;&gt;"",1,0))))+IF(F474=1,30,IF(F474=2,20,IF(F474=3,10,IF(F474&lt;&gt;"",1,0))))+IF(G474=1,30,IF(G474=2,20,IF(G474=3,10,IF(G474&lt;&gt;"",1,0))))+IF(H474=1,30,IF(H474=2,20,IF(H474=3,10,IF(H474&lt;&gt;"",1,0))))))</f>
        <v/>
      </c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14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>
        <f>IF(AND(C475="",OR(E475="",E475=0)),"",(IF(E475=1,30,IF(E475=2,20,IF(E475=3,10,IF(E475&lt;&gt;"",1,0))))+IF(F475=1,30,IF(F475=2,20,IF(F475=3,10,IF(F475&lt;&gt;"",1,0))))+IF(G475=1,30,IF(G475=2,20,IF(G475=3,10,IF(G475&lt;&gt;"",1,0))))+IF(H475=1,30,IF(H475=2,20,IF(H475=3,10,IF(H475&lt;&gt;"",1,0))))))</f>
        <v/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14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>
        <f>IF(AND(C476="",OR(E476="",E476=0)),"",(IF(E476=1,30,IF(E476=2,20,IF(E476=3,10,IF(E476&lt;&gt;"",1,0))))+IF(F476=1,30,IF(F476=2,20,IF(F476=3,10,IF(F476&lt;&gt;"",1,0))))+IF(G476=1,30,IF(G476=2,20,IF(G476=3,10,IF(G476&lt;&gt;"",1,0))))+IF(H476=1,30,IF(H476=2,20,IF(H476=3,10,IF(H476&lt;&gt;"",1,0))))))</f>
        <v/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14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>
        <f>IF(AND(C477="",OR(E477="",E477=0)),"",(IF(E477=1,30,IF(E477=2,20,IF(E477=3,10,IF(E477&lt;&gt;"",1,0))))+IF(F477=1,30,IF(F477=2,20,IF(F477=3,10,IF(F477&lt;&gt;"",1,0))))+IF(G477=1,30,IF(G477=2,20,IF(G477=3,10,IF(G477&lt;&gt;"",1,0))))+IF(H477=1,30,IF(H477=2,20,IF(H477=3,10,IF(H477&lt;&gt;"",1,0)))))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14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>
        <f>IF(AND(C478="",OR(E478="",E478=0)),"",(IF(E478=1,30,IF(E478=2,20,IF(E478=3,10,IF(E478&lt;&gt;"",1,0))))+IF(F478=1,30,IF(F478=2,20,IF(F478=3,10,IF(F478&lt;&gt;"",1,0))))+IF(G478=1,30,IF(G478=2,20,IF(G478=3,10,IF(G478&lt;&gt;"",1,0))))+IF(H478=1,30,IF(H478=2,20,IF(H478=3,10,IF(H478&lt;&gt;"",1,0))))))</f>
        <v/>
      </c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14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>
        <f>IF(AND(C479="",OR(E479="",E479=0)),"",(IF(E479=1,30,IF(E479=2,20,IF(E479=3,10,IF(E479&lt;&gt;"",1,0))))+IF(F479=1,30,IF(F479=2,20,IF(F479=3,10,IF(F479&lt;&gt;"",1,0))))+IF(G479=1,30,IF(G479=2,20,IF(G479=3,10,IF(G479&lt;&gt;"",1,0))))+IF(H479=1,30,IF(H479=2,20,IF(H479=3,10,IF(H479&lt;&gt;"",1,0))))))</f>
        <v/>
      </c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14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>
        <f>IF(AND(C480="",OR(E480="",E480=0)),"",(IF(E480=1,30,IF(E480=2,20,IF(E480=3,10,IF(E480&lt;&gt;"",1,0))))+IF(F480=1,30,IF(F480=2,20,IF(F480=3,10,IF(F480&lt;&gt;"",1,0))))+IF(G480=1,30,IF(G480=2,20,IF(G480=3,10,IF(G480&lt;&gt;"",1,0))))+IF(H480=1,30,IF(H480=2,20,IF(H480=3,10,IF(H480&lt;&gt;"",1,0))))))</f>
        <v/>
      </c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14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>
        <f>IF(AND(C481="",OR(E481="",E481=0)),"",(IF(E481=1,30,IF(E481=2,20,IF(E481=3,10,IF(E481&lt;&gt;"",1,0))))+IF(F481=1,30,IF(F481=2,20,IF(F481=3,10,IF(F481&lt;&gt;"",1,0))))+IF(G481=1,30,IF(G481=2,20,IF(G481=3,10,IF(G481&lt;&gt;"",1,0))))+IF(H481=1,30,IF(H481=2,20,IF(H481=3,10,IF(H481&lt;&gt;"",1,0))))))</f>
        <v/>
      </c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14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>
        <f>IF(AND(C482="",OR(E482="",E482=0)),"",(IF(E482=1,30,IF(E482=2,20,IF(E482=3,10,IF(E482&lt;&gt;"",1,0))))+IF(F482=1,30,IF(F482=2,20,IF(F482=3,10,IF(F482&lt;&gt;"",1,0))))+IF(G482=1,30,IF(G482=2,20,IF(G482=3,10,IF(G482&lt;&gt;"",1,0))))+IF(H482=1,30,IF(H482=2,20,IF(H482=3,10,IF(H482&lt;&gt;"",1,0)))))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14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>
        <f>IF(AND(C483="",OR(E483="",E483=0)),"",(IF(E483=1,30,IF(E483=2,20,IF(E483=3,10,IF(E483&lt;&gt;"",1,0))))+IF(F483=1,30,IF(F483=2,20,IF(F483=3,10,IF(F483&lt;&gt;"",1,0))))+IF(G483=1,30,IF(G483=2,20,IF(G483=3,10,IF(G483&lt;&gt;"",1,0))))+IF(H483=1,30,IF(H483=2,20,IF(H483=3,10,IF(H483&lt;&gt;"",1,0))))))</f>
        <v/>
      </c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14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>
        <f>IF(AND(C484="",OR(E484="",E484=0)),"",(IF(E484=1,30,IF(E484=2,20,IF(E484=3,10,IF(E484&lt;&gt;"",1,0))))+IF(F484=1,30,IF(F484=2,20,IF(F484=3,10,IF(F484&lt;&gt;"",1,0))))+IF(G484=1,30,IF(G484=2,20,IF(G484=3,10,IF(G484&lt;&gt;"",1,0))))+IF(H484=1,30,IF(H484=2,20,IF(H484=3,10,IF(H484&lt;&gt;"",1,0))))))</f>
        <v/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14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>
        <f>IF(AND(C485="",OR(E485="",E485=0)),"",(IF(E485=1,30,IF(E485=2,20,IF(E485=3,10,IF(E485&lt;&gt;"",1,0))))+IF(F485=1,30,IF(F485=2,20,IF(F485=3,10,IF(F485&lt;&gt;"",1,0))))+IF(G485=1,30,IF(G485=2,20,IF(G485=3,10,IF(G485&lt;&gt;"",1,0))))+IF(H485=1,30,IF(H485=2,20,IF(H485=3,10,IF(H485&lt;&gt;"",1,0))))))</f>
        <v/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14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>
        <f>IF(AND(C486="",OR(E486="",E486=0)),"",(IF(E486=1,30,IF(E486=2,20,IF(E486=3,10,IF(E486&lt;&gt;"",1,0))))+IF(F486=1,30,IF(F486=2,20,IF(F486=3,10,IF(F486&lt;&gt;"",1,0))))+IF(G486=1,30,IF(G486=2,20,IF(G486=3,10,IF(G486&lt;&gt;"",1,0))))+IF(H486=1,30,IF(H486=2,20,IF(H486=3,10,IF(H486&lt;&gt;"",1,0)))))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14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>
        <f>IF(AND(C487="",OR(E487="",E487=0)),"",(IF(E487=1,30,IF(E487=2,20,IF(E487=3,10,IF(E487&lt;&gt;"",1,0))))+IF(F487=1,30,IF(F487=2,20,IF(F487=3,10,IF(F487&lt;&gt;"",1,0))))+IF(G487=1,30,IF(G487=2,20,IF(G487=3,10,IF(G487&lt;&gt;"",1,0))))+IF(H487=1,30,IF(H487=2,20,IF(H487=3,10,IF(H487&lt;&gt;"",1,0))))))</f>
        <v/>
      </c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14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>
        <f>IF(AND(C488="",OR(E488="",E488=0)),"",(IF(E488=1,30,IF(E488=2,20,IF(E488=3,10,IF(E488&lt;&gt;"",1,0))))+IF(F488=1,30,IF(F488=2,20,IF(F488=3,10,IF(F488&lt;&gt;"",1,0))))+IF(G488=1,30,IF(G488=2,20,IF(G488=3,10,IF(G488&lt;&gt;"",1,0))))+IF(H488=1,30,IF(H488=2,20,IF(H488=3,10,IF(H488&lt;&gt;"",1,0))))))</f>
        <v/>
      </c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14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>
        <f>IF(AND(C489="",OR(E489="",E489=0)),"",(IF(E489=1,30,IF(E489=2,20,IF(E489=3,10,IF(E489&lt;&gt;"",1,0))))+IF(F489=1,30,IF(F489=2,20,IF(F489=3,10,IF(F489&lt;&gt;"",1,0))))+IF(G489=1,30,IF(G489=2,20,IF(G489=3,10,IF(G489&lt;&gt;"",1,0))))+IF(H489=1,30,IF(H489=2,20,IF(H489=3,10,IF(H489&lt;&gt;"",1,0))))))</f>
        <v/>
      </c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14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>
        <f>IF(AND(C490="",OR(E490="",E490=0)),"",(IF(E490=1,30,IF(E490=2,20,IF(E490=3,10,IF(E490&lt;&gt;"",1,0))))+IF(F490=1,30,IF(F490=2,20,IF(F490=3,10,IF(F490&lt;&gt;"",1,0))))+IF(G490=1,30,IF(G490=2,20,IF(G490=3,10,IF(G490&lt;&gt;"",1,0))))+IF(H490=1,30,IF(H490=2,20,IF(H490=3,10,IF(H490&lt;&gt;"",1,0))))))</f>
        <v/>
      </c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14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>
        <f>IF(AND(C491="",OR(E491="",E491=0)),"",(IF(E491=1,30,IF(E491=2,20,IF(E491=3,10,IF(E491&lt;&gt;"",1,0))))+IF(F491=1,30,IF(F491=2,20,IF(F491=3,10,IF(F491&lt;&gt;"",1,0))))+IF(G491=1,30,IF(G491=2,20,IF(G491=3,10,IF(G491&lt;&gt;"",1,0))))+IF(H491=1,30,IF(H491=2,20,IF(H491=3,10,IF(H491&lt;&gt;"",1,0)))))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14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>
        <f>IF(AND(C492="",OR(E492="",E492=0)),"",(IF(E492=1,30,IF(E492=2,20,IF(E492=3,10,IF(E492&lt;&gt;"",1,0))))+IF(F492=1,30,IF(F492=2,20,IF(F492=3,10,IF(F492&lt;&gt;"",1,0))))+IF(G492=1,30,IF(G492=2,20,IF(G492=3,10,IF(G492&lt;&gt;"",1,0))))+IF(H492=1,30,IF(H492=2,20,IF(H492=3,10,IF(H492&lt;&gt;"",1,0))))))</f>
        <v/>
      </c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14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>
        <f>IF(AND(C493="",OR(E493="",E493=0)),"",(IF(E493=1,30,IF(E493=2,20,IF(E493=3,10,IF(E493&lt;&gt;"",1,0))))+IF(F493=1,30,IF(F493=2,20,IF(F493=3,10,IF(F493&lt;&gt;"",1,0))))+IF(G493=1,30,IF(G493=2,20,IF(G493=3,10,IF(G493&lt;&gt;"",1,0))))+IF(H493=1,30,IF(H493=2,20,IF(H493=3,10,IF(H493&lt;&gt;"",1,0))))))</f>
        <v/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14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>
        <f>IF(AND(C494="",OR(E494="",E494=0)),"",(IF(E494=1,30,IF(E494=2,20,IF(E494=3,10,IF(E494&lt;&gt;"",1,0))))+IF(F494=1,30,IF(F494=2,20,IF(F494=3,10,IF(F494&lt;&gt;"",1,0))))+IF(G494=1,30,IF(G494=2,20,IF(G494=3,10,IF(G494&lt;&gt;"",1,0))))+IF(H494=1,30,IF(H494=2,20,IF(H494=3,10,IF(H494&lt;&gt;"",1,0))))))</f>
        <v/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14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>
        <f>IF(AND(C495="",OR(E495="",E495=0)),"",(IF(E495=1,30,IF(E495=2,20,IF(E495=3,10,IF(E495&lt;&gt;"",1,0))))+IF(F495=1,30,IF(F495=2,20,IF(F495=3,10,IF(F495&lt;&gt;"",1,0))))+IF(G495=1,30,IF(G495=2,20,IF(G495=3,10,IF(G495&lt;&gt;"",1,0))))+IF(H495=1,30,IF(H495=2,20,IF(H495=3,10,IF(H495&lt;&gt;"",1,0)))))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14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>
        <f>IF(AND(C496="",OR(E496="",E496=0)),"",(IF(E496=1,30,IF(E496=2,20,IF(E496=3,10,IF(E496&lt;&gt;"",1,0))))+IF(F496=1,30,IF(F496=2,20,IF(F496=3,10,IF(F496&lt;&gt;"",1,0))))+IF(G496=1,30,IF(G496=2,20,IF(G496=3,10,IF(G496&lt;&gt;"",1,0))))+IF(H496=1,30,IF(H496=2,20,IF(H496=3,10,IF(H496&lt;&gt;"",1,0)))))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14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>
        <f>IF(AND(C497="",OR(E497="",E497=0)),"",(IF(E497=1,30,IF(E497=2,20,IF(E497=3,10,IF(E497&lt;&gt;"",1,0))))+IF(F497=1,30,IF(F497=2,20,IF(F497=3,10,IF(F497&lt;&gt;"",1,0))))+IF(G497=1,30,IF(G497=2,20,IF(G497=3,10,IF(G497&lt;&gt;"",1,0))))+IF(H497=1,30,IF(H497=2,20,IF(H497=3,10,IF(H497&lt;&gt;"",1,0)))))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14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>
        <f>IF(AND(C498="",OR(E498="",E498=0)),"",(IF(E498=1,30,IF(E498=2,20,IF(E498=3,10,IF(E498&lt;&gt;"",1,0))))+IF(F498=1,30,IF(F498=2,20,IF(F498=3,10,IF(F498&lt;&gt;"",1,0))))+IF(G498=1,30,IF(G498=2,20,IF(G498=3,10,IF(G498&lt;&gt;"",1,0))))+IF(H498=1,30,IF(H498=2,20,IF(H498=3,10,IF(H498&lt;&gt;"",1,0)))))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14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>
        <f>IF(AND(C499="",OR(E499="",E499=0)),"",(IF(E499=1,30,IF(E499=2,20,IF(E499=3,10,IF(E499&lt;&gt;"",1,0))))+IF(F499=1,30,IF(F499=2,20,IF(F499=3,10,IF(F499&lt;&gt;"",1,0))))+IF(G499=1,30,IF(G499=2,20,IF(G499=3,10,IF(G499&lt;&gt;"",1,0))))+IF(H499=1,30,IF(H499=2,20,IF(H499=3,10,IF(H499&lt;&gt;"",1,0))))))</f>
        <v/>
      </c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14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>
        <f>IF(AND(C500="",OR(E500="",E500=0)),"",(IF(E500=1,30,IF(E500=2,20,IF(E500=3,10,IF(E500&lt;&gt;"",1,0))))+IF(F500=1,30,IF(F500=2,20,IF(F500=3,10,IF(F500&lt;&gt;"",1,0))))+IF(G500=1,30,IF(G500=2,20,IF(G500=3,10,IF(G500&lt;&gt;"",1,0))))+IF(H500=1,30,IF(H500=2,20,IF(H500=3,10,IF(H500&lt;&gt;"",1,0)))))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14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>
        <f>IF(AND(C501="",OR(E501="",E501=0)),"",(IF(E501=1,30,IF(E501=2,20,IF(E501=3,10,IF(E501&lt;&gt;"",1,0))))+IF(F501=1,30,IF(F501=2,20,IF(F501=3,10,IF(F501&lt;&gt;"",1,0))))+IF(G501=1,30,IF(G501=2,20,IF(G501=3,10,IF(G501&lt;&gt;"",1,0))))+IF(H501=1,30,IF(H501=2,20,IF(H501=3,10,IF(H501&lt;&gt;"",1,0))))))</f>
        <v/>
      </c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14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>
        <f>IF(AND(C502="",OR(E502="",E502=0)),"",(IF(E502=1,30,IF(E502=2,20,IF(E502=3,10,IF(E502&lt;&gt;"",1,0))))+IF(F502=1,30,IF(F502=2,20,IF(F502=3,10,IF(F502&lt;&gt;"",1,0))))+IF(G502=1,30,IF(G502=2,20,IF(G502=3,10,IF(G502&lt;&gt;"",1,0))))+IF(H502=1,30,IF(H502=2,20,IF(H502=3,10,IF(H502&lt;&gt;"",1,0))))))</f>
        <v/>
      </c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14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>
        <f>IF(AND(C503="",OR(E503="",E503=0)),"",(IF(E503=1,30,IF(E503=2,20,IF(E503=3,10,IF(E503&lt;&gt;"",1,0))))+IF(F503=1,30,IF(F503=2,20,IF(F503=3,10,IF(F503&lt;&gt;"",1,0))))+IF(G503=1,30,IF(G503=2,20,IF(G503=3,10,IF(G503&lt;&gt;"",1,0))))+IF(H503=1,30,IF(H503=2,20,IF(H503=3,10,IF(H503&lt;&gt;"",1,0))))))</f>
        <v/>
      </c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14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>
        <f>IF(AND(C504="",OR(E504="",E504=0)),"",(IF(E504=1,30,IF(E504=2,20,IF(E504=3,10,IF(E504&lt;&gt;"",1,0))))+IF(F504=1,30,IF(F504=2,20,IF(F504=3,10,IF(F504&lt;&gt;"",1,0))))+IF(G504=1,30,IF(G504=2,20,IF(G504=3,10,IF(G504&lt;&gt;"",1,0))))+IF(H504=1,30,IF(H504=2,20,IF(H504=3,10,IF(H504&lt;&gt;"",1,0))))))</f>
        <v/>
      </c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14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>
        <f>IF(AND(C505="",OR(E505="",E505=0)),"",(IF(E505=1,30,IF(E505=2,20,IF(E505=3,10,IF(E505&lt;&gt;"",1,0))))+IF(F505=1,30,IF(F505=2,20,IF(F505=3,10,IF(F505&lt;&gt;"",1,0))))+IF(G505=1,30,IF(G505=2,20,IF(G505=3,10,IF(G505&lt;&gt;"",1,0))))+IF(H505=1,30,IF(H505=2,20,IF(H505=3,10,IF(H505&lt;&gt;"",1,0))))))</f>
        <v/>
      </c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14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>
        <f>IF(AND(C506="",OR(E506="",E506=0)),"",(IF(E506=1,30,IF(E506=2,20,IF(E506=3,10,IF(E506&lt;&gt;"",1,0))))+IF(F506=1,30,IF(F506=2,20,IF(F506=3,10,IF(F506&lt;&gt;"",1,0))))+IF(G506=1,30,IF(G506=2,20,IF(G506=3,10,IF(G506&lt;&gt;"",1,0))))+IF(H506=1,30,IF(H506=2,20,IF(H506=3,10,IF(H506&lt;&gt;"",1,0))))))</f>
        <v/>
      </c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14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>
        <f>IF(AND(C507="",OR(E507="",E507=0)),"",(IF(E507=1,30,IF(E507=2,20,IF(E507=3,10,IF(E507&lt;&gt;"",1,0))))+IF(F507=1,30,IF(F507=2,20,IF(F507=3,10,IF(F507&lt;&gt;"",1,0))))+IF(G507=1,30,IF(G507=2,20,IF(G507=3,10,IF(G507&lt;&gt;"",1,0))))+IF(H507=1,30,IF(H507=2,20,IF(H507=3,10,IF(H507&lt;&gt;"",1,0))))))</f>
        <v/>
      </c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14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>
        <f>IF(AND(C508="",OR(E508="",E508=0)),"",(IF(E508=1,30,IF(E508=2,20,IF(E508=3,10,IF(E508&lt;&gt;"",1,0))))+IF(F508=1,30,IF(F508=2,20,IF(F508=3,10,IF(F508&lt;&gt;"",1,0))))+IF(G508=1,30,IF(G508=2,20,IF(G508=3,10,IF(G508&lt;&gt;"",1,0))))+IF(H508=1,30,IF(H508=2,20,IF(H508=3,10,IF(H508&lt;&gt;"",1,0))))))</f>
        <v/>
      </c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14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>
        <f>IF(AND(C509="",OR(E509="",E509=0)),"",(IF(E509=1,30,IF(E509=2,20,IF(E509=3,10,IF(E509&lt;&gt;"",1,0))))+IF(F509=1,30,IF(F509=2,20,IF(F509=3,10,IF(F509&lt;&gt;"",1,0))))+IF(G509=1,30,IF(G509=2,20,IF(G509=3,10,IF(G509&lt;&gt;"",1,0))))+IF(H509=1,30,IF(H509=2,20,IF(H509=3,10,IF(H509&lt;&gt;"",1,0))))))</f>
        <v/>
      </c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14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>
        <f>IF(AND(C510="",OR(E510="",E510=0)),"",(IF(E510=1,30,IF(E510=2,20,IF(E510=3,10,IF(E510&lt;&gt;"",1,0))))+IF(F510=1,30,IF(F510=2,20,IF(F510=3,10,IF(F510&lt;&gt;"",1,0))))+IF(G510=1,30,IF(G510=2,20,IF(G510=3,10,IF(G510&lt;&gt;"",1,0))))+IF(H510=1,30,IF(H510=2,20,IF(H510=3,10,IF(H510&lt;&gt;"",1,0))))))</f>
        <v/>
      </c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14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>
        <f>IF(AND(C511="",OR(E511="",E511=0)),"",(IF(E511=1,30,IF(E511=2,20,IF(E511=3,10,IF(E511&lt;&gt;"",1,0))))+IF(F511=1,30,IF(F511=2,20,IF(F511=3,10,IF(F511&lt;&gt;"",1,0))))+IF(G511=1,30,IF(G511=2,20,IF(G511=3,10,IF(G511&lt;&gt;"",1,0))))+IF(H511=1,30,IF(H511=2,20,IF(H511=3,10,IF(H511&lt;&gt;"",1,0))))))</f>
        <v/>
      </c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14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>
        <f>IF(AND(C512="",OR(E512="",E512=0)),"",(IF(E512=1,30,IF(E512=2,20,IF(E512=3,10,IF(E512&lt;&gt;"",1,0))))+IF(F512=1,30,IF(F512=2,20,IF(F512=3,10,IF(F512&lt;&gt;"",1,0))))+IF(G512=1,30,IF(G512=2,20,IF(G512=3,10,IF(G512&lt;&gt;"",1,0))))+IF(H512=1,30,IF(H512=2,20,IF(H512=3,10,IF(H512&lt;&gt;"",1,0))))))</f>
        <v/>
      </c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14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>
        <f>IF(AND(C513="",OR(E513="",E513=0)),"",(IF(E513=1,30,IF(E513=2,20,IF(E513=3,10,IF(E513&lt;&gt;"",1,0))))+IF(F513=1,30,IF(F513=2,20,IF(F513=3,10,IF(F513&lt;&gt;"",1,0))))+IF(G513=1,30,IF(G513=2,20,IF(G513=3,10,IF(G513&lt;&gt;"",1,0))))+IF(H513=1,30,IF(H513=2,20,IF(H513=3,10,IF(H513&lt;&gt;"",1,0))))))</f>
        <v/>
      </c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14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>
        <f>IF(AND(C514="",OR(E514="",E514=0)),"",(IF(E514=1,30,IF(E514=2,20,IF(E514=3,10,IF(E514&lt;&gt;"",1,0))))+IF(F514=1,30,IF(F514=2,20,IF(F514=3,10,IF(F514&lt;&gt;"",1,0))))+IF(G514=1,30,IF(G514=2,20,IF(G514=3,10,IF(G514&lt;&gt;"",1,0))))+IF(H514=1,30,IF(H514=2,20,IF(H514=3,10,IF(H514&lt;&gt;"",1,0))))))</f>
        <v/>
      </c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14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>
        <f>IF(AND(C515="",OR(E515="",E515=0)),"",(IF(E515=1,30,IF(E515=2,20,IF(E515=3,10,IF(E515&lt;&gt;"",1,0))))+IF(F515=1,30,IF(F515=2,20,IF(F515=3,10,IF(F515&lt;&gt;"",1,0))))+IF(G515=1,30,IF(G515=2,20,IF(G515=3,10,IF(G515&lt;&gt;"",1,0))))+IF(H515=1,30,IF(H515=2,20,IF(H515=3,10,IF(H515&lt;&gt;"",1,0))))))</f>
        <v/>
      </c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14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>
        <f>IF(AND(C516="",OR(E516="",E516=0)),"",(IF(E516=1,30,IF(E516=2,20,IF(E516=3,10,IF(E516&lt;&gt;"",1,0))))+IF(F516=1,30,IF(F516=2,20,IF(F516=3,10,IF(F516&lt;&gt;"",1,0))))+IF(G516=1,30,IF(G516=2,20,IF(G516=3,10,IF(G516&lt;&gt;"",1,0))))+IF(H516=1,30,IF(H516=2,20,IF(H516=3,10,IF(H516&lt;&gt;"",1,0))))))</f>
        <v/>
      </c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14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>
        <f>IF(AND(C517="",OR(E517="",E517=0)),"",(IF(E517=1,30,IF(E517=2,20,IF(E517=3,10,IF(E517&lt;&gt;"",1,0))))+IF(F517=1,30,IF(F517=2,20,IF(F517=3,10,IF(F517&lt;&gt;"",1,0))))+IF(G517=1,30,IF(G517=2,20,IF(G517=3,10,IF(G517&lt;&gt;"",1,0))))+IF(H517=1,30,IF(H517=2,20,IF(H517=3,10,IF(H517&lt;&gt;"",1,0))))))</f>
        <v/>
      </c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14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>
        <f>IF(AND(C518="",OR(E518="",E518=0)),"",(IF(E518=1,30,IF(E518=2,20,IF(E518=3,10,IF(E518&lt;&gt;"",1,0))))+IF(F518=1,30,IF(F518=2,20,IF(F518=3,10,IF(F518&lt;&gt;"",1,0))))+IF(G518=1,30,IF(G518=2,20,IF(G518=3,10,IF(G518&lt;&gt;"",1,0))))+IF(H518=1,30,IF(H518=2,20,IF(H518=3,10,IF(H518&lt;&gt;"",1,0))))))</f>
        <v/>
      </c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14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>
        <f>IF(AND(C519="",OR(E519="",E519=0)),"",(IF(E519=1,30,IF(E519=2,20,IF(E519=3,10,IF(E519&lt;&gt;"",1,0))))+IF(F519=1,30,IF(F519=2,20,IF(F519=3,10,IF(F519&lt;&gt;"",1,0))))+IF(G519=1,30,IF(G519=2,20,IF(G519=3,10,IF(G519&lt;&gt;"",1,0))))+IF(H519=1,30,IF(H519=2,20,IF(H519=3,10,IF(H519&lt;&gt;"",1,0))))))</f>
        <v/>
      </c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14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>
        <f>IF(AND(C520="",OR(E520="",E520=0)),"",(IF(E520=1,30,IF(E520=2,20,IF(E520=3,10,IF(E520&lt;&gt;"",1,0))))+IF(F520=1,30,IF(F520=2,20,IF(F520=3,10,IF(F520&lt;&gt;"",1,0))))+IF(G520=1,30,IF(G520=2,20,IF(G520=3,10,IF(G520&lt;&gt;"",1,0))))+IF(H520=1,30,IF(H520=2,20,IF(H520=3,10,IF(H520&lt;&gt;"",1,0))))))</f>
        <v/>
      </c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14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>
        <f>IF(AND(C521="",OR(E521="",E521=0)),"",(IF(E521=1,30,IF(E521=2,20,IF(E521=3,10,IF(E521&lt;&gt;"",1,0))))+IF(F521=1,30,IF(F521=2,20,IF(F521=3,10,IF(F521&lt;&gt;"",1,0))))+IF(G521=1,30,IF(G521=2,20,IF(G521=3,10,IF(G521&lt;&gt;"",1,0))))+IF(H521=1,30,IF(H521=2,20,IF(H521=3,10,IF(H521&lt;&gt;"",1,0))))))</f>
        <v/>
      </c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14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>
        <f>IF(AND(C522="",OR(E522="",E522=0)),"",(IF(E522=1,30,IF(E522=2,20,IF(E522=3,10,IF(E522&lt;&gt;"",1,0))))+IF(F522=1,30,IF(F522=2,20,IF(F522=3,10,IF(F522&lt;&gt;"",1,0))))+IF(G522=1,30,IF(G522=2,20,IF(G522=3,10,IF(G522&lt;&gt;"",1,0))))+IF(H522=1,30,IF(H522=2,20,IF(H522=3,10,IF(H522&lt;&gt;"",1,0))))))</f>
        <v/>
      </c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14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>
        <f>IF(AND(C523="",OR(E523="",E523=0)),"",(IF(E523=1,30,IF(E523=2,20,IF(E523=3,10,IF(E523&lt;&gt;"",1,0))))+IF(F523=1,30,IF(F523=2,20,IF(F523=3,10,IF(F523&lt;&gt;"",1,0))))+IF(G523=1,30,IF(G523=2,20,IF(G523=3,10,IF(G523&lt;&gt;"",1,0))))+IF(H523=1,30,IF(H523=2,20,IF(H523=3,10,IF(H523&lt;&gt;"",1,0))))))</f>
        <v/>
      </c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14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>
        <f>IF(AND(C524="",OR(E524="",E524=0)),"",(IF(E524=1,30,IF(E524=2,20,IF(E524=3,10,IF(E524&lt;&gt;"",1,0))))+IF(F524=1,30,IF(F524=2,20,IF(F524=3,10,IF(F524&lt;&gt;"",1,0))))+IF(G524=1,30,IF(G524=2,20,IF(G524=3,10,IF(G524&lt;&gt;"",1,0))))+IF(H524=1,30,IF(H524=2,20,IF(H524=3,10,IF(H524&lt;&gt;"",1,0))))))</f>
        <v/>
      </c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14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>
        <f>IF(AND(C525="",OR(E525="",E525=0)),"",(IF(E525=1,30,IF(E525=2,20,IF(E525=3,10,IF(E525&lt;&gt;"",1,0))))+IF(F525=1,30,IF(F525=2,20,IF(F525=3,10,IF(F525&lt;&gt;"",1,0))))+IF(G525=1,30,IF(G525=2,20,IF(G525=3,10,IF(G525&lt;&gt;"",1,0))))+IF(H525=1,30,IF(H525=2,20,IF(H525=3,10,IF(H525&lt;&gt;"",1,0))))))</f>
        <v/>
      </c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14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>
        <f>IF(AND(C526="",OR(E526="",E526=0)),"",(IF(E526=1,30,IF(E526=2,20,IF(E526=3,10,IF(E526&lt;&gt;"",1,0))))+IF(F526=1,30,IF(F526=2,20,IF(F526=3,10,IF(F526&lt;&gt;"",1,0))))+IF(G526=1,30,IF(G526=2,20,IF(G526=3,10,IF(G526&lt;&gt;"",1,0))))+IF(H526=1,30,IF(H526=2,20,IF(H526=3,10,IF(H526&lt;&gt;"",1,0))))))</f>
        <v/>
      </c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14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>
        <f>IF(AND(C527="",OR(E527="",E527=0)),"",(IF(E527=1,30,IF(E527=2,20,IF(E527=3,10,IF(E527&lt;&gt;"",1,0))))+IF(F527=1,30,IF(F527=2,20,IF(F527=3,10,IF(F527&lt;&gt;"",1,0))))+IF(G527=1,30,IF(G527=2,20,IF(G527=3,10,IF(G527&lt;&gt;"",1,0))))+IF(H527=1,30,IF(H527=2,20,IF(H527=3,10,IF(H527&lt;&gt;"",1,0))))))</f>
        <v/>
      </c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14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>
        <f>IF(AND(C528="",OR(E528="",E528=0)),"",(IF(E528=1,30,IF(E528=2,20,IF(E528=3,10,IF(E528&lt;&gt;"",1,0))))+IF(F528=1,30,IF(F528=2,20,IF(F528=3,10,IF(F528&lt;&gt;"",1,0))))+IF(G528=1,30,IF(G528=2,20,IF(G528=3,10,IF(G528&lt;&gt;"",1,0))))+IF(H528=1,30,IF(H528=2,20,IF(H528=3,10,IF(H528&lt;&gt;"",1,0))))))</f>
        <v/>
      </c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14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>
        <f>IF(AND(C529="",OR(E529="",E529=0)),"",(IF(E529=1,30,IF(E529=2,20,IF(E529=3,10,IF(E529&lt;&gt;"",1,0))))+IF(F529=1,30,IF(F529=2,20,IF(F529=3,10,IF(F529&lt;&gt;"",1,0))))+IF(G529=1,30,IF(G529=2,20,IF(G529=3,10,IF(G529&lt;&gt;"",1,0))))+IF(H529=1,30,IF(H529=2,20,IF(H529=3,10,IF(H529&lt;&gt;"",1,0))))))</f>
        <v/>
      </c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14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>
        <f>IF(AND(C530="",OR(E530="",E530=0)),"",(IF(E530=1,30,IF(E530=2,20,IF(E530=3,10,IF(E530&lt;&gt;"",1,0))))+IF(F530=1,30,IF(F530=2,20,IF(F530=3,10,IF(F530&lt;&gt;"",1,0))))+IF(G530=1,30,IF(G530=2,20,IF(G530=3,10,IF(G530&lt;&gt;"",1,0))))+IF(H530=1,30,IF(H530=2,20,IF(H530=3,10,IF(H530&lt;&gt;"",1,0))))))</f>
        <v/>
      </c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14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>
        <f>IF(AND(C531="",OR(E531="",E531=0)),"",(IF(E531=1,30,IF(E531=2,20,IF(E531=3,10,IF(E531&lt;&gt;"",1,0))))+IF(F531=1,30,IF(F531=2,20,IF(F531=3,10,IF(F531&lt;&gt;"",1,0))))+IF(G531=1,30,IF(G531=2,20,IF(G531=3,10,IF(G531&lt;&gt;"",1,0))))+IF(H531=1,30,IF(H531=2,20,IF(H531=3,10,IF(H531&lt;&gt;"",1,0))))))</f>
        <v/>
      </c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14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>
        <f>IF(AND(C532="",OR(E532="",E532=0)),"",(IF(E532=1,30,IF(E532=2,20,IF(E532=3,10,IF(E532&lt;&gt;"",1,0))))+IF(F532=1,30,IF(F532=2,20,IF(F532=3,10,IF(F532&lt;&gt;"",1,0))))+IF(G532=1,30,IF(G532=2,20,IF(G532=3,10,IF(G532&lt;&gt;"",1,0))))+IF(H532=1,30,IF(H532=2,20,IF(H532=3,10,IF(H532&lt;&gt;"",1,0))))))</f>
        <v/>
      </c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14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>
        <f>IF(AND(C533="",OR(E533="",E533=0)),"",(IF(E533=1,30,IF(E533=2,20,IF(E533=3,10,IF(E533&lt;&gt;"",1,0))))+IF(F533=1,30,IF(F533=2,20,IF(F533=3,10,IF(F533&lt;&gt;"",1,0))))+IF(G533=1,30,IF(G533=2,20,IF(G533=3,10,IF(G533&lt;&gt;"",1,0))))+IF(H533=1,30,IF(H533=2,20,IF(H533=3,10,IF(H533&lt;&gt;"",1,0))))))</f>
        <v/>
      </c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14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>
        <f>IF(AND(C534="",OR(E534="",E534=0)),"",(IF(E534=1,30,IF(E534=2,20,IF(E534=3,10,IF(E534&lt;&gt;"",1,0))))+IF(F534=1,30,IF(F534=2,20,IF(F534=3,10,IF(F534&lt;&gt;"",1,0))))+IF(G534=1,30,IF(G534=2,20,IF(G534=3,10,IF(G534&lt;&gt;"",1,0))))+IF(H534=1,30,IF(H534=2,20,IF(H534=3,10,IF(H534&lt;&gt;"",1,0))))))</f>
        <v/>
      </c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14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>
        <f>IF(AND(C535="",OR(E535="",E535=0)),"",(IF(E535=1,30,IF(E535=2,20,IF(E535=3,10,IF(E535&lt;&gt;"",1,0))))+IF(F535=1,30,IF(F535=2,20,IF(F535=3,10,IF(F535&lt;&gt;"",1,0))))+IF(G535=1,30,IF(G535=2,20,IF(G535=3,10,IF(G535&lt;&gt;"",1,0))))+IF(H535=1,30,IF(H535=2,20,IF(H535=3,10,IF(H535&lt;&gt;"",1,0))))))</f>
        <v/>
      </c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14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>
        <f>IF(AND(C536="",OR(E536="",E536=0)),"",(IF(E536=1,30,IF(E536=2,20,IF(E536=3,10,IF(E536&lt;&gt;"",1,0))))+IF(F536=1,30,IF(F536=2,20,IF(F536=3,10,IF(F536&lt;&gt;"",1,0))))+IF(G536=1,30,IF(G536=2,20,IF(G536=3,10,IF(G536&lt;&gt;"",1,0))))+IF(H536=1,30,IF(H536=2,20,IF(H536=3,10,IF(H536&lt;&gt;"",1,0))))))</f>
        <v/>
      </c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14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>
        <f>IF(AND(C537="",OR(E537="",E537=0)),"",(IF(E537=1,30,IF(E537=2,20,IF(E537=3,10,IF(E537&lt;&gt;"",1,0))))+IF(F537=1,30,IF(F537=2,20,IF(F537=3,10,IF(F537&lt;&gt;"",1,0))))+IF(G537=1,30,IF(G537=2,20,IF(G537=3,10,IF(G537&lt;&gt;"",1,0))))+IF(H537=1,30,IF(H537=2,20,IF(H537=3,10,IF(H537&lt;&gt;"",1,0))))))</f>
        <v/>
      </c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14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>
        <f>IF(AND(C538="",OR(E538="",E538=0)),"",(IF(E538=1,30,IF(E538=2,20,IF(E538=3,10,IF(E538&lt;&gt;"",1,0))))+IF(F538=1,30,IF(F538=2,20,IF(F538=3,10,IF(F538&lt;&gt;"",1,0))))+IF(G538=1,30,IF(G538=2,20,IF(G538=3,10,IF(G538&lt;&gt;"",1,0))))+IF(H538=1,30,IF(H538=2,20,IF(H538=3,10,IF(H538&lt;&gt;"",1,0))))))</f>
        <v/>
      </c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14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>
        <f>IF(AND(C539="",OR(E539="",E539=0)),"",(IF(E539=1,30,IF(E539=2,20,IF(E539=3,10,IF(E539&lt;&gt;"",1,0))))+IF(F539=1,30,IF(F539=2,20,IF(F539=3,10,IF(F539&lt;&gt;"",1,0))))+IF(G539=1,30,IF(G539=2,20,IF(G539=3,10,IF(G539&lt;&gt;"",1,0))))+IF(H539=1,30,IF(H539=2,20,IF(H539=3,10,IF(H539&lt;&gt;"",1,0))))))</f>
        <v/>
      </c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14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>
        <f>IF(AND(C540="",OR(E540="",E540=0)),"",(IF(E540=1,30,IF(E540=2,20,IF(E540=3,10,IF(E540&lt;&gt;"",1,0))))+IF(F540=1,30,IF(F540=2,20,IF(F540=3,10,IF(F540&lt;&gt;"",1,0))))+IF(G540=1,30,IF(G540=2,20,IF(G540=3,10,IF(G540&lt;&gt;"",1,0))))+IF(H540=1,30,IF(H540=2,20,IF(H540=3,10,IF(H540&lt;&gt;"",1,0))))))</f>
        <v/>
      </c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14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>
        <f>IF(AND(C541="",OR(E541="",E541=0)),"",(IF(E541=1,30,IF(E541=2,20,IF(E541=3,10,IF(E541&lt;&gt;"",1,0))))+IF(F541=1,30,IF(F541=2,20,IF(F541=3,10,IF(F541&lt;&gt;"",1,0))))+IF(G541=1,30,IF(G541=2,20,IF(G541=3,10,IF(G541&lt;&gt;"",1,0))))+IF(H541=1,30,IF(H541=2,20,IF(H541=3,10,IF(H541&lt;&gt;"",1,0))))))</f>
        <v/>
      </c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14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>
        <f>IF(AND(C542="",OR(E542="",E542=0)),"",(IF(E542=1,30,IF(E542=2,20,IF(E542=3,10,IF(E542&lt;&gt;"",1,0))))+IF(F542=1,30,IF(F542=2,20,IF(F542=3,10,IF(F542&lt;&gt;"",1,0))))+IF(G542=1,30,IF(G542=2,20,IF(G542=3,10,IF(G542&lt;&gt;"",1,0))))+IF(H542=1,30,IF(H542=2,20,IF(H542=3,10,IF(H542&lt;&gt;"",1,0))))))</f>
        <v/>
      </c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1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>
        <f>IF(AND(C543="",OR(E543="",E543=0)),"",(IF(E543=1,30,IF(E543=2,20,IF(E543=3,10,IF(E543&lt;&gt;"",1,0))))+IF(F543=1,30,IF(F543=2,20,IF(F543=3,10,IF(F543&lt;&gt;"",1,0))))+IF(G543=1,30,IF(G543=2,20,IF(G543=3,10,IF(G543&lt;&gt;"",1,0))))+IF(H543=1,30,IF(H543=2,20,IF(H543=3,10,IF(H543&lt;&gt;"",1,0))))))</f>
        <v/>
      </c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14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>
        <f>IF(AND(C544="",OR(E544="",E544=0)),"",(IF(E544=1,30,IF(E544=2,20,IF(E544=3,10,IF(E544&lt;&gt;"",1,0))))+IF(F544=1,30,IF(F544=2,20,IF(F544=3,10,IF(F544&lt;&gt;"",1,0))))+IF(G544=1,30,IF(G544=2,20,IF(G544=3,10,IF(G544&lt;&gt;"",1,0))))+IF(H544=1,30,IF(H544=2,20,IF(H544=3,10,IF(H544&lt;&gt;"",1,0))))))</f>
        <v/>
      </c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14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>
        <f>IF(AND(C545="",OR(E545="",E545=0)),"",(IF(E545=1,30,IF(E545=2,20,IF(E545=3,10,IF(E545&lt;&gt;"",1,0))))+IF(F545=1,30,IF(F545=2,20,IF(F545=3,10,IF(F545&lt;&gt;"",1,0))))+IF(G545=1,30,IF(G545=2,20,IF(G545=3,10,IF(G545&lt;&gt;"",1,0))))+IF(H545=1,30,IF(H545=2,20,IF(H545=3,10,IF(H545&lt;&gt;"",1,0))))))</f>
        <v/>
      </c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14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>
        <f>IF(AND(C546="",OR(E546="",E546=0)),"",(IF(E546=1,30,IF(E546=2,20,IF(E546=3,10,IF(E546&lt;&gt;"",1,0))))+IF(F546=1,30,IF(F546=2,20,IF(F546=3,10,IF(F546&lt;&gt;"",1,0))))+IF(G546=1,30,IF(G546=2,20,IF(G546=3,10,IF(G546&lt;&gt;"",1,0))))+IF(H546=1,30,IF(H546=2,20,IF(H546=3,10,IF(H546&lt;&gt;"",1,0))))))</f>
        <v/>
      </c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14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>
        <f>IF(AND(C547="",OR(E547="",E547=0)),"",(IF(E547=1,30,IF(E547=2,20,IF(E547=3,10,IF(E547&lt;&gt;"",1,0))))+IF(F547=1,30,IF(F547=2,20,IF(F547=3,10,IF(F547&lt;&gt;"",1,0))))+IF(G547=1,30,IF(G547=2,20,IF(G547=3,10,IF(G547&lt;&gt;"",1,0))))+IF(H547=1,30,IF(H547=2,20,IF(H547=3,10,IF(H547&lt;&gt;"",1,0))))))</f>
        <v/>
      </c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14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>
        <f>IF(AND(C548="",OR(E548="",E548=0)),"",(IF(E548=1,30,IF(E548=2,20,IF(E548=3,10,IF(E548&lt;&gt;"",1,0))))+IF(F548=1,30,IF(F548=2,20,IF(F548=3,10,IF(F548&lt;&gt;"",1,0))))+IF(G548=1,30,IF(G548=2,20,IF(G548=3,10,IF(G548&lt;&gt;"",1,0))))+IF(H548=1,30,IF(H548=2,20,IF(H548=3,10,IF(H548&lt;&gt;"",1,0))))))</f>
        <v/>
      </c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14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>
        <f>IF(AND(C549="",OR(E549="",E549=0)),"",(IF(E549=1,30,IF(E549=2,20,IF(E549=3,10,IF(E549&lt;&gt;"",1,0))))+IF(F549=1,30,IF(F549=2,20,IF(F549=3,10,IF(F549&lt;&gt;"",1,0))))+IF(G549=1,30,IF(G549=2,20,IF(G549=3,10,IF(G549&lt;&gt;"",1,0))))+IF(H549=1,30,IF(H549=2,20,IF(H549=3,10,IF(H549&lt;&gt;"",1,0))))))</f>
        <v/>
      </c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14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>
        <f>IF(AND(C550="",OR(E550="",E550=0)),"",(IF(E550=1,30,IF(E550=2,20,IF(E550=3,10,IF(E550&lt;&gt;"",1,0))))+IF(F550=1,30,IF(F550=2,20,IF(F550=3,10,IF(F550&lt;&gt;"",1,0))))+IF(G550=1,30,IF(G550=2,20,IF(G550=3,10,IF(G550&lt;&gt;"",1,0))))+IF(H550=1,30,IF(H550=2,20,IF(H550=3,10,IF(H550&lt;&gt;"",1,0))))))</f>
        <v/>
      </c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14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>
        <f>IF(AND(C551="",OR(E551="",E551=0)),"",(IF(E551=1,30,IF(E551=2,20,IF(E551=3,10,IF(E551&lt;&gt;"",1,0))))+IF(F551=1,30,IF(F551=2,20,IF(F551=3,10,IF(F551&lt;&gt;"",1,0))))+IF(G551=1,30,IF(G551=2,20,IF(G551=3,10,IF(G551&lt;&gt;"",1,0))))+IF(H551=1,30,IF(H551=2,20,IF(H551=3,10,IF(H551&lt;&gt;"",1,0))))))</f>
        <v/>
      </c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14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>
        <f>IF(AND(C552="",OR(E552="",E552=0)),"",(IF(E552=1,30,IF(E552=2,20,IF(E552=3,10,IF(E552&lt;&gt;"",1,0))))+IF(F552=1,30,IF(F552=2,20,IF(F552=3,10,IF(F552&lt;&gt;"",1,0))))+IF(G552=1,30,IF(G552=2,20,IF(G552=3,10,IF(G552&lt;&gt;"",1,0))))+IF(H552=1,30,IF(H552=2,20,IF(H552=3,10,IF(H552&lt;&gt;"",1,0))))))</f>
        <v/>
      </c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14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>
        <f>IF(AND(C553="",OR(E553="",E553=0)),"",(IF(E553=1,30,IF(E553=2,20,IF(E553=3,10,IF(E553&lt;&gt;"",1,0))))+IF(F553=1,30,IF(F553=2,20,IF(F553=3,10,IF(F553&lt;&gt;"",1,0))))+IF(G553=1,30,IF(G553=2,20,IF(G553=3,10,IF(G553&lt;&gt;"",1,0))))+IF(H553=1,30,IF(H553=2,20,IF(H553=3,10,IF(H553&lt;&gt;"",1,0))))))</f>
        <v/>
      </c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14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>
        <f>IF(AND(C554="",OR(E554="",E554=0)),"",(IF(E554=1,30,IF(E554=2,20,IF(E554=3,10,IF(E554&lt;&gt;"",1,0))))+IF(F554=1,30,IF(F554=2,20,IF(F554=3,10,IF(F554&lt;&gt;"",1,0))))+IF(G554=1,30,IF(G554=2,20,IF(G554=3,10,IF(G554&lt;&gt;"",1,0))))+IF(H554=1,30,IF(H554=2,20,IF(H554=3,10,IF(H554&lt;&gt;"",1,0))))))</f>
        <v/>
      </c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14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>
        <f>IF(AND(C555="",OR(E555="",E555=0)),"",(IF(E555=1,30,IF(E555=2,20,IF(E555=3,10,IF(E555&lt;&gt;"",1,0))))+IF(F555=1,30,IF(F555=2,20,IF(F555=3,10,IF(F555&lt;&gt;"",1,0))))+IF(G555=1,30,IF(G555=2,20,IF(G555=3,10,IF(G555&lt;&gt;"",1,0))))+IF(H555=1,30,IF(H555=2,20,IF(H555=3,10,IF(H555&lt;&gt;"",1,0))))))</f>
        <v/>
      </c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14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>
        <f>IF(AND(C556="",OR(E556="",E556=0)),"",(IF(E556=1,30,IF(E556=2,20,IF(E556=3,10,IF(E556&lt;&gt;"",1,0))))+IF(F556=1,30,IF(F556=2,20,IF(F556=3,10,IF(F556&lt;&gt;"",1,0))))+IF(G556=1,30,IF(G556=2,20,IF(G556=3,10,IF(G556&lt;&gt;"",1,0))))+IF(H556=1,30,IF(H556=2,20,IF(H556=3,10,IF(H556&lt;&gt;"",1,0))))))</f>
        <v/>
      </c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14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>
        <f>IF(AND(C557="",OR(E557="",E557=0)),"",(IF(E557=1,30,IF(E557=2,20,IF(E557=3,10,IF(E557&lt;&gt;"",1,0))))+IF(F557=1,30,IF(F557=2,20,IF(F557=3,10,IF(F557&lt;&gt;"",1,0))))+IF(G557=1,30,IF(G557=2,20,IF(G557=3,10,IF(G557&lt;&gt;"",1,0))))+IF(H557=1,30,IF(H557=2,20,IF(H557=3,10,IF(H557&lt;&gt;"",1,0))))))</f>
        <v/>
      </c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14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>
        <f>IF(AND(C558="",OR(E558="",E558=0)),"",(IF(E558=1,30,IF(E558=2,20,IF(E558=3,10,IF(E558&lt;&gt;"",1,0))))+IF(F558=1,30,IF(F558=2,20,IF(F558=3,10,IF(F558&lt;&gt;"",1,0))))+IF(G558=1,30,IF(G558=2,20,IF(G558=3,10,IF(G558&lt;&gt;"",1,0))))+IF(H558=1,30,IF(H558=2,20,IF(H558=3,10,IF(H558&lt;&gt;"",1,0))))))</f>
        <v/>
      </c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14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>
        <f>IF(AND(C559="",OR(E559="",E559=0)),"",(IF(E559=1,30,IF(E559=2,20,IF(E559=3,10,IF(E559&lt;&gt;"",1,0))))+IF(F559=1,30,IF(F559=2,20,IF(F559=3,10,IF(F559&lt;&gt;"",1,0))))+IF(G559=1,30,IF(G559=2,20,IF(G559=3,10,IF(G559&lt;&gt;"",1,0))))+IF(H559=1,30,IF(H559=2,20,IF(H559=3,10,IF(H559&lt;&gt;"",1,0))))))</f>
        <v/>
      </c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14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>
        <f>IF(AND(C560="",OR(E560="",E560=0)),"",(IF(E560=1,30,IF(E560=2,20,IF(E560=3,10,IF(E560&lt;&gt;"",1,0))))+IF(F560=1,30,IF(F560=2,20,IF(F560=3,10,IF(F560&lt;&gt;"",1,0))))+IF(G560=1,30,IF(G560=2,20,IF(G560=3,10,IF(G560&lt;&gt;"",1,0))))+IF(H560=1,30,IF(H560=2,20,IF(H560=3,10,IF(H560&lt;&gt;"",1,0))))))</f>
        <v/>
      </c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14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>
        <f>IF(AND(C561="",OR(E561="",E561=0)),"",(IF(E561=1,30,IF(E561=2,20,IF(E561=3,10,IF(E561&lt;&gt;"",1,0))))+IF(F561=1,30,IF(F561=2,20,IF(F561=3,10,IF(F561&lt;&gt;"",1,0))))+IF(G561=1,30,IF(G561=2,20,IF(G561=3,10,IF(G561&lt;&gt;"",1,0))))+IF(H561=1,30,IF(H561=2,20,IF(H561=3,10,IF(H561&lt;&gt;"",1,0))))))</f>
        <v/>
      </c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14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>
        <f>IF(AND(C562="",OR(E562="",E562=0)),"",(IF(E562=1,30,IF(E562=2,20,IF(E562=3,10,IF(E562&lt;&gt;"",1,0))))+IF(F562=1,30,IF(F562=2,20,IF(F562=3,10,IF(F562&lt;&gt;"",1,0))))+IF(G562=1,30,IF(G562=2,20,IF(G562=3,10,IF(G562&lt;&gt;"",1,0))))+IF(H562=1,30,IF(H562=2,20,IF(H562=3,10,IF(H562&lt;&gt;"",1,0))))))</f>
        <v/>
      </c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14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>
        <f>IF(AND(C563="",OR(E563="",E563=0)),"",(IF(E563=1,30,IF(E563=2,20,IF(E563=3,10,IF(E563&lt;&gt;"",1,0))))+IF(F563=1,30,IF(F563=2,20,IF(F563=3,10,IF(F563&lt;&gt;"",1,0))))+IF(G563=1,30,IF(G563=2,20,IF(G563=3,10,IF(G563&lt;&gt;"",1,0))))+IF(H563=1,30,IF(H563=2,20,IF(H563=3,10,IF(H563&lt;&gt;"",1,0))))))</f>
        <v/>
      </c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14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>
        <f>IF(AND(C564="",OR(E564="",E564=0)),"",(IF(E564=1,30,IF(E564=2,20,IF(E564=3,10,IF(E564&lt;&gt;"",1,0))))+IF(F564=1,30,IF(F564=2,20,IF(F564=3,10,IF(F564&lt;&gt;"",1,0))))+IF(G564=1,30,IF(G564=2,20,IF(G564=3,10,IF(G564&lt;&gt;"",1,0))))+IF(H564=1,30,IF(H564=2,20,IF(H564=3,10,IF(H564&lt;&gt;"",1,0))))))</f>
        <v/>
      </c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14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>
        <f>IF(AND(C565="",OR(E565="",E565=0)),"",(IF(E565=1,30,IF(E565=2,20,IF(E565=3,10,IF(E565&lt;&gt;"",1,0))))+IF(F565=1,30,IF(F565=2,20,IF(F565=3,10,IF(F565&lt;&gt;"",1,0))))+IF(G565=1,30,IF(G565=2,20,IF(G565=3,10,IF(G565&lt;&gt;"",1,0))))+IF(H565=1,30,IF(H565=2,20,IF(H565=3,10,IF(H565&lt;&gt;"",1,0))))))</f>
        <v/>
      </c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14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>
        <f>IF(AND(C566="",OR(E566="",E566=0)),"",(IF(E566=1,30,IF(E566=2,20,IF(E566=3,10,IF(E566&lt;&gt;"",1,0))))+IF(F566=1,30,IF(F566=2,20,IF(F566=3,10,IF(F566&lt;&gt;"",1,0))))+IF(G566=1,30,IF(G566=2,20,IF(G566=3,10,IF(G566&lt;&gt;"",1,0))))+IF(H566=1,30,IF(H566=2,20,IF(H566=3,10,IF(H566&lt;&gt;"",1,0))))))</f>
        <v/>
      </c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14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>
        <f>IF(AND(C567="",OR(E567="",E567=0)),"",(IF(E567=1,30,IF(E567=2,20,IF(E567=3,10,IF(E567&lt;&gt;"",1,0))))+IF(F567=1,30,IF(F567=2,20,IF(F567=3,10,IF(F567&lt;&gt;"",1,0))))+IF(G567=1,30,IF(G567=2,20,IF(G567=3,10,IF(G567&lt;&gt;"",1,0))))+IF(H567=1,30,IF(H567=2,20,IF(H567=3,10,IF(H567&lt;&gt;"",1,0))))))</f>
        <v/>
      </c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14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>
        <f>IF(AND(C568="",OR(E568="",E568=0)),"",(IF(E568=1,30,IF(E568=2,20,IF(E568=3,10,IF(E568&lt;&gt;"",1,0))))+IF(F568=1,30,IF(F568=2,20,IF(F568=3,10,IF(F568&lt;&gt;"",1,0))))+IF(G568=1,30,IF(G568=2,20,IF(G568=3,10,IF(G568&lt;&gt;"",1,0))))+IF(H568=1,30,IF(H568=2,20,IF(H568=3,10,IF(H568&lt;&gt;"",1,0))))))</f>
        <v/>
      </c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14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>
        <f>IF(AND(C569="",OR(E569="",E569=0)),"",(IF(E569=1,30,IF(E569=2,20,IF(E569=3,10,IF(E569&lt;&gt;"",1,0))))+IF(F569=1,30,IF(F569=2,20,IF(F569=3,10,IF(F569&lt;&gt;"",1,0))))+IF(G569=1,30,IF(G569=2,20,IF(G569=3,10,IF(G569&lt;&gt;"",1,0))))+IF(H569=1,30,IF(H569=2,20,IF(H569=3,10,IF(H569&lt;&gt;"",1,0))))))</f>
        <v/>
      </c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14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>
        <f>IF(AND(C570="",OR(E570="",E570=0)),"",(IF(E570=1,30,IF(E570=2,20,IF(E570=3,10,IF(E570&lt;&gt;"",1,0))))+IF(F570=1,30,IF(F570=2,20,IF(F570=3,10,IF(F570&lt;&gt;"",1,0))))+IF(G570=1,30,IF(G570=2,20,IF(G570=3,10,IF(G570&lt;&gt;"",1,0))))+IF(H570=1,30,IF(H570=2,20,IF(H570=3,10,IF(H570&lt;&gt;"",1,0))))))</f>
        <v/>
      </c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14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>
        <f>IF(AND(C571="",OR(E571="",E571=0)),"",(IF(E571=1,30,IF(E571=2,20,IF(E571=3,10,IF(E571&lt;&gt;"",1,0))))+IF(F571=1,30,IF(F571=2,20,IF(F571=3,10,IF(F571&lt;&gt;"",1,0))))+IF(G571=1,30,IF(G571=2,20,IF(G571=3,10,IF(G571&lt;&gt;"",1,0))))+IF(H571=1,30,IF(H571=2,20,IF(H571=3,10,IF(H571&lt;&gt;"",1,0))))))</f>
        <v/>
      </c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14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>
        <f>IF(AND(C572="",OR(E572="",E572=0)),"",(IF(E572=1,30,IF(E572=2,20,IF(E572=3,10,IF(E572&lt;&gt;"",1,0))))+IF(F572=1,30,IF(F572=2,20,IF(F572=3,10,IF(F572&lt;&gt;"",1,0))))+IF(G572=1,30,IF(G572=2,20,IF(G572=3,10,IF(G572&lt;&gt;"",1,0))))+IF(H572=1,30,IF(H572=2,20,IF(H572=3,10,IF(H572&lt;&gt;"",1,0))))))</f>
        <v/>
      </c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14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>
        <f>IF(AND(C573="",OR(E573="",E573=0)),"",(IF(E573=1,30,IF(E573=2,20,IF(E573=3,10,IF(E573&lt;&gt;"",1,0))))+IF(F573=1,30,IF(F573=2,20,IF(F573=3,10,IF(F573&lt;&gt;"",1,0))))+IF(G573=1,30,IF(G573=2,20,IF(G573=3,10,IF(G573&lt;&gt;"",1,0))))+IF(H573=1,30,IF(H573=2,20,IF(H573=3,10,IF(H573&lt;&gt;"",1,0))))))</f>
        <v/>
      </c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14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>
        <f>IF(AND(C574="",OR(E574="",E574=0)),"",(IF(E574=1,30,IF(E574=2,20,IF(E574=3,10,IF(E574&lt;&gt;"",1,0))))+IF(F574=1,30,IF(F574=2,20,IF(F574=3,10,IF(F574&lt;&gt;"",1,0))))+IF(G574=1,30,IF(G574=2,20,IF(G574=3,10,IF(G574&lt;&gt;"",1,0))))+IF(H574=1,30,IF(H574=2,20,IF(H574=3,10,IF(H574&lt;&gt;"",1,0))))))</f>
        <v/>
      </c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14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>
        <f>IF(AND(C575="",OR(E575="",E575=0)),"",(IF(E575=1,30,IF(E575=2,20,IF(E575=3,10,IF(E575&lt;&gt;"",1,0))))+IF(F575=1,30,IF(F575=2,20,IF(F575=3,10,IF(F575&lt;&gt;"",1,0))))+IF(G575=1,30,IF(G575=2,20,IF(G575=3,10,IF(G575&lt;&gt;"",1,0))))+IF(H575=1,30,IF(H575=2,20,IF(H575=3,10,IF(H575&lt;&gt;"",1,0))))))</f>
        <v/>
      </c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14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>
        <f>IF(AND(C576="",OR(E576="",E576=0)),"",(IF(E576=1,30,IF(E576=2,20,IF(E576=3,10,IF(E576&lt;&gt;"",1,0))))+IF(F576=1,30,IF(F576=2,20,IF(F576=3,10,IF(F576&lt;&gt;"",1,0))))+IF(G576=1,30,IF(G576=2,20,IF(G576=3,10,IF(G576&lt;&gt;"",1,0))))+IF(H576=1,30,IF(H576=2,20,IF(H576=3,10,IF(H576&lt;&gt;"",1,0))))))</f>
        <v/>
      </c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14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>
        <f>IF(AND(C577="",OR(E577="",E577=0)),"",(IF(E577=1,30,IF(E577=2,20,IF(E577=3,10,IF(E577&lt;&gt;"",1,0))))+IF(F577=1,30,IF(F577=2,20,IF(F577=3,10,IF(F577&lt;&gt;"",1,0))))+IF(G577=1,30,IF(G577=2,20,IF(G577=3,10,IF(G577&lt;&gt;"",1,0))))+IF(H577=1,30,IF(H577=2,20,IF(H577=3,10,IF(H577&lt;&gt;"",1,0))))))</f>
        <v/>
      </c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14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>
        <f>IF(AND(C578="",OR(E578="",E578=0)),"",(IF(E578=1,30,IF(E578=2,20,IF(E578=3,10,IF(E578&lt;&gt;"",1,0))))+IF(F578=1,30,IF(F578=2,20,IF(F578=3,10,IF(F578&lt;&gt;"",1,0))))+IF(G578=1,30,IF(G578=2,20,IF(G578=3,10,IF(G578&lt;&gt;"",1,0))))+IF(H578=1,30,IF(H578=2,20,IF(H578=3,10,IF(H578&lt;&gt;"",1,0))))))</f>
        <v/>
      </c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14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>
        <f>IF(AND(C579="",OR(E579="",E579=0)),"",(IF(E579=1,30,IF(E579=2,20,IF(E579=3,10,IF(E579&lt;&gt;"",1,0))))+IF(F579=1,30,IF(F579=2,20,IF(F579=3,10,IF(F579&lt;&gt;"",1,0))))+IF(G579=1,30,IF(G579=2,20,IF(G579=3,10,IF(G579&lt;&gt;"",1,0))))+IF(H579=1,30,IF(H579=2,20,IF(H579=3,10,IF(H579&lt;&gt;"",1,0))))))</f>
        <v/>
      </c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14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>
        <f>IF(AND(C580="",OR(E580="",E580=0)),"",(IF(E580=1,30,IF(E580=2,20,IF(E580=3,10,IF(E580&lt;&gt;"",1,0))))+IF(F580=1,30,IF(F580=2,20,IF(F580=3,10,IF(F580&lt;&gt;"",1,0))))+IF(G580=1,30,IF(G580=2,20,IF(G580=3,10,IF(G580&lt;&gt;"",1,0))))+IF(H580=1,30,IF(H580=2,20,IF(H580=3,10,IF(H580&lt;&gt;"",1,0))))))</f>
        <v/>
      </c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14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>
        <f>IF(AND(C581="",OR(E581="",E581=0)),"",(IF(E581=1,30,IF(E581=2,20,IF(E581=3,10,IF(E581&lt;&gt;"",1,0))))+IF(F581=1,30,IF(F581=2,20,IF(F581=3,10,IF(F581&lt;&gt;"",1,0))))+IF(G581=1,30,IF(G581=2,20,IF(G581=3,10,IF(G581&lt;&gt;"",1,0))))+IF(H581=1,30,IF(H581=2,20,IF(H581=3,10,IF(H581&lt;&gt;"",1,0))))))</f>
        <v/>
      </c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14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>
        <f>IF(AND(C582="",OR(E582="",E582=0)),"",(IF(E582=1,30,IF(E582=2,20,IF(E582=3,10,IF(E582&lt;&gt;"",1,0))))+IF(F582=1,30,IF(F582=2,20,IF(F582=3,10,IF(F582&lt;&gt;"",1,0))))+IF(G582=1,30,IF(G582=2,20,IF(G582=3,10,IF(G582&lt;&gt;"",1,0))))+IF(H582=1,30,IF(H582=2,20,IF(H582=3,10,IF(H582&lt;&gt;"",1,0))))))</f>
        <v/>
      </c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14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>
        <f>IF(AND(C583="",OR(E583="",E583=0)),"",(IF(E583=1,30,IF(E583=2,20,IF(E583=3,10,IF(E583&lt;&gt;"",1,0))))+IF(F583=1,30,IF(F583=2,20,IF(F583=3,10,IF(F583&lt;&gt;"",1,0))))+IF(G583=1,30,IF(G583=2,20,IF(G583=3,10,IF(G583&lt;&gt;"",1,0))))+IF(H583=1,30,IF(H583=2,20,IF(H583=3,10,IF(H583&lt;&gt;"",1,0))))))</f>
        <v/>
      </c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14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>
        <f>IF(AND(C584="",OR(E584="",E584=0)),"",(IF(E584=1,30,IF(E584=2,20,IF(E584=3,10,IF(E584&lt;&gt;"",1,0))))+IF(F584=1,30,IF(F584=2,20,IF(F584=3,10,IF(F584&lt;&gt;"",1,0))))+IF(G584=1,30,IF(G584=2,20,IF(G584=3,10,IF(G584&lt;&gt;"",1,0))))+IF(H584=1,30,IF(H584=2,20,IF(H584=3,10,IF(H584&lt;&gt;"",1,0))))))</f>
        <v/>
      </c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14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>
        <f>IF(AND(C585="",OR(E585="",E585=0)),"",(IF(E585=1,30,IF(E585=2,20,IF(E585=3,10,IF(E585&lt;&gt;"",1,0))))+IF(F585=1,30,IF(F585=2,20,IF(F585=3,10,IF(F585&lt;&gt;"",1,0))))+IF(G585=1,30,IF(G585=2,20,IF(G585=3,10,IF(G585&lt;&gt;"",1,0))))+IF(H585=1,30,IF(H585=2,20,IF(H585=3,10,IF(H585&lt;&gt;"",1,0))))))</f>
        <v/>
      </c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14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>
        <f>IF(AND(C586="",OR(E586="",E586=0)),"",(IF(E586=1,30,IF(E586=2,20,IF(E586=3,10,IF(E586&lt;&gt;"",1,0))))+IF(F586=1,30,IF(F586=2,20,IF(F586=3,10,IF(F586&lt;&gt;"",1,0))))+IF(G586=1,30,IF(G586=2,20,IF(G586=3,10,IF(G586&lt;&gt;"",1,0))))+IF(H586=1,30,IF(H586=2,20,IF(H586=3,10,IF(H586&lt;&gt;"",1,0))))))</f>
        <v/>
      </c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14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>
        <f>IF(AND(C587="",OR(E587="",E587=0)),"",(IF(E587=1,30,IF(E587=2,20,IF(E587=3,10,IF(E587&lt;&gt;"",1,0))))+IF(F587=1,30,IF(F587=2,20,IF(F587=3,10,IF(F587&lt;&gt;"",1,0))))+IF(G587=1,30,IF(G587=2,20,IF(G587=3,10,IF(G587&lt;&gt;"",1,0))))+IF(H587=1,30,IF(H587=2,20,IF(H587=3,10,IF(H587&lt;&gt;"",1,0))))))</f>
        <v/>
      </c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14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>
        <f>IF(AND(C588="",OR(E588="",E588=0)),"",(IF(E588=1,30,IF(E588=2,20,IF(E588=3,10,IF(E588&lt;&gt;"",1,0))))+IF(F588=1,30,IF(F588=2,20,IF(F588=3,10,IF(F588&lt;&gt;"",1,0))))+IF(G588=1,30,IF(G588=2,20,IF(G588=3,10,IF(G588&lt;&gt;"",1,0))))+IF(H588=1,30,IF(H588=2,20,IF(H588=3,10,IF(H588&lt;&gt;"",1,0))))))</f>
        <v/>
      </c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14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>
        <f>IF(AND(C589="",OR(E589="",E589=0)),"",(IF(E589=1,30,IF(E589=2,20,IF(E589=3,10,IF(E589&lt;&gt;"",1,0))))+IF(F589=1,30,IF(F589=2,20,IF(F589=3,10,IF(F589&lt;&gt;"",1,0))))+IF(G589=1,30,IF(G589=2,20,IF(G589=3,10,IF(G589&lt;&gt;"",1,0))))+IF(H589=1,30,IF(H589=2,20,IF(H589=3,10,IF(H589&lt;&gt;"",1,0))))))</f>
        <v/>
      </c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14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>
        <f>IF(AND(C590="",OR(E590="",E590=0)),"",(IF(E590=1,30,IF(E590=2,20,IF(E590=3,10,IF(E590&lt;&gt;"",1,0))))+IF(F590=1,30,IF(F590=2,20,IF(F590=3,10,IF(F590&lt;&gt;"",1,0))))+IF(G590=1,30,IF(G590=2,20,IF(G590=3,10,IF(G590&lt;&gt;"",1,0))))+IF(H590=1,30,IF(H590=2,20,IF(H590=3,10,IF(H590&lt;&gt;"",1,0))))))</f>
        <v/>
      </c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14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>
        <f>IF(AND(C591="",OR(E591="",E591=0)),"",(IF(E591=1,30,IF(E591=2,20,IF(E591=3,10,IF(E591&lt;&gt;"",1,0))))+IF(F591=1,30,IF(F591=2,20,IF(F591=3,10,IF(F591&lt;&gt;"",1,0))))+IF(G591=1,30,IF(G591=2,20,IF(G591=3,10,IF(G591&lt;&gt;"",1,0))))+IF(H591=1,30,IF(H591=2,20,IF(H591=3,10,IF(H591&lt;&gt;"",1,0))))))</f>
        <v/>
      </c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14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>
        <f>IF(AND(C592="",OR(E592="",E592=0)),"",(IF(E592=1,30,IF(E592=2,20,IF(E592=3,10,IF(E592&lt;&gt;"",1,0))))+IF(F592=1,30,IF(F592=2,20,IF(F592=3,10,IF(F592&lt;&gt;"",1,0))))+IF(G592=1,30,IF(G592=2,20,IF(G592=3,10,IF(G592&lt;&gt;"",1,0))))+IF(H592=1,30,IF(H592=2,20,IF(H592=3,10,IF(H592&lt;&gt;"",1,0))))))</f>
        <v/>
      </c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14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>
        <f>IF(AND(C593="",OR(E593="",E593=0)),"",(IF(E593=1,30,IF(E593=2,20,IF(E593=3,10,IF(E593&lt;&gt;"",1,0))))+IF(F593=1,30,IF(F593=2,20,IF(F593=3,10,IF(F593&lt;&gt;"",1,0))))+IF(G593=1,30,IF(G593=2,20,IF(G593=3,10,IF(G593&lt;&gt;"",1,0))))+IF(H593=1,30,IF(H593=2,20,IF(H593=3,10,IF(H593&lt;&gt;"",1,0))))))</f>
        <v/>
      </c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14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>
        <f>IF(AND(C594="",OR(E594="",E594=0)),"",(IF(E594=1,30,IF(E594=2,20,IF(E594=3,10,IF(E594&lt;&gt;"",1,0))))+IF(F594=1,30,IF(F594=2,20,IF(F594=3,10,IF(F594&lt;&gt;"",1,0))))+IF(G594=1,30,IF(G594=2,20,IF(G594=3,10,IF(G594&lt;&gt;"",1,0))))+IF(H594=1,30,IF(H594=2,20,IF(H594=3,10,IF(H594&lt;&gt;"",1,0))))))</f>
        <v/>
      </c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14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>
        <f>IF(AND(C595="",OR(E595="",E595=0)),"",(IF(E595=1,30,IF(E595=2,20,IF(E595=3,10,IF(E595&lt;&gt;"",1,0))))+IF(F595=1,30,IF(F595=2,20,IF(F595=3,10,IF(F595&lt;&gt;"",1,0))))+IF(G595=1,30,IF(G595=2,20,IF(G595=3,10,IF(G595&lt;&gt;"",1,0))))+IF(H595=1,30,IF(H595=2,20,IF(H595=3,10,IF(H595&lt;&gt;"",1,0))))))</f>
        <v/>
      </c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14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>
        <f>IF(AND(C596="",OR(E596="",E596=0)),"",(IF(E596=1,30,IF(E596=2,20,IF(E596=3,10,IF(E596&lt;&gt;"",1,0))))+IF(F596=1,30,IF(F596=2,20,IF(F596=3,10,IF(F596&lt;&gt;"",1,0))))+IF(G596=1,30,IF(G596=2,20,IF(G596=3,10,IF(G596&lt;&gt;"",1,0))))+IF(H596=1,30,IF(H596=2,20,IF(H596=3,10,IF(H596&lt;&gt;"",1,0))))))</f>
        <v/>
      </c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14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>
        <f>IF(AND(C597="",OR(E597="",E597=0)),"",(IF(E597=1,30,IF(E597=2,20,IF(E597=3,10,IF(E597&lt;&gt;"",1,0))))+IF(F597=1,30,IF(F597=2,20,IF(F597=3,10,IF(F597&lt;&gt;"",1,0))))+IF(G597=1,30,IF(G597=2,20,IF(G597=3,10,IF(G597&lt;&gt;"",1,0))))+IF(H597=1,30,IF(H597=2,20,IF(H597=3,10,IF(H597&lt;&gt;"",1,0))))))</f>
        <v/>
      </c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14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>
        <f>IF(AND(C598="",OR(E598="",E598=0)),"",(IF(E598=1,30,IF(E598=2,20,IF(E598=3,10,IF(E598&lt;&gt;"",1,0))))+IF(F598=1,30,IF(F598=2,20,IF(F598=3,10,IF(F598&lt;&gt;"",1,0))))+IF(G598=1,30,IF(G598=2,20,IF(G598=3,10,IF(G598&lt;&gt;"",1,0))))+IF(H598=1,30,IF(H598=2,20,IF(H598=3,10,IF(H598&lt;&gt;"",1,0))))))</f>
        <v/>
      </c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14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>
        <f>IF(AND(C599="",OR(E599="",E599=0)),"",(IF(E599=1,30,IF(E599=2,20,IF(E599=3,10,IF(E599&lt;&gt;"",1,0))))+IF(F599=1,30,IF(F599=2,20,IF(F599=3,10,IF(F599&lt;&gt;"",1,0))))+IF(G599=1,30,IF(G599=2,20,IF(G599=3,10,IF(G599&lt;&gt;"",1,0))))+IF(H599=1,30,IF(H599=2,20,IF(H599=3,10,IF(H599&lt;&gt;"",1,0))))))</f>
        <v/>
      </c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14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>
        <f>IF(AND(C600="",OR(E600="",E600=0)),"",(IF(E600=1,30,IF(E600=2,20,IF(E600=3,10,IF(E600&lt;&gt;"",1,0))))+IF(F600=1,30,IF(F600=2,20,IF(F600=3,10,IF(F600&lt;&gt;"",1,0))))+IF(G600=1,30,IF(G600=2,20,IF(G600=3,10,IF(G600&lt;&gt;"",1,0))))+IF(H600=1,30,IF(H600=2,20,IF(H600=3,10,IF(H600&lt;&gt;"",1,0))))))</f>
        <v/>
      </c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14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>
        <f>IF(AND(C601="",OR(E601="",E601=0)),"",(IF(E601=1,30,IF(E601=2,20,IF(E601=3,10,IF(E601&lt;&gt;"",1,0))))+IF(F601=1,30,IF(F601=2,20,IF(F601=3,10,IF(F601&lt;&gt;"",1,0))))+IF(G601=1,30,IF(G601=2,20,IF(G601=3,10,IF(G601&lt;&gt;"",1,0))))+IF(H601=1,30,IF(H601=2,20,IF(H601=3,10,IF(H601&lt;&gt;"",1,0))))))</f>
        <v/>
      </c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14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>
        <f>IF(AND(C602="",OR(E602="",E602=0)),"",(IF(E602=1,30,IF(E602=2,20,IF(E602=3,10,IF(E602&lt;&gt;"",1,0))))+IF(F602=1,30,IF(F602=2,20,IF(F602=3,10,IF(F602&lt;&gt;"",1,0))))+IF(G602=1,30,IF(G602=2,20,IF(G602=3,10,IF(G602&lt;&gt;"",1,0))))+IF(H602=1,30,IF(H602=2,20,IF(H602=3,10,IF(H602&lt;&gt;"",1,0))))))</f>
        <v/>
      </c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14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>
        <f>IF(AND(C603="",OR(E603="",E603=0)),"",(IF(E603=1,30,IF(E603=2,20,IF(E603=3,10,IF(E603&lt;&gt;"",1,0))))+IF(F603=1,30,IF(F603=2,20,IF(F603=3,10,IF(F603&lt;&gt;"",1,0))))+IF(G603=1,30,IF(G603=2,20,IF(G603=3,10,IF(G603&lt;&gt;"",1,0))))+IF(H603=1,30,IF(H603=2,20,IF(H603=3,10,IF(H603&lt;&gt;"",1,0))))))</f>
        <v/>
      </c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14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>
        <f>IF(AND(C604="",OR(E604="",E604=0)),"",(IF(E604=1,30,IF(E604=2,20,IF(E604=3,10,IF(E604&lt;&gt;"",1,0))))+IF(F604=1,30,IF(F604=2,20,IF(F604=3,10,IF(F604&lt;&gt;"",1,0))))+IF(G604=1,30,IF(G604=2,20,IF(G604=3,10,IF(G604&lt;&gt;"",1,0))))+IF(H604=1,30,IF(H604=2,20,IF(H604=3,10,IF(H604&lt;&gt;"",1,0))))))</f>
        <v/>
      </c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14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>
        <f>IF(AND(C605="",OR(E605="",E605=0)),"",(IF(E605=1,30,IF(E605=2,20,IF(E605=3,10,IF(E605&lt;&gt;"",1,0))))+IF(F605=1,30,IF(F605=2,20,IF(F605=3,10,IF(F605&lt;&gt;"",1,0))))+IF(G605=1,30,IF(G605=2,20,IF(G605=3,10,IF(G605&lt;&gt;"",1,0))))+IF(H605=1,30,IF(H605=2,20,IF(H605=3,10,IF(H605&lt;&gt;"",1,0))))))</f>
        <v/>
      </c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14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>
        <f>IF(AND(C606="",OR(E606="",E606=0)),"",(IF(E606=1,30,IF(E606=2,20,IF(E606=3,10,IF(E606&lt;&gt;"",1,0))))+IF(F606=1,30,IF(F606=2,20,IF(F606=3,10,IF(F606&lt;&gt;"",1,0))))+IF(G606=1,30,IF(G606=2,20,IF(G606=3,10,IF(G606&lt;&gt;"",1,0))))+IF(H606=1,30,IF(H606=2,20,IF(H606=3,10,IF(H606&lt;&gt;"",1,0))))))</f>
        <v/>
      </c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14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>
        <f>IF(AND(C607="",OR(E607="",E607=0)),"",(IF(E607=1,30,IF(E607=2,20,IF(E607=3,10,IF(E607&lt;&gt;"",1,0))))+IF(F607=1,30,IF(F607=2,20,IF(F607=3,10,IF(F607&lt;&gt;"",1,0))))+IF(G607=1,30,IF(G607=2,20,IF(G607=3,10,IF(G607&lt;&gt;"",1,0))))+IF(H607=1,30,IF(H607=2,20,IF(H607=3,10,IF(H607&lt;&gt;"",1,0))))))</f>
        <v/>
      </c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14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>
        <f>IF(AND(C608="",OR(E608="",E608=0)),"",(IF(E608=1,30,IF(E608=2,20,IF(E608=3,10,IF(E608&lt;&gt;"",1,0))))+IF(F608=1,30,IF(F608=2,20,IF(F608=3,10,IF(F608&lt;&gt;"",1,0))))+IF(G608=1,30,IF(G608=2,20,IF(G608=3,10,IF(G608&lt;&gt;"",1,0))))+IF(H608=1,30,IF(H608=2,20,IF(H608=3,10,IF(H608&lt;&gt;"",1,0))))))</f>
        <v/>
      </c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14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>
        <f>IF(AND(C609="",OR(E609="",E609=0)),"",(IF(E609=1,30,IF(E609=2,20,IF(E609=3,10,IF(E609&lt;&gt;"",1,0))))+IF(F609=1,30,IF(F609=2,20,IF(F609=3,10,IF(F609&lt;&gt;"",1,0))))+IF(G609=1,30,IF(G609=2,20,IF(G609=3,10,IF(G609&lt;&gt;"",1,0))))+IF(H609=1,30,IF(H609=2,20,IF(H609=3,10,IF(H609&lt;&gt;"",1,0))))))</f>
        <v/>
      </c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14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>
        <f>IF(AND(C610="",OR(E610="",E610=0)),"",(IF(E610=1,30,IF(E610=2,20,IF(E610=3,10,IF(E610&lt;&gt;"",1,0))))+IF(F610=1,30,IF(F610=2,20,IF(F610=3,10,IF(F610&lt;&gt;"",1,0))))+IF(G610=1,30,IF(G610=2,20,IF(G610=3,10,IF(G610&lt;&gt;"",1,0))))+IF(H610=1,30,IF(H610=2,20,IF(H610=3,10,IF(H610&lt;&gt;"",1,0))))))</f>
        <v/>
      </c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14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>
        <f>IF(AND(C611="",OR(E611="",E611=0)),"",(IF(E611=1,30,IF(E611=2,20,IF(E611=3,10,IF(E611&lt;&gt;"",1,0))))+IF(F611=1,30,IF(F611=2,20,IF(F611=3,10,IF(F611&lt;&gt;"",1,0))))+IF(G611=1,30,IF(G611=2,20,IF(G611=3,10,IF(G611&lt;&gt;"",1,0))))+IF(H611=1,30,IF(H611=2,20,IF(H611=3,10,IF(H611&lt;&gt;"",1,0))))))</f>
        <v/>
      </c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14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>
        <f>IF(AND(C612="",OR(E612="",E612=0)),"",(IF(E612=1,30,IF(E612=2,20,IF(E612=3,10,IF(E612&lt;&gt;"",1,0))))+IF(F612=1,30,IF(F612=2,20,IF(F612=3,10,IF(F612&lt;&gt;"",1,0))))+IF(G612=1,30,IF(G612=2,20,IF(G612=3,10,IF(G612&lt;&gt;"",1,0))))+IF(H612=1,30,IF(H612=2,20,IF(H612=3,10,IF(H612&lt;&gt;"",1,0))))))</f>
        <v/>
      </c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14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>
        <f>IF(AND(C613="",OR(E613="",E613=0)),"",(IF(E613=1,30,IF(E613=2,20,IF(E613=3,10,IF(E613&lt;&gt;"",1,0))))+IF(F613=1,30,IF(F613=2,20,IF(F613=3,10,IF(F613&lt;&gt;"",1,0))))+IF(G613=1,30,IF(G613=2,20,IF(G613=3,10,IF(G613&lt;&gt;"",1,0))))+IF(H613=1,30,IF(H613=2,20,IF(H613=3,10,IF(H613&lt;&gt;"",1,0))))))</f>
        <v/>
      </c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14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>
        <f>IF(AND(C614="",OR(E614="",E614=0)),"",(IF(E614=1,30,IF(E614=2,20,IF(E614=3,10,IF(E614&lt;&gt;"",1,0))))+IF(F614=1,30,IF(F614=2,20,IF(F614=3,10,IF(F614&lt;&gt;"",1,0))))+IF(G614=1,30,IF(G614=2,20,IF(G614=3,10,IF(G614&lt;&gt;"",1,0))))+IF(H614=1,30,IF(H614=2,20,IF(H614=3,10,IF(H614&lt;&gt;"",1,0))))))</f>
        <v/>
      </c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14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>
        <f>IF(AND(C615="",OR(E615="",E615=0)),"",(IF(E615=1,30,IF(E615=2,20,IF(E615=3,10,IF(E615&lt;&gt;"",1,0))))+IF(F615=1,30,IF(F615=2,20,IF(F615=3,10,IF(F615&lt;&gt;"",1,0))))+IF(G615=1,30,IF(G615=2,20,IF(G615=3,10,IF(G615&lt;&gt;"",1,0))))+IF(H615=1,30,IF(H615=2,20,IF(H615=3,10,IF(H615&lt;&gt;"",1,0))))))</f>
        <v/>
      </c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14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>
        <f>IF(AND(C616="",OR(E616="",E616=0)),"",(IF(E616=1,30,IF(E616=2,20,IF(E616=3,10,IF(E616&lt;&gt;"",1,0))))+IF(F616=1,30,IF(F616=2,20,IF(F616=3,10,IF(F616&lt;&gt;"",1,0))))+IF(G616=1,30,IF(G616=2,20,IF(G616=3,10,IF(G616&lt;&gt;"",1,0))))+IF(H616=1,30,IF(H616=2,20,IF(H616=3,10,IF(H616&lt;&gt;"",1,0))))))</f>
        <v/>
      </c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14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>
        <f>IF(AND(C617="",OR(E617="",E617=0)),"",(IF(E617=1,30,IF(E617=2,20,IF(E617=3,10,IF(E617&lt;&gt;"",1,0))))+IF(F617=1,30,IF(F617=2,20,IF(F617=3,10,IF(F617&lt;&gt;"",1,0))))+IF(G617=1,30,IF(G617=2,20,IF(G617=3,10,IF(G617&lt;&gt;"",1,0))))+IF(H617=1,30,IF(H617=2,20,IF(H617=3,10,IF(H617&lt;&gt;"",1,0))))))</f>
        <v/>
      </c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14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>
        <f>IF(AND(C618="",OR(E618="",E618=0)),"",(IF(E618=1,30,IF(E618=2,20,IF(E618=3,10,IF(E618&lt;&gt;"",1,0))))+IF(F618=1,30,IF(F618=2,20,IF(F618=3,10,IF(F618&lt;&gt;"",1,0))))+IF(G618=1,30,IF(G618=2,20,IF(G618=3,10,IF(G618&lt;&gt;"",1,0))))+IF(H618=1,30,IF(H618=2,20,IF(H618=3,10,IF(H618&lt;&gt;"",1,0))))))</f>
        <v/>
      </c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14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>
        <f>IF(AND(C619="",OR(E619="",E619=0)),"",(IF(E619=1,30,IF(E619=2,20,IF(E619=3,10,IF(E619&lt;&gt;"",1,0))))+IF(F619=1,30,IF(F619=2,20,IF(F619=3,10,IF(F619&lt;&gt;"",1,0))))+IF(G619=1,30,IF(G619=2,20,IF(G619=3,10,IF(G619&lt;&gt;"",1,0))))+IF(H619=1,30,IF(H619=2,20,IF(H619=3,10,IF(H619&lt;&gt;"",1,0))))))</f>
        <v/>
      </c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14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>
        <f>IF(AND(C620="",OR(E620="",E620=0)),"",(IF(E620=1,30,IF(E620=2,20,IF(E620=3,10,IF(E620&lt;&gt;"",1,0))))+IF(F620=1,30,IF(F620=2,20,IF(F620=3,10,IF(F620&lt;&gt;"",1,0))))+IF(G620=1,30,IF(G620=2,20,IF(G620=3,10,IF(G620&lt;&gt;"",1,0))))+IF(H620=1,30,IF(H620=2,20,IF(H620=3,10,IF(H620&lt;&gt;"",1,0))))))</f>
        <v/>
      </c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14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>
        <f>IF(AND(C621="",OR(E621="",E621=0)),"",(IF(E621=1,30,IF(E621=2,20,IF(E621=3,10,IF(E621&lt;&gt;"",1,0))))+IF(F621=1,30,IF(F621=2,20,IF(F621=3,10,IF(F621&lt;&gt;"",1,0))))+IF(G621=1,30,IF(G621=2,20,IF(G621=3,10,IF(G621&lt;&gt;"",1,0))))+IF(H621=1,30,IF(H621=2,20,IF(H621=3,10,IF(H621&lt;&gt;"",1,0))))))</f>
        <v/>
      </c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14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>
        <f>IF(AND(C622="",OR(E622="",E622=0)),"",(IF(E622=1,30,IF(E622=2,20,IF(E622=3,10,IF(E622&lt;&gt;"",1,0))))+IF(F622=1,30,IF(F622=2,20,IF(F622=3,10,IF(F622&lt;&gt;"",1,0))))+IF(G622=1,30,IF(G622=2,20,IF(G622=3,10,IF(G622&lt;&gt;"",1,0))))+IF(H622=1,30,IF(H622=2,20,IF(H622=3,10,IF(H622&lt;&gt;"",1,0))))))</f>
        <v/>
      </c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14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>
        <f>IF(AND(C623="",OR(E623="",E623=0)),"",(IF(E623=1,30,IF(E623=2,20,IF(E623=3,10,IF(E623&lt;&gt;"",1,0))))+IF(F623=1,30,IF(F623=2,20,IF(F623=3,10,IF(F623&lt;&gt;"",1,0))))+IF(G623=1,30,IF(G623=2,20,IF(G623=3,10,IF(G623&lt;&gt;"",1,0))))+IF(H623=1,30,IF(H623=2,20,IF(H623=3,10,IF(H623&lt;&gt;"",1,0))))))</f>
        <v/>
      </c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14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>
        <f>IF(AND(C624="",OR(E624="",E624=0)),"",(IF(E624=1,30,IF(E624=2,20,IF(E624=3,10,IF(E624&lt;&gt;"",1,0))))+IF(F624=1,30,IF(F624=2,20,IF(F624=3,10,IF(F624&lt;&gt;"",1,0))))+IF(G624=1,30,IF(G624=2,20,IF(G624=3,10,IF(G624&lt;&gt;"",1,0))))+IF(H624=1,30,IF(H624=2,20,IF(H624=3,10,IF(H624&lt;&gt;"",1,0))))))</f>
        <v/>
      </c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14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>
        <f>IF(AND(C625="",OR(E625="",E625=0)),"",(IF(E625=1,30,IF(E625=2,20,IF(E625=3,10,IF(E625&lt;&gt;"",1,0))))+IF(F625=1,30,IF(F625=2,20,IF(F625=3,10,IF(F625&lt;&gt;"",1,0))))+IF(G625=1,30,IF(G625=2,20,IF(G625=3,10,IF(G625&lt;&gt;"",1,0))))+IF(H625=1,30,IF(H625=2,20,IF(H625=3,10,IF(H625&lt;&gt;"",1,0))))))</f>
        <v/>
      </c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14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>
        <f>IF(AND(C626="",OR(E626="",E626=0)),"",(IF(E626=1,30,IF(E626=2,20,IF(E626=3,10,IF(E626&lt;&gt;"",1,0))))+IF(F626=1,30,IF(F626=2,20,IF(F626=3,10,IF(F626&lt;&gt;"",1,0))))+IF(G626=1,30,IF(G626=2,20,IF(G626=3,10,IF(G626&lt;&gt;"",1,0))))+IF(H626=1,30,IF(H626=2,20,IF(H626=3,10,IF(H626&lt;&gt;"",1,0))))))</f>
        <v/>
      </c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14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>
        <f>IF(AND(C627="",OR(E627="",E627=0)),"",(IF(E627=1,30,IF(E627=2,20,IF(E627=3,10,IF(E627&lt;&gt;"",1,0))))+IF(F627=1,30,IF(F627=2,20,IF(F627=3,10,IF(F627&lt;&gt;"",1,0))))+IF(G627=1,30,IF(G627=2,20,IF(G627=3,10,IF(G627&lt;&gt;"",1,0))))+IF(H627=1,30,IF(H627=2,20,IF(H627=3,10,IF(H627&lt;&gt;"",1,0))))))</f>
        <v/>
      </c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14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>
        <f>IF(AND(C628="",OR(E628="",E628=0)),"",(IF(E628=1,30,IF(E628=2,20,IF(E628=3,10,IF(E628&lt;&gt;"",1,0))))+IF(F628=1,30,IF(F628=2,20,IF(F628=3,10,IF(F628&lt;&gt;"",1,0))))+IF(G628=1,30,IF(G628=2,20,IF(G628=3,10,IF(G628&lt;&gt;"",1,0))))+IF(H628=1,30,IF(H628=2,20,IF(H628=3,10,IF(H628&lt;&gt;"",1,0))))))</f>
        <v/>
      </c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14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>
        <f>IF(AND(C629="",OR(E629="",E629=0)),"",(IF(E629=1,30,IF(E629=2,20,IF(E629=3,10,IF(E629&lt;&gt;"",1,0))))+IF(F629=1,30,IF(F629=2,20,IF(F629=3,10,IF(F629&lt;&gt;"",1,0))))+IF(G629=1,30,IF(G629=2,20,IF(G629=3,10,IF(G629&lt;&gt;"",1,0))))+IF(H629=1,30,IF(H629=2,20,IF(H629=3,10,IF(H629&lt;&gt;"",1,0))))))</f>
        <v/>
      </c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14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>
        <f>IF(AND(C630="",OR(E630="",E630=0)),"",(IF(E630=1,30,IF(E630=2,20,IF(E630=3,10,IF(E630&lt;&gt;"",1,0))))+IF(F630=1,30,IF(F630=2,20,IF(F630=3,10,IF(F630&lt;&gt;"",1,0))))+IF(G630=1,30,IF(G630=2,20,IF(G630=3,10,IF(G630&lt;&gt;"",1,0))))+IF(H630=1,30,IF(H630=2,20,IF(H630=3,10,IF(H630&lt;&gt;"",1,0))))))</f>
        <v/>
      </c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14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>
        <f>IF(AND(C631="",OR(E631="",E631=0)),"",(IF(E631=1,30,IF(E631=2,20,IF(E631=3,10,IF(E631&lt;&gt;"",1,0))))+IF(F631=1,30,IF(F631=2,20,IF(F631=3,10,IF(F631&lt;&gt;"",1,0))))+IF(G631=1,30,IF(G631=2,20,IF(G631=3,10,IF(G631&lt;&gt;"",1,0))))+IF(H631=1,30,IF(H631=2,20,IF(H631=3,10,IF(H631&lt;&gt;"",1,0))))))</f>
        <v/>
      </c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14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>
        <f>IF(AND(C632="",OR(E632="",E632=0)),"",(IF(E632=1,30,IF(E632=2,20,IF(E632=3,10,IF(E632&lt;&gt;"",1,0))))+IF(F632=1,30,IF(F632=2,20,IF(F632=3,10,IF(F632&lt;&gt;"",1,0))))+IF(G632=1,30,IF(G632=2,20,IF(G632=3,10,IF(G632&lt;&gt;"",1,0))))+IF(H632=1,30,IF(H632=2,20,IF(H632=3,10,IF(H632&lt;&gt;"",1,0))))))</f>
        <v/>
      </c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14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>
        <f>IF(AND(C633="",OR(E633="",E633=0)),"",(IF(E633=1,30,IF(E633=2,20,IF(E633=3,10,IF(E633&lt;&gt;"",1,0))))+IF(F633=1,30,IF(F633=2,20,IF(F633=3,10,IF(F633&lt;&gt;"",1,0))))+IF(G633=1,30,IF(G633=2,20,IF(G633=3,10,IF(G633&lt;&gt;"",1,0))))+IF(H633=1,30,IF(H633=2,20,IF(H633=3,10,IF(H633&lt;&gt;"",1,0))))))</f>
        <v/>
      </c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14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>
        <f>IF(AND(C634="",OR(E634="",E634=0)),"",(IF(E634=1,30,IF(E634=2,20,IF(E634=3,10,IF(E634&lt;&gt;"",1,0))))+IF(F634=1,30,IF(F634=2,20,IF(F634=3,10,IF(F634&lt;&gt;"",1,0))))+IF(G634=1,30,IF(G634=2,20,IF(G634=3,10,IF(G634&lt;&gt;"",1,0))))+IF(H634=1,30,IF(H634=2,20,IF(H634=3,10,IF(H634&lt;&gt;"",1,0))))))</f>
        <v/>
      </c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14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>
        <f>IF(AND(C635="",OR(E635="",E635=0)),"",(IF(E635=1,30,IF(E635=2,20,IF(E635=3,10,IF(E635&lt;&gt;"",1,0))))+IF(F635=1,30,IF(F635=2,20,IF(F635=3,10,IF(F635&lt;&gt;"",1,0))))+IF(G635=1,30,IF(G635=2,20,IF(G635=3,10,IF(G635&lt;&gt;"",1,0))))+IF(H635=1,30,IF(H635=2,20,IF(H635=3,10,IF(H635&lt;&gt;"",1,0))))))</f>
        <v/>
      </c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14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>
        <f>IF(AND(C636="",OR(E636="",E636=0)),"",(IF(E636=1,30,IF(E636=2,20,IF(E636=3,10,IF(E636&lt;&gt;"",1,0))))+IF(F636=1,30,IF(F636=2,20,IF(F636=3,10,IF(F636&lt;&gt;"",1,0))))+IF(G636=1,30,IF(G636=2,20,IF(G636=3,10,IF(G636&lt;&gt;"",1,0))))+IF(H636=1,30,IF(H636=2,20,IF(H636=3,10,IF(H636&lt;&gt;"",1,0))))))</f>
        <v/>
      </c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14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>
        <f>IF(AND(C637="",OR(E637="",E637=0)),"",(IF(E637=1,30,IF(E637=2,20,IF(E637=3,10,IF(E637&lt;&gt;"",1,0))))+IF(F637=1,30,IF(F637=2,20,IF(F637=3,10,IF(F637&lt;&gt;"",1,0))))+IF(G637=1,30,IF(G637=2,20,IF(G637=3,10,IF(G637&lt;&gt;"",1,0))))+IF(H637=1,30,IF(H637=2,20,IF(H637=3,10,IF(H637&lt;&gt;"",1,0))))))</f>
        <v/>
      </c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14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>
        <f>IF(AND(C638="",OR(E638="",E638=0)),"",(IF(E638=1,30,IF(E638=2,20,IF(E638=3,10,IF(E638&lt;&gt;"",1,0))))+IF(F638=1,30,IF(F638=2,20,IF(F638=3,10,IF(F638&lt;&gt;"",1,0))))+IF(G638=1,30,IF(G638=2,20,IF(G638=3,10,IF(G638&lt;&gt;"",1,0))))+IF(H638=1,30,IF(H638=2,20,IF(H638=3,10,IF(H638&lt;&gt;"",1,0))))))</f>
        <v/>
      </c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14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>
        <f>IF(AND(C639="",OR(E639="",E639=0)),"",(IF(E639=1,30,IF(E639=2,20,IF(E639=3,10,IF(E639&lt;&gt;"",1,0))))+IF(F639=1,30,IF(F639=2,20,IF(F639=3,10,IF(F639&lt;&gt;"",1,0))))+IF(G639=1,30,IF(G639=2,20,IF(G639=3,10,IF(G639&lt;&gt;"",1,0))))+IF(H639=1,30,IF(H639=2,20,IF(H639=3,10,IF(H639&lt;&gt;"",1,0))))))</f>
        <v/>
      </c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14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>
        <f>IF(AND(C640="",OR(E640="",E640=0)),"",(IF(E640=1,30,IF(E640=2,20,IF(E640=3,10,IF(E640&lt;&gt;"",1,0))))+IF(F640=1,30,IF(F640=2,20,IF(F640=3,10,IF(F640&lt;&gt;"",1,0))))+IF(G640=1,30,IF(G640=2,20,IF(G640=3,10,IF(G640&lt;&gt;"",1,0))))+IF(H640=1,30,IF(H640=2,20,IF(H640=3,10,IF(H640&lt;&gt;"",1,0))))))</f>
        <v/>
      </c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14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>
        <f>IF(AND(C641="",OR(E641="",E641=0)),"",(IF(E641=1,30,IF(E641=2,20,IF(E641=3,10,IF(E641&lt;&gt;"",1,0))))+IF(F641=1,30,IF(F641=2,20,IF(F641=3,10,IF(F641&lt;&gt;"",1,0))))+IF(G641=1,30,IF(G641=2,20,IF(G641=3,10,IF(G641&lt;&gt;"",1,0))))+IF(H641=1,30,IF(H641=2,20,IF(H641=3,10,IF(H641&lt;&gt;"",1,0))))))</f>
        <v/>
      </c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14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>
        <f>IF(AND(C642="",OR(E642="",E642=0)),"",(IF(E642=1,30,IF(E642=2,20,IF(E642=3,10,IF(E642&lt;&gt;"",1,0))))+IF(F642=1,30,IF(F642=2,20,IF(F642=3,10,IF(F642&lt;&gt;"",1,0))))+IF(G642=1,30,IF(G642=2,20,IF(G642=3,10,IF(G642&lt;&gt;"",1,0))))+IF(H642=1,30,IF(H642=2,20,IF(H642=3,10,IF(H642&lt;&gt;"",1,0))))))</f>
        <v/>
      </c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1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>
        <f>IF(AND(C643="",OR(E643="",E643=0)),"",(IF(E643=1,30,IF(E643=2,20,IF(E643=3,10,IF(E643&lt;&gt;"",1,0))))+IF(F643=1,30,IF(F643=2,20,IF(F643=3,10,IF(F643&lt;&gt;"",1,0))))+IF(G643=1,30,IF(G643=2,20,IF(G643=3,10,IF(G643&lt;&gt;"",1,0))))+IF(H643=1,30,IF(H643=2,20,IF(H643=3,10,IF(H643&lt;&gt;"",1,0))))))</f>
        <v/>
      </c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14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>
        <f>IF(AND(C644="",OR(E644="",E644=0)),"",(IF(E644=1,30,IF(E644=2,20,IF(E644=3,10,IF(E644&lt;&gt;"",1,0))))+IF(F644=1,30,IF(F644=2,20,IF(F644=3,10,IF(F644&lt;&gt;"",1,0))))+IF(G644=1,30,IF(G644=2,20,IF(G644=3,10,IF(G644&lt;&gt;"",1,0))))+IF(H644=1,30,IF(H644=2,20,IF(H644=3,10,IF(H644&lt;&gt;"",1,0))))))</f>
        <v/>
      </c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14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>
        <f>IF(AND(C645="",OR(E645="",E645=0)),"",(IF(E645=1,30,IF(E645=2,20,IF(E645=3,10,IF(E645&lt;&gt;"",1,0))))+IF(F645=1,30,IF(F645=2,20,IF(F645=3,10,IF(F645&lt;&gt;"",1,0))))+IF(G645=1,30,IF(G645=2,20,IF(G645=3,10,IF(G645&lt;&gt;"",1,0))))+IF(H645=1,30,IF(H645=2,20,IF(H645=3,10,IF(H645&lt;&gt;"",1,0))))))</f>
        <v/>
      </c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14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>
        <f>IF(AND(C646="",OR(E646="",E646=0)),"",(IF(E646=1,30,IF(E646=2,20,IF(E646=3,10,IF(E646&lt;&gt;"",1,0))))+IF(F646=1,30,IF(F646=2,20,IF(F646=3,10,IF(F646&lt;&gt;"",1,0))))+IF(G646=1,30,IF(G646=2,20,IF(G646=3,10,IF(G646&lt;&gt;"",1,0))))+IF(H646=1,30,IF(H646=2,20,IF(H646=3,10,IF(H646&lt;&gt;"",1,0))))))</f>
        <v/>
      </c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14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>
        <f>IF(AND(C647="",OR(E647="",E647=0)),"",(IF(E647=1,30,IF(E647=2,20,IF(E647=3,10,IF(E647&lt;&gt;"",1,0))))+IF(F647=1,30,IF(F647=2,20,IF(F647=3,10,IF(F647&lt;&gt;"",1,0))))+IF(G647=1,30,IF(G647=2,20,IF(G647=3,10,IF(G647&lt;&gt;"",1,0))))+IF(H647=1,30,IF(H647=2,20,IF(H647=3,10,IF(H647&lt;&gt;"",1,0))))))</f>
        <v/>
      </c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14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>
        <f>IF(AND(C648="",OR(E648="",E648=0)),"",(IF(E648=1,30,IF(E648=2,20,IF(E648=3,10,IF(E648&lt;&gt;"",1,0))))+IF(F648=1,30,IF(F648=2,20,IF(F648=3,10,IF(F648&lt;&gt;"",1,0))))+IF(G648=1,30,IF(G648=2,20,IF(G648=3,10,IF(G648&lt;&gt;"",1,0))))+IF(H648=1,30,IF(H648=2,20,IF(H648=3,10,IF(H648&lt;&gt;"",1,0))))))</f>
        <v/>
      </c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14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>
        <f>IF(AND(C649="",OR(E649="",E649=0)),"",(IF(E649=1,30,IF(E649=2,20,IF(E649=3,10,IF(E649&lt;&gt;"",1,0))))+IF(F649=1,30,IF(F649=2,20,IF(F649=3,10,IF(F649&lt;&gt;"",1,0))))+IF(G649=1,30,IF(G649=2,20,IF(G649=3,10,IF(G649&lt;&gt;"",1,0))))+IF(H649=1,30,IF(H649=2,20,IF(H649=3,10,IF(H649&lt;&gt;"",1,0))))))</f>
        <v/>
      </c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14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>
        <f>IF(AND(C650="",OR(E650="",E650=0)),"",(IF(E650=1,30,IF(E650=2,20,IF(E650=3,10,IF(E650&lt;&gt;"",1,0))))+IF(F650=1,30,IF(F650=2,20,IF(F650=3,10,IF(F650&lt;&gt;"",1,0))))+IF(G650=1,30,IF(G650=2,20,IF(G650=3,10,IF(G650&lt;&gt;"",1,0))))+IF(H650=1,30,IF(H650=2,20,IF(H650=3,10,IF(H650&lt;&gt;"",1,0))))))</f>
        <v/>
      </c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14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>
        <f>IF(AND(C651="",OR(E651="",E651=0)),"",(IF(E651=1,30,IF(E651=2,20,IF(E651=3,10,IF(E651&lt;&gt;"",1,0))))+IF(F651=1,30,IF(F651=2,20,IF(F651=3,10,IF(F651&lt;&gt;"",1,0))))+IF(G651=1,30,IF(G651=2,20,IF(G651=3,10,IF(G651&lt;&gt;"",1,0))))+IF(H651=1,30,IF(H651=2,20,IF(H651=3,10,IF(H651&lt;&gt;"",1,0))))))</f>
        <v/>
      </c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14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>
        <f>IF(AND(C652="",OR(E652="",E652=0)),"",(IF(E652=1,30,IF(E652=2,20,IF(E652=3,10,IF(E652&lt;&gt;"",1,0))))+IF(F652=1,30,IF(F652=2,20,IF(F652=3,10,IF(F652&lt;&gt;"",1,0))))+IF(G652=1,30,IF(G652=2,20,IF(G652=3,10,IF(G652&lt;&gt;"",1,0))))+IF(H652=1,30,IF(H652=2,20,IF(H652=3,10,IF(H652&lt;&gt;"",1,0))))))</f>
        <v/>
      </c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14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>
        <f>IF(AND(C653="",OR(E653="",E653=0)),"",(IF(E653=1,30,IF(E653=2,20,IF(E653=3,10,IF(E653&lt;&gt;"",1,0))))+IF(F653=1,30,IF(F653=2,20,IF(F653=3,10,IF(F653&lt;&gt;"",1,0))))+IF(G653=1,30,IF(G653=2,20,IF(G653=3,10,IF(G653&lt;&gt;"",1,0))))+IF(H653=1,30,IF(H653=2,20,IF(H653=3,10,IF(H653&lt;&gt;"",1,0))))))</f>
        <v/>
      </c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14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>
        <f>IF(AND(C654="",OR(E654="",E654=0)),"",(IF(E654=1,30,IF(E654=2,20,IF(E654=3,10,IF(E654&lt;&gt;"",1,0))))+IF(F654=1,30,IF(F654=2,20,IF(F654=3,10,IF(F654&lt;&gt;"",1,0))))+IF(G654=1,30,IF(G654=2,20,IF(G654=3,10,IF(G654&lt;&gt;"",1,0))))+IF(H654=1,30,IF(H654=2,20,IF(H654=3,10,IF(H654&lt;&gt;"",1,0))))))</f>
        <v/>
      </c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14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>
        <f>IF(AND(C655="",OR(E655="",E655=0)),"",(IF(E655=1,30,IF(E655=2,20,IF(E655=3,10,IF(E655&lt;&gt;"",1,0))))+IF(F655=1,30,IF(F655=2,20,IF(F655=3,10,IF(F655&lt;&gt;"",1,0))))+IF(G655=1,30,IF(G655=2,20,IF(G655=3,10,IF(G655&lt;&gt;"",1,0))))+IF(H655=1,30,IF(H655=2,20,IF(H655=3,10,IF(H655&lt;&gt;"",1,0))))))</f>
        <v/>
      </c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14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>
        <f>IF(AND(C656="",OR(E656="",E656=0)),"",(IF(E656=1,30,IF(E656=2,20,IF(E656=3,10,IF(E656&lt;&gt;"",1,0))))+IF(F656=1,30,IF(F656=2,20,IF(F656=3,10,IF(F656&lt;&gt;"",1,0))))+IF(G656=1,30,IF(G656=2,20,IF(G656=3,10,IF(G656&lt;&gt;"",1,0))))+IF(H656=1,30,IF(H656=2,20,IF(H656=3,10,IF(H656&lt;&gt;"",1,0))))))</f>
        <v/>
      </c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14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>
        <f>IF(AND(C657="",OR(E657="",E657=0)),"",(IF(E657=1,30,IF(E657=2,20,IF(E657=3,10,IF(E657&lt;&gt;"",1,0))))+IF(F657=1,30,IF(F657=2,20,IF(F657=3,10,IF(F657&lt;&gt;"",1,0))))+IF(G657=1,30,IF(G657=2,20,IF(G657=3,10,IF(G657&lt;&gt;"",1,0))))+IF(H657=1,30,IF(H657=2,20,IF(H657=3,10,IF(H657&lt;&gt;"",1,0))))))</f>
        <v/>
      </c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14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>
        <f>IF(AND(C658="",OR(E658="",E658=0)),"",(IF(E658=1,30,IF(E658=2,20,IF(E658=3,10,IF(E658&lt;&gt;"",1,0))))+IF(F658=1,30,IF(F658=2,20,IF(F658=3,10,IF(F658&lt;&gt;"",1,0))))+IF(G658=1,30,IF(G658=2,20,IF(G658=3,10,IF(G658&lt;&gt;"",1,0))))+IF(H658=1,30,IF(H658=2,20,IF(H658=3,10,IF(H658&lt;&gt;"",1,0))))))</f>
        <v/>
      </c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14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>
        <f>IF(AND(C659="",OR(E659="",E659=0)),"",(IF(E659=1,30,IF(E659=2,20,IF(E659=3,10,IF(E659&lt;&gt;"",1,0))))+IF(F659=1,30,IF(F659=2,20,IF(F659=3,10,IF(F659&lt;&gt;"",1,0))))+IF(G659=1,30,IF(G659=2,20,IF(G659=3,10,IF(G659&lt;&gt;"",1,0))))+IF(H659=1,30,IF(H659=2,20,IF(H659=3,10,IF(H659&lt;&gt;"",1,0))))))</f>
        <v/>
      </c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14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>
        <f>IF(AND(C660="",OR(E660="",E660=0)),"",(IF(E660=1,30,IF(E660=2,20,IF(E660=3,10,IF(E660&lt;&gt;"",1,0))))+IF(F660=1,30,IF(F660=2,20,IF(F660=3,10,IF(F660&lt;&gt;"",1,0))))+IF(G660=1,30,IF(G660=2,20,IF(G660=3,10,IF(G660&lt;&gt;"",1,0))))+IF(H660=1,30,IF(H660=2,20,IF(H660=3,10,IF(H660&lt;&gt;"",1,0))))))</f>
        <v/>
      </c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14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>
        <f>IF(AND(C661="",OR(E661="",E661=0)),"",(IF(E661=1,30,IF(E661=2,20,IF(E661=3,10,IF(E661&lt;&gt;"",1,0))))+IF(F661=1,30,IF(F661=2,20,IF(F661=3,10,IF(F661&lt;&gt;"",1,0))))+IF(G661=1,30,IF(G661=2,20,IF(G661=3,10,IF(G661&lt;&gt;"",1,0))))+IF(H661=1,30,IF(H661=2,20,IF(H661=3,10,IF(H661&lt;&gt;"",1,0))))))</f>
        <v/>
      </c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14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>
        <f>IF(AND(C662="",OR(E662="",E662=0)),"",(IF(E662=1,30,IF(E662=2,20,IF(E662=3,10,IF(E662&lt;&gt;"",1,0))))+IF(F662=1,30,IF(F662=2,20,IF(F662=3,10,IF(F662&lt;&gt;"",1,0))))+IF(G662=1,30,IF(G662=2,20,IF(G662=3,10,IF(G662&lt;&gt;"",1,0))))+IF(H662=1,30,IF(H662=2,20,IF(H662=3,10,IF(H662&lt;&gt;"",1,0))))))</f>
        <v/>
      </c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14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>
        <f>IF(AND(C663="",OR(E663="",E663=0)),"",(IF(E663=1,30,IF(E663=2,20,IF(E663=3,10,IF(E663&lt;&gt;"",1,0))))+IF(F663=1,30,IF(F663=2,20,IF(F663=3,10,IF(F663&lt;&gt;"",1,0))))+IF(G663=1,30,IF(G663=2,20,IF(G663=3,10,IF(G663&lt;&gt;"",1,0))))+IF(H663=1,30,IF(H663=2,20,IF(H663=3,10,IF(H663&lt;&gt;"",1,0))))))</f>
        <v/>
      </c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14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>
        <f>IF(AND(C664="",OR(E664="",E664=0)),"",(IF(E664=1,30,IF(E664=2,20,IF(E664=3,10,IF(E664&lt;&gt;"",1,0))))+IF(F664=1,30,IF(F664=2,20,IF(F664=3,10,IF(F664&lt;&gt;"",1,0))))+IF(G664=1,30,IF(G664=2,20,IF(G664=3,10,IF(G664&lt;&gt;"",1,0))))+IF(H664=1,30,IF(H664=2,20,IF(H664=3,10,IF(H664&lt;&gt;"",1,0))))))</f>
        <v/>
      </c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14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>
        <f>IF(AND(C665="",OR(E665="",E665=0)),"",(IF(E665=1,30,IF(E665=2,20,IF(E665=3,10,IF(E665&lt;&gt;"",1,0))))+IF(F665=1,30,IF(F665=2,20,IF(F665=3,10,IF(F665&lt;&gt;"",1,0))))+IF(G665=1,30,IF(G665=2,20,IF(G665=3,10,IF(G665&lt;&gt;"",1,0))))+IF(H665=1,30,IF(H665=2,20,IF(H665=3,10,IF(H665&lt;&gt;"",1,0))))))</f>
        <v/>
      </c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14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>
        <f>IF(AND(C666="",OR(E666="",E666=0)),"",(IF(E666=1,30,IF(E666=2,20,IF(E666=3,10,IF(E666&lt;&gt;"",1,0))))+IF(F666=1,30,IF(F666=2,20,IF(F666=3,10,IF(F666&lt;&gt;"",1,0))))+IF(G666=1,30,IF(G666=2,20,IF(G666=3,10,IF(G666&lt;&gt;"",1,0))))+IF(H666=1,30,IF(H666=2,20,IF(H666=3,10,IF(H666&lt;&gt;"",1,0))))))</f>
        <v/>
      </c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14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>
        <f>IF(AND(C667="",OR(E667="",E667=0)),"",(IF(E667=1,30,IF(E667=2,20,IF(E667=3,10,IF(E667&lt;&gt;"",1,0))))+IF(F667=1,30,IF(F667=2,20,IF(F667=3,10,IF(F667&lt;&gt;"",1,0))))+IF(G667=1,30,IF(G667=2,20,IF(G667=3,10,IF(G667&lt;&gt;"",1,0))))+IF(H667=1,30,IF(H667=2,20,IF(H667=3,10,IF(H667&lt;&gt;"",1,0))))))</f>
        <v/>
      </c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14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>
        <f>IF(AND(C668="",OR(E668="",E668=0)),"",(IF(E668=1,30,IF(E668=2,20,IF(E668=3,10,IF(E668&lt;&gt;"",1,0))))+IF(F668=1,30,IF(F668=2,20,IF(F668=3,10,IF(F668&lt;&gt;"",1,0))))+IF(G668=1,30,IF(G668=2,20,IF(G668=3,10,IF(G668&lt;&gt;"",1,0))))+IF(H668=1,30,IF(H668=2,20,IF(H668=3,10,IF(H668&lt;&gt;"",1,0))))))</f>
        <v/>
      </c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14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>
        <f>IF(AND(C669="",OR(E669="",E669=0)),"",(IF(E669=1,30,IF(E669=2,20,IF(E669=3,10,IF(E669&lt;&gt;"",1,0))))+IF(F669=1,30,IF(F669=2,20,IF(F669=3,10,IF(F669&lt;&gt;"",1,0))))+IF(G669=1,30,IF(G669=2,20,IF(G669=3,10,IF(G669&lt;&gt;"",1,0))))+IF(H669=1,30,IF(H669=2,20,IF(H669=3,10,IF(H669&lt;&gt;"",1,0))))))</f>
        <v/>
      </c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14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>
        <f>IF(AND(C670="",OR(E670="",E670=0)),"",(IF(E670=1,30,IF(E670=2,20,IF(E670=3,10,IF(E670&lt;&gt;"",1,0))))+IF(F670=1,30,IF(F670=2,20,IF(F670=3,10,IF(F670&lt;&gt;"",1,0))))+IF(G670=1,30,IF(G670=2,20,IF(G670=3,10,IF(G670&lt;&gt;"",1,0))))+IF(H670=1,30,IF(H670=2,20,IF(H670=3,10,IF(H670&lt;&gt;"",1,0))))))</f>
        <v/>
      </c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14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>
        <f>IF(AND(C671="",OR(E671="",E671=0)),"",(IF(E671=1,30,IF(E671=2,20,IF(E671=3,10,IF(E671&lt;&gt;"",1,0))))+IF(F671=1,30,IF(F671=2,20,IF(F671=3,10,IF(F671&lt;&gt;"",1,0))))+IF(G671=1,30,IF(G671=2,20,IF(G671=3,10,IF(G671&lt;&gt;"",1,0))))+IF(H671=1,30,IF(H671=2,20,IF(H671=3,10,IF(H671&lt;&gt;"",1,0))))))</f>
        <v/>
      </c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14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>
        <f>IF(AND(C672="",OR(E672="",E672=0)),"",(IF(E672=1,30,IF(E672=2,20,IF(E672=3,10,IF(E672&lt;&gt;"",1,0))))+IF(F672=1,30,IF(F672=2,20,IF(F672=3,10,IF(F672&lt;&gt;"",1,0))))+IF(G672=1,30,IF(G672=2,20,IF(G672=3,10,IF(G672&lt;&gt;"",1,0))))+IF(H672=1,30,IF(H672=2,20,IF(H672=3,10,IF(H672&lt;&gt;"",1,0))))))</f>
        <v/>
      </c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14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>
        <f>IF(AND(C673="",OR(E673="",E673=0)),"",(IF(E673=1,30,IF(E673=2,20,IF(E673=3,10,IF(E673&lt;&gt;"",1,0))))+IF(F673=1,30,IF(F673=2,20,IF(F673=3,10,IF(F673&lt;&gt;"",1,0))))+IF(G673=1,30,IF(G673=2,20,IF(G673=3,10,IF(G673&lt;&gt;"",1,0))))+IF(H673=1,30,IF(H673=2,20,IF(H673=3,10,IF(H673&lt;&gt;"",1,0))))))</f>
        <v/>
      </c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14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>
        <f>IF(AND(C674="",OR(E674="",E674=0)),"",(IF(E674=1,30,IF(E674=2,20,IF(E674=3,10,IF(E674&lt;&gt;"",1,0))))+IF(F674=1,30,IF(F674=2,20,IF(F674=3,10,IF(F674&lt;&gt;"",1,0))))+IF(G674=1,30,IF(G674=2,20,IF(G674=3,10,IF(G674&lt;&gt;"",1,0))))+IF(H674=1,30,IF(H674=2,20,IF(H674=3,10,IF(H674&lt;&gt;"",1,0))))))</f>
        <v/>
      </c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14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>
        <f>IF(AND(C675="",OR(E675="",E675=0)),"",(IF(E675=1,30,IF(E675=2,20,IF(E675=3,10,IF(E675&lt;&gt;"",1,0))))+IF(F675=1,30,IF(F675=2,20,IF(F675=3,10,IF(F675&lt;&gt;"",1,0))))+IF(G675=1,30,IF(G675=2,20,IF(G675=3,10,IF(G675&lt;&gt;"",1,0))))+IF(H675=1,30,IF(H675=2,20,IF(H675=3,10,IF(H675&lt;&gt;"",1,0))))))</f>
        <v/>
      </c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14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>
        <f>IF(AND(C676="",OR(E676="",E676=0)),"",(IF(E676=1,30,IF(E676=2,20,IF(E676=3,10,IF(E676&lt;&gt;"",1,0))))+IF(F676=1,30,IF(F676=2,20,IF(F676=3,10,IF(F676&lt;&gt;"",1,0))))+IF(G676=1,30,IF(G676=2,20,IF(G676=3,10,IF(G676&lt;&gt;"",1,0))))+IF(H676=1,30,IF(H676=2,20,IF(H676=3,10,IF(H676&lt;&gt;"",1,0))))))</f>
        <v/>
      </c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14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>
        <f>IF(AND(C677="",OR(E677="",E677=0)),"",(IF(E677=1,30,IF(E677=2,20,IF(E677=3,10,IF(E677&lt;&gt;"",1,0))))+IF(F677=1,30,IF(F677=2,20,IF(F677=3,10,IF(F677&lt;&gt;"",1,0))))+IF(G677=1,30,IF(G677=2,20,IF(G677=3,10,IF(G677&lt;&gt;"",1,0))))+IF(H677=1,30,IF(H677=2,20,IF(H677=3,10,IF(H677&lt;&gt;"",1,0))))))</f>
        <v/>
      </c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14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>
        <f>IF(AND(C678="",OR(E678="",E678=0)),"",(IF(E678=1,30,IF(E678=2,20,IF(E678=3,10,IF(E678&lt;&gt;"",1,0))))+IF(F678=1,30,IF(F678=2,20,IF(F678=3,10,IF(F678&lt;&gt;"",1,0))))+IF(G678=1,30,IF(G678=2,20,IF(G678=3,10,IF(G678&lt;&gt;"",1,0))))+IF(H678=1,30,IF(H678=2,20,IF(H678=3,10,IF(H678&lt;&gt;"",1,0))))))</f>
        <v/>
      </c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14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>
        <f>IF(AND(C679="",OR(E679="",E679=0)),"",(IF(E679=1,30,IF(E679=2,20,IF(E679=3,10,IF(E679&lt;&gt;"",1,0))))+IF(F679=1,30,IF(F679=2,20,IF(F679=3,10,IF(F679&lt;&gt;"",1,0))))+IF(G679=1,30,IF(G679=2,20,IF(G679=3,10,IF(G679&lt;&gt;"",1,0))))+IF(H679=1,30,IF(H679=2,20,IF(H679=3,10,IF(H679&lt;&gt;"",1,0))))))</f>
        <v/>
      </c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14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>
        <f>IF(AND(C680="",OR(E680="",E680=0)),"",(IF(E680=1,30,IF(E680=2,20,IF(E680=3,10,IF(E680&lt;&gt;"",1,0))))+IF(F680=1,30,IF(F680=2,20,IF(F680=3,10,IF(F680&lt;&gt;"",1,0))))+IF(G680=1,30,IF(G680=2,20,IF(G680=3,10,IF(G680&lt;&gt;"",1,0))))+IF(H680=1,30,IF(H680=2,20,IF(H680=3,10,IF(H680&lt;&gt;"",1,0))))))</f>
        <v/>
      </c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14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>
        <f>IF(AND(C681="",OR(E681="",E681=0)),"",(IF(E681=1,30,IF(E681=2,20,IF(E681=3,10,IF(E681&lt;&gt;"",1,0))))+IF(F681=1,30,IF(F681=2,20,IF(F681=3,10,IF(F681&lt;&gt;"",1,0))))+IF(G681=1,30,IF(G681=2,20,IF(G681=3,10,IF(G681&lt;&gt;"",1,0))))+IF(H681=1,30,IF(H681=2,20,IF(H681=3,10,IF(H681&lt;&gt;"",1,0))))))</f>
        <v/>
      </c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14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>
        <f>IF(AND(C682="",OR(E682="",E682=0)),"",(IF(E682=1,30,IF(E682=2,20,IF(E682=3,10,IF(E682&lt;&gt;"",1,0))))+IF(F682=1,30,IF(F682=2,20,IF(F682=3,10,IF(F682&lt;&gt;"",1,0))))+IF(G682=1,30,IF(G682=2,20,IF(G682=3,10,IF(G682&lt;&gt;"",1,0))))+IF(H682=1,30,IF(H682=2,20,IF(H682=3,10,IF(H682&lt;&gt;"",1,0))))))</f>
        <v/>
      </c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14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>
        <f>IF(AND(C683="",OR(E683="",E683=0)),"",(IF(E683=1,30,IF(E683=2,20,IF(E683=3,10,IF(E683&lt;&gt;"",1,0))))+IF(F683=1,30,IF(F683=2,20,IF(F683=3,10,IF(F683&lt;&gt;"",1,0))))+IF(G683=1,30,IF(G683=2,20,IF(G683=3,10,IF(G683&lt;&gt;"",1,0))))+IF(H683=1,30,IF(H683=2,20,IF(H683=3,10,IF(H683&lt;&gt;"",1,0))))))</f>
        <v/>
      </c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14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>
        <f>IF(AND(C684="",OR(E684="",E684=0)),"",(IF(E684=1,30,IF(E684=2,20,IF(E684=3,10,IF(E684&lt;&gt;"",1,0))))+IF(F684=1,30,IF(F684=2,20,IF(F684=3,10,IF(F684&lt;&gt;"",1,0))))+IF(G684=1,30,IF(G684=2,20,IF(G684=3,10,IF(G684&lt;&gt;"",1,0))))+IF(H684=1,30,IF(H684=2,20,IF(H684=3,10,IF(H684&lt;&gt;"",1,0))))))</f>
        <v/>
      </c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14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>
        <f>IF(AND(C685="",OR(E685="",E685=0)),"",(IF(E685=1,30,IF(E685=2,20,IF(E685=3,10,IF(E685&lt;&gt;"",1,0))))+IF(F685=1,30,IF(F685=2,20,IF(F685=3,10,IF(F685&lt;&gt;"",1,0))))+IF(G685=1,30,IF(G685=2,20,IF(G685=3,10,IF(G685&lt;&gt;"",1,0))))+IF(H685=1,30,IF(H685=2,20,IF(H685=3,10,IF(H685&lt;&gt;"",1,0))))))</f>
        <v/>
      </c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14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>
        <f>IF(AND(C686="",OR(E686="",E686=0)),"",(IF(E686=1,30,IF(E686=2,20,IF(E686=3,10,IF(E686&lt;&gt;"",1,0))))+IF(F686=1,30,IF(F686=2,20,IF(F686=3,10,IF(F686&lt;&gt;"",1,0))))+IF(G686=1,30,IF(G686=2,20,IF(G686=3,10,IF(G686&lt;&gt;"",1,0))))+IF(H686=1,30,IF(H686=2,20,IF(H686=3,10,IF(H686&lt;&gt;"",1,0))))))</f>
        <v/>
      </c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14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>
        <f>IF(AND(C687="",OR(E687="",E687=0)),"",(IF(E687=1,30,IF(E687=2,20,IF(E687=3,10,IF(E687&lt;&gt;"",1,0))))+IF(F687=1,30,IF(F687=2,20,IF(F687=3,10,IF(F687&lt;&gt;"",1,0))))+IF(G687=1,30,IF(G687=2,20,IF(G687=3,10,IF(G687&lt;&gt;"",1,0))))+IF(H687=1,30,IF(H687=2,20,IF(H687=3,10,IF(H687&lt;&gt;"",1,0))))))</f>
        <v/>
      </c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14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>
        <f>IF(AND(C688="",OR(E688="",E688=0)),"",(IF(E688=1,30,IF(E688=2,20,IF(E688=3,10,IF(E688&lt;&gt;"",1,0))))+IF(F688=1,30,IF(F688=2,20,IF(F688=3,10,IF(F688&lt;&gt;"",1,0))))+IF(G688=1,30,IF(G688=2,20,IF(G688=3,10,IF(G688&lt;&gt;"",1,0))))+IF(H688=1,30,IF(H688=2,20,IF(H688=3,10,IF(H688&lt;&gt;"",1,0))))))</f>
        <v/>
      </c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14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>
        <f>IF(AND(C689="",OR(E689="",E689=0)),"",(IF(E689=1,30,IF(E689=2,20,IF(E689=3,10,IF(E689&lt;&gt;"",1,0))))+IF(F689=1,30,IF(F689=2,20,IF(F689=3,10,IF(F689&lt;&gt;"",1,0))))+IF(G689=1,30,IF(G689=2,20,IF(G689=3,10,IF(G689&lt;&gt;"",1,0))))+IF(H689=1,30,IF(H689=2,20,IF(H689=3,10,IF(H689&lt;&gt;"",1,0))))))</f>
        <v/>
      </c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14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>
        <f>IF(AND(C690="",OR(E690="",E690=0)),"",(IF(E690=1,30,IF(E690=2,20,IF(E690=3,10,IF(E690&lt;&gt;"",1,0))))+IF(F690=1,30,IF(F690=2,20,IF(F690=3,10,IF(F690&lt;&gt;"",1,0))))+IF(G690=1,30,IF(G690=2,20,IF(G690=3,10,IF(G690&lt;&gt;"",1,0))))+IF(H690=1,30,IF(H690=2,20,IF(H690=3,10,IF(H690&lt;&gt;"",1,0))))))</f>
        <v/>
      </c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14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>
        <f>IF(AND(C691="",OR(E691="",E691=0)),"",(IF(E691=1,30,IF(E691=2,20,IF(E691=3,10,IF(E691&lt;&gt;"",1,0))))+IF(F691=1,30,IF(F691=2,20,IF(F691=3,10,IF(F691&lt;&gt;"",1,0))))+IF(G691=1,30,IF(G691=2,20,IF(G691=3,10,IF(G691&lt;&gt;"",1,0))))+IF(H691=1,30,IF(H691=2,20,IF(H691=3,10,IF(H691&lt;&gt;"",1,0))))))</f>
        <v/>
      </c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14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>
        <f>IF(AND(C692="",OR(E692="",E692=0)),"",(IF(E692=1,30,IF(E692=2,20,IF(E692=3,10,IF(E692&lt;&gt;"",1,0))))+IF(F692=1,30,IF(F692=2,20,IF(F692=3,10,IF(F692&lt;&gt;"",1,0))))+IF(G692=1,30,IF(G692=2,20,IF(G692=3,10,IF(G692&lt;&gt;"",1,0))))+IF(H692=1,30,IF(H692=2,20,IF(H692=3,10,IF(H692&lt;&gt;"",1,0))))))</f>
        <v/>
      </c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14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>
        <f>IF(AND(C693="",OR(E693="",E693=0)),"",(IF(E693=1,30,IF(E693=2,20,IF(E693=3,10,IF(E693&lt;&gt;"",1,0))))+IF(F693=1,30,IF(F693=2,20,IF(F693=3,10,IF(F693&lt;&gt;"",1,0))))+IF(G693=1,30,IF(G693=2,20,IF(G693=3,10,IF(G693&lt;&gt;"",1,0))))+IF(H693=1,30,IF(H693=2,20,IF(H693=3,10,IF(H693&lt;&gt;"",1,0))))))</f>
        <v/>
      </c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14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>
        <f>IF(AND(C694="",OR(E694="",E694=0)),"",(IF(E694=1,30,IF(E694=2,20,IF(E694=3,10,IF(E694&lt;&gt;"",1,0))))+IF(F694=1,30,IF(F694=2,20,IF(F694=3,10,IF(F694&lt;&gt;"",1,0))))+IF(G694=1,30,IF(G694=2,20,IF(G694=3,10,IF(G694&lt;&gt;"",1,0))))+IF(H694=1,30,IF(H694=2,20,IF(H694=3,10,IF(H694&lt;&gt;"",1,0))))))</f>
        <v/>
      </c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14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>
        <f>IF(AND(C695="",OR(E695="",E695=0)),"",(IF(E695=1,30,IF(E695=2,20,IF(E695=3,10,IF(E695&lt;&gt;"",1,0))))+IF(F695=1,30,IF(F695=2,20,IF(F695=3,10,IF(F695&lt;&gt;"",1,0))))+IF(G695=1,30,IF(G695=2,20,IF(G695=3,10,IF(G695&lt;&gt;"",1,0))))+IF(H695=1,30,IF(H695=2,20,IF(H695=3,10,IF(H695&lt;&gt;"",1,0))))))</f>
        <v/>
      </c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14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>
        <f>IF(AND(C696="",OR(E696="",E696=0)),"",(IF(E696=1,30,IF(E696=2,20,IF(E696=3,10,IF(E696&lt;&gt;"",1,0))))+IF(F696=1,30,IF(F696=2,20,IF(F696=3,10,IF(F696&lt;&gt;"",1,0))))+IF(G696=1,30,IF(G696=2,20,IF(G696=3,10,IF(G696&lt;&gt;"",1,0))))+IF(H696=1,30,IF(H696=2,20,IF(H696=3,10,IF(H696&lt;&gt;"",1,0))))))</f>
        <v/>
      </c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14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>
        <f>IF(AND(C697="",OR(E697="",E697=0)),"",(IF(E697=1,30,IF(E697=2,20,IF(E697=3,10,IF(E697&lt;&gt;"",1,0))))+IF(F697=1,30,IF(F697=2,20,IF(F697=3,10,IF(F697&lt;&gt;"",1,0))))+IF(G697=1,30,IF(G697=2,20,IF(G697=3,10,IF(G697&lt;&gt;"",1,0))))+IF(H697=1,30,IF(H697=2,20,IF(H697=3,10,IF(H697&lt;&gt;"",1,0))))))</f>
        <v/>
      </c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14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>
        <f>IF(AND(C698="",OR(E698="",E698=0)),"",(IF(E698=1,30,IF(E698=2,20,IF(E698=3,10,IF(E698&lt;&gt;"",1,0))))+IF(F698=1,30,IF(F698=2,20,IF(F698=3,10,IF(F698&lt;&gt;"",1,0))))+IF(G698=1,30,IF(G698=2,20,IF(G698=3,10,IF(G698&lt;&gt;"",1,0))))+IF(H698=1,30,IF(H698=2,20,IF(H698=3,10,IF(H698&lt;&gt;"",1,0))))))</f>
        <v/>
      </c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14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>
        <f>IF(AND(C699="",OR(E699="",E699=0)),"",(IF(E699=1,30,IF(E699=2,20,IF(E699=3,10,IF(E699&lt;&gt;"",1,0))))+IF(F699=1,30,IF(F699=2,20,IF(F699=3,10,IF(F699&lt;&gt;"",1,0))))+IF(G699=1,30,IF(G699=2,20,IF(G699=3,10,IF(G699&lt;&gt;"",1,0))))+IF(H699=1,30,IF(H699=2,20,IF(H699=3,10,IF(H699&lt;&gt;"",1,0))))))</f>
        <v/>
      </c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14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>
        <f>IF(AND(C700="",OR(E700="",E700=0)),"",(IF(E700=1,30,IF(E700=2,20,IF(E700=3,10,IF(E700&lt;&gt;"",1,0))))+IF(F700=1,30,IF(F700=2,20,IF(F700=3,10,IF(F700&lt;&gt;"",1,0))))+IF(G700=1,30,IF(G700=2,20,IF(G700=3,10,IF(G700&lt;&gt;"",1,0))))+IF(H700=1,30,IF(H700=2,20,IF(H700=3,10,IF(H700&lt;&gt;"",1,0))))))</f>
        <v/>
      </c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14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>
        <f>IF(AND(C701="",OR(E701="",E701=0)),"",(IF(E701=1,30,IF(E701=2,20,IF(E701=3,10,IF(E701&lt;&gt;"",1,0))))+IF(F701=1,30,IF(F701=2,20,IF(F701=3,10,IF(F701&lt;&gt;"",1,0))))+IF(G701=1,30,IF(G701=2,20,IF(G701=3,10,IF(G701&lt;&gt;"",1,0))))+IF(H701=1,30,IF(H701=2,20,IF(H701=3,10,IF(H701&lt;&gt;"",1,0))))))</f>
        <v/>
      </c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14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>
        <f>IF(AND(C702="",OR(E702="",E702=0)),"",(IF(E702=1,30,IF(E702=2,20,IF(E702=3,10,IF(E702&lt;&gt;"",1,0))))+IF(F702=1,30,IF(F702=2,20,IF(F702=3,10,IF(F702&lt;&gt;"",1,0))))+IF(G702=1,30,IF(G702=2,20,IF(G702=3,10,IF(G702&lt;&gt;"",1,0))))+IF(H702=1,30,IF(H702=2,20,IF(H702=3,10,IF(H702&lt;&gt;"",1,0))))))</f>
        <v/>
      </c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14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>
        <f>IF(AND(C703="",OR(E703="",E703=0)),"",(IF(E703=1,30,IF(E703=2,20,IF(E703=3,10,IF(E703&lt;&gt;"",1,0))))+IF(F703=1,30,IF(F703=2,20,IF(F703=3,10,IF(F703&lt;&gt;"",1,0))))+IF(G703=1,30,IF(G703=2,20,IF(G703=3,10,IF(G703&lt;&gt;"",1,0))))+IF(H703=1,30,IF(H703=2,20,IF(H703=3,10,IF(H703&lt;&gt;"",1,0))))))</f>
        <v/>
      </c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14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>
        <f>IF(AND(C704="",OR(E704="",E704=0)),"",(IF(E704=1,30,IF(E704=2,20,IF(E704=3,10,IF(E704&lt;&gt;"",1,0))))+IF(F704=1,30,IF(F704=2,20,IF(F704=3,10,IF(F704&lt;&gt;"",1,0))))+IF(G704=1,30,IF(G704=2,20,IF(G704=3,10,IF(G704&lt;&gt;"",1,0))))+IF(H704=1,30,IF(H704=2,20,IF(H704=3,10,IF(H704&lt;&gt;"",1,0))))))</f>
        <v/>
      </c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14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>
        <f>IF(AND(C705="",OR(E705="",E705=0)),"",(IF(E705=1,30,IF(E705=2,20,IF(E705=3,10,IF(E705&lt;&gt;"",1,0))))+IF(F705=1,30,IF(F705=2,20,IF(F705=3,10,IF(F705&lt;&gt;"",1,0))))+IF(G705=1,30,IF(G705=2,20,IF(G705=3,10,IF(G705&lt;&gt;"",1,0))))+IF(H705=1,30,IF(H705=2,20,IF(H705=3,10,IF(H705&lt;&gt;"",1,0))))))</f>
        <v/>
      </c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14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>
        <f>IF(AND(C706="",OR(E706="",E706=0)),"",(IF(E706=1,30,IF(E706=2,20,IF(E706=3,10,IF(E706&lt;&gt;"",1,0))))+IF(F706=1,30,IF(F706=2,20,IF(F706=3,10,IF(F706&lt;&gt;"",1,0))))+IF(G706=1,30,IF(G706=2,20,IF(G706=3,10,IF(G706&lt;&gt;"",1,0))))+IF(H706=1,30,IF(H706=2,20,IF(H706=3,10,IF(H706&lt;&gt;"",1,0))))))</f>
        <v/>
      </c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14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>
        <f>IF(AND(C707="",OR(E707="",E707=0)),"",(IF(E707=1,30,IF(E707=2,20,IF(E707=3,10,IF(E707&lt;&gt;"",1,0))))+IF(F707=1,30,IF(F707=2,20,IF(F707=3,10,IF(F707&lt;&gt;"",1,0))))+IF(G707=1,30,IF(G707=2,20,IF(G707=3,10,IF(G707&lt;&gt;"",1,0))))+IF(H707=1,30,IF(H707=2,20,IF(H707=3,10,IF(H707&lt;&gt;"",1,0))))))</f>
        <v/>
      </c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14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>
        <f>IF(AND(C708="",OR(E708="",E708=0)),"",(IF(E708=1,30,IF(E708=2,20,IF(E708=3,10,IF(E708&lt;&gt;"",1,0))))+IF(F708=1,30,IF(F708=2,20,IF(F708=3,10,IF(F708&lt;&gt;"",1,0))))+IF(G708=1,30,IF(G708=2,20,IF(G708=3,10,IF(G708&lt;&gt;"",1,0))))+IF(H708=1,30,IF(H708=2,20,IF(H708=3,10,IF(H708&lt;&gt;"",1,0))))))</f>
        <v/>
      </c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14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>
        <f>IF(AND(C709="",OR(E709="",E709=0)),"",(IF(E709=1,30,IF(E709=2,20,IF(E709=3,10,IF(E709&lt;&gt;"",1,0))))+IF(F709=1,30,IF(F709=2,20,IF(F709=3,10,IF(F709&lt;&gt;"",1,0))))+IF(G709=1,30,IF(G709=2,20,IF(G709=3,10,IF(G709&lt;&gt;"",1,0))))+IF(H709=1,30,IF(H709=2,20,IF(H709=3,10,IF(H709&lt;&gt;"",1,0))))))</f>
        <v/>
      </c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14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>
        <f>IF(AND(C710="",OR(E710="",E710=0)),"",(IF(E710=1,30,IF(E710=2,20,IF(E710=3,10,IF(E710&lt;&gt;"",1,0))))+IF(F710=1,30,IF(F710=2,20,IF(F710=3,10,IF(F710&lt;&gt;"",1,0))))+IF(G710=1,30,IF(G710=2,20,IF(G710=3,10,IF(G710&lt;&gt;"",1,0))))+IF(H710=1,30,IF(H710=2,20,IF(H710=3,10,IF(H710&lt;&gt;"",1,0))))))</f>
        <v/>
      </c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14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>
        <f>IF(AND(C711="",OR(E711="",E711=0)),"",(IF(E711=1,30,IF(E711=2,20,IF(E711=3,10,IF(E711&lt;&gt;"",1,0))))+IF(F711=1,30,IF(F711=2,20,IF(F711=3,10,IF(F711&lt;&gt;"",1,0))))+IF(G711=1,30,IF(G711=2,20,IF(G711=3,10,IF(G711&lt;&gt;"",1,0))))+IF(H711=1,30,IF(H711=2,20,IF(H711=3,10,IF(H711&lt;&gt;"",1,0))))))</f>
        <v/>
      </c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14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>
        <f>IF(AND(C712="",OR(E712="",E712=0)),"",(IF(E712=1,30,IF(E712=2,20,IF(E712=3,10,IF(E712&lt;&gt;"",1,0))))+IF(F712=1,30,IF(F712=2,20,IF(F712=3,10,IF(F712&lt;&gt;"",1,0))))+IF(G712=1,30,IF(G712=2,20,IF(G712=3,10,IF(G712&lt;&gt;"",1,0))))+IF(H712=1,30,IF(H712=2,20,IF(H712=3,10,IF(H712&lt;&gt;"",1,0))))))</f>
        <v/>
      </c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14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>
        <f>IF(AND(C713="",OR(E713="",E713=0)),"",(IF(E713=1,30,IF(E713=2,20,IF(E713=3,10,IF(E713&lt;&gt;"",1,0))))+IF(F713=1,30,IF(F713=2,20,IF(F713=3,10,IF(F713&lt;&gt;"",1,0))))+IF(G713=1,30,IF(G713=2,20,IF(G713=3,10,IF(G713&lt;&gt;"",1,0))))+IF(H713=1,30,IF(H713=2,20,IF(H713=3,10,IF(H713&lt;&gt;"",1,0))))))</f>
        <v/>
      </c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14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>
        <f>IF(AND(C714="",OR(E714="",E714=0)),"",(IF(E714=1,30,IF(E714=2,20,IF(E714=3,10,IF(E714&lt;&gt;"",1,0))))+IF(F714=1,30,IF(F714=2,20,IF(F714=3,10,IF(F714&lt;&gt;"",1,0))))+IF(G714=1,30,IF(G714=2,20,IF(G714=3,10,IF(G714&lt;&gt;"",1,0))))+IF(H714=1,30,IF(H714=2,20,IF(H714=3,10,IF(H714&lt;&gt;"",1,0))))))</f>
        <v/>
      </c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14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>
        <f>IF(AND(C715="",OR(E715="",E715=0)),"",(IF(E715=1,30,IF(E715=2,20,IF(E715=3,10,IF(E715&lt;&gt;"",1,0))))+IF(F715=1,30,IF(F715=2,20,IF(F715=3,10,IF(F715&lt;&gt;"",1,0))))+IF(G715=1,30,IF(G715=2,20,IF(G715=3,10,IF(G715&lt;&gt;"",1,0))))+IF(H715=1,30,IF(H715=2,20,IF(H715=3,10,IF(H715&lt;&gt;"",1,0))))))</f>
        <v/>
      </c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14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>
        <f>IF(AND(C716="",OR(E716="",E716=0)),"",(IF(E716=1,30,IF(E716=2,20,IF(E716=3,10,IF(E716&lt;&gt;"",1,0))))+IF(F716=1,30,IF(F716=2,20,IF(F716=3,10,IF(F716&lt;&gt;"",1,0))))+IF(G716=1,30,IF(G716=2,20,IF(G716=3,10,IF(G716&lt;&gt;"",1,0))))+IF(H716=1,30,IF(H716=2,20,IF(H716=3,10,IF(H716&lt;&gt;"",1,0))))))</f>
        <v/>
      </c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14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>
        <f>IF(AND(C717="",OR(E717="",E717=0)),"",(IF(E717=1,30,IF(E717=2,20,IF(E717=3,10,IF(E717&lt;&gt;"",1,0))))+IF(F717=1,30,IF(F717=2,20,IF(F717=3,10,IF(F717&lt;&gt;"",1,0))))+IF(G717=1,30,IF(G717=2,20,IF(G717=3,10,IF(G717&lt;&gt;"",1,0))))+IF(H717=1,30,IF(H717=2,20,IF(H717=3,10,IF(H717&lt;&gt;"",1,0))))))</f>
        <v/>
      </c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14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>
        <f>IF(AND(C718="",OR(E718="",E718=0)),"",(IF(E718=1,30,IF(E718=2,20,IF(E718=3,10,IF(E718&lt;&gt;"",1,0))))+IF(F718=1,30,IF(F718=2,20,IF(F718=3,10,IF(F718&lt;&gt;"",1,0))))+IF(G718=1,30,IF(G718=2,20,IF(G718=3,10,IF(G718&lt;&gt;"",1,0))))+IF(H718=1,30,IF(H718=2,20,IF(H718=3,10,IF(H718&lt;&gt;"",1,0))))))</f>
        <v/>
      </c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14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>
        <f>IF(AND(C719="",OR(E719="",E719=0)),"",(IF(E719=1,30,IF(E719=2,20,IF(E719=3,10,IF(E719&lt;&gt;"",1,0))))+IF(F719=1,30,IF(F719=2,20,IF(F719=3,10,IF(F719&lt;&gt;"",1,0))))+IF(G719=1,30,IF(G719=2,20,IF(G719=3,10,IF(G719&lt;&gt;"",1,0))))+IF(H719=1,30,IF(H719=2,20,IF(H719=3,10,IF(H719&lt;&gt;"",1,0))))))</f>
        <v/>
      </c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14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>
        <f>IF(AND(C720="",OR(E720="",E720=0)),"",(IF(E720=1,30,IF(E720=2,20,IF(E720=3,10,IF(E720&lt;&gt;"",1,0))))+IF(F720=1,30,IF(F720=2,20,IF(F720=3,10,IF(F720&lt;&gt;"",1,0))))+IF(G720=1,30,IF(G720=2,20,IF(G720=3,10,IF(G720&lt;&gt;"",1,0))))+IF(H720=1,30,IF(H720=2,20,IF(H720=3,10,IF(H720&lt;&gt;"",1,0))))))</f>
        <v/>
      </c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14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>
        <f>IF(AND(C721="",OR(E721="",E721=0)),"",(IF(E721=1,30,IF(E721=2,20,IF(E721=3,10,IF(E721&lt;&gt;"",1,0))))+IF(F721=1,30,IF(F721=2,20,IF(F721=3,10,IF(F721&lt;&gt;"",1,0))))+IF(G721=1,30,IF(G721=2,20,IF(G721=3,10,IF(G721&lt;&gt;"",1,0))))+IF(H721=1,30,IF(H721=2,20,IF(H721=3,10,IF(H721&lt;&gt;"",1,0))))))</f>
        <v/>
      </c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14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>
        <f>IF(AND(C722="",OR(E722="",E722=0)),"",(IF(E722=1,30,IF(E722=2,20,IF(E722=3,10,IF(E722&lt;&gt;"",1,0))))+IF(F722=1,30,IF(F722=2,20,IF(F722=3,10,IF(F722&lt;&gt;"",1,0))))+IF(G722=1,30,IF(G722=2,20,IF(G722=3,10,IF(G722&lt;&gt;"",1,0))))+IF(H722=1,30,IF(H722=2,20,IF(H722=3,10,IF(H722&lt;&gt;"",1,0))))))</f>
        <v/>
      </c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14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>
        <f>IF(AND(C723="",OR(E723="",E723=0)),"",(IF(E723=1,30,IF(E723=2,20,IF(E723=3,10,IF(E723&lt;&gt;"",1,0))))+IF(F723=1,30,IF(F723=2,20,IF(F723=3,10,IF(F723&lt;&gt;"",1,0))))+IF(G723=1,30,IF(G723=2,20,IF(G723=3,10,IF(G723&lt;&gt;"",1,0))))+IF(H723=1,30,IF(H723=2,20,IF(H723=3,10,IF(H723&lt;&gt;"",1,0))))))</f>
        <v/>
      </c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14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>
        <f>IF(AND(C724="",OR(E724="",E724=0)),"",(IF(E724=1,30,IF(E724=2,20,IF(E724=3,10,IF(E724&lt;&gt;"",1,0))))+IF(F724=1,30,IF(F724=2,20,IF(F724=3,10,IF(F724&lt;&gt;"",1,0))))+IF(G724=1,30,IF(G724=2,20,IF(G724=3,10,IF(G724&lt;&gt;"",1,0))))+IF(H724=1,30,IF(H724=2,20,IF(H724=3,10,IF(H724&lt;&gt;"",1,0))))))</f>
        <v/>
      </c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14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>
        <f>IF(AND(C725="",OR(E725="",E725=0)),"",(IF(E725=1,30,IF(E725=2,20,IF(E725=3,10,IF(E725&lt;&gt;"",1,0))))+IF(F725=1,30,IF(F725=2,20,IF(F725=3,10,IF(F725&lt;&gt;"",1,0))))+IF(G725=1,30,IF(G725=2,20,IF(G725=3,10,IF(G725&lt;&gt;"",1,0))))+IF(H725=1,30,IF(H725=2,20,IF(H725=3,10,IF(H725&lt;&gt;"",1,0))))))</f>
        <v/>
      </c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14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>
        <f>IF(AND(C726="",OR(E726="",E726=0)),"",(IF(E726=1,30,IF(E726=2,20,IF(E726=3,10,IF(E726&lt;&gt;"",1,0))))+IF(F726=1,30,IF(F726=2,20,IF(F726=3,10,IF(F726&lt;&gt;"",1,0))))+IF(G726=1,30,IF(G726=2,20,IF(G726=3,10,IF(G726&lt;&gt;"",1,0))))+IF(H726=1,30,IF(H726=2,20,IF(H726=3,10,IF(H726&lt;&gt;"",1,0))))))</f>
        <v/>
      </c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14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>
        <f>IF(AND(C727="",OR(E727="",E727=0)),"",(IF(E727=1,30,IF(E727=2,20,IF(E727=3,10,IF(E727&lt;&gt;"",1,0))))+IF(F727=1,30,IF(F727=2,20,IF(F727=3,10,IF(F727&lt;&gt;"",1,0))))+IF(G727=1,30,IF(G727=2,20,IF(G727=3,10,IF(G727&lt;&gt;"",1,0))))+IF(H727=1,30,IF(H727=2,20,IF(H727=3,10,IF(H727&lt;&gt;"",1,0))))))</f>
        <v/>
      </c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14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>
        <f>IF(AND(C728="",OR(E728="",E728=0)),"",(IF(E728=1,30,IF(E728=2,20,IF(E728=3,10,IF(E728&lt;&gt;"",1,0))))+IF(F728=1,30,IF(F728=2,20,IF(F728=3,10,IF(F728&lt;&gt;"",1,0))))+IF(G728=1,30,IF(G728=2,20,IF(G728=3,10,IF(G728&lt;&gt;"",1,0))))+IF(H728=1,30,IF(H728=2,20,IF(H728=3,10,IF(H728&lt;&gt;"",1,0))))))</f>
        <v/>
      </c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14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>
        <f>IF(AND(C729="",OR(E729="",E729=0)),"",(IF(E729=1,30,IF(E729=2,20,IF(E729=3,10,IF(E729&lt;&gt;"",1,0))))+IF(F729=1,30,IF(F729=2,20,IF(F729=3,10,IF(F729&lt;&gt;"",1,0))))+IF(G729=1,30,IF(G729=2,20,IF(G729=3,10,IF(G729&lt;&gt;"",1,0))))+IF(H729=1,30,IF(H729=2,20,IF(H729=3,10,IF(H729&lt;&gt;"",1,0))))))</f>
        <v/>
      </c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14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>
        <f>IF(AND(C730="",OR(E730="",E730=0)),"",(IF(E730=1,30,IF(E730=2,20,IF(E730=3,10,IF(E730&lt;&gt;"",1,0))))+IF(F730=1,30,IF(F730=2,20,IF(F730=3,10,IF(F730&lt;&gt;"",1,0))))+IF(G730=1,30,IF(G730=2,20,IF(G730=3,10,IF(G730&lt;&gt;"",1,0))))+IF(H730=1,30,IF(H730=2,20,IF(H730=3,10,IF(H730&lt;&gt;"",1,0))))))</f>
        <v/>
      </c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14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>
        <f>IF(AND(C731="",OR(E731="",E731=0)),"",(IF(E731=1,30,IF(E731=2,20,IF(E731=3,10,IF(E731&lt;&gt;"",1,0))))+IF(F731=1,30,IF(F731=2,20,IF(F731=3,10,IF(F731&lt;&gt;"",1,0))))+IF(G731=1,30,IF(G731=2,20,IF(G731=3,10,IF(G731&lt;&gt;"",1,0))))+IF(H731=1,30,IF(H731=2,20,IF(H731=3,10,IF(H731&lt;&gt;"",1,0))))))</f>
        <v/>
      </c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14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>
        <f>IF(AND(C732="",OR(E732="",E732=0)),"",(IF(E732=1,30,IF(E732=2,20,IF(E732=3,10,IF(E732&lt;&gt;"",1,0))))+IF(F732=1,30,IF(F732=2,20,IF(F732=3,10,IF(F732&lt;&gt;"",1,0))))+IF(G732=1,30,IF(G732=2,20,IF(G732=3,10,IF(G732&lt;&gt;"",1,0))))+IF(H732=1,30,IF(H732=2,20,IF(H732=3,10,IF(H732&lt;&gt;"",1,0))))))</f>
        <v/>
      </c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14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>
        <f>IF(AND(C733="",OR(E733="",E733=0)),"",(IF(E733=1,30,IF(E733=2,20,IF(E733=3,10,IF(E733&lt;&gt;"",1,0))))+IF(F733=1,30,IF(F733=2,20,IF(F733=3,10,IF(F733&lt;&gt;"",1,0))))+IF(G733=1,30,IF(G733=2,20,IF(G733=3,10,IF(G733&lt;&gt;"",1,0))))+IF(H733=1,30,IF(H733=2,20,IF(H733=3,10,IF(H733&lt;&gt;"",1,0))))))</f>
        <v/>
      </c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14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>
        <f>IF(AND(C734="",OR(E734="",E734=0)),"",(IF(E734=1,30,IF(E734=2,20,IF(E734=3,10,IF(E734&lt;&gt;"",1,0))))+IF(F734=1,30,IF(F734=2,20,IF(F734=3,10,IF(F734&lt;&gt;"",1,0))))+IF(G734=1,30,IF(G734=2,20,IF(G734=3,10,IF(G734&lt;&gt;"",1,0))))+IF(H734=1,30,IF(H734=2,20,IF(H734=3,10,IF(H734&lt;&gt;"",1,0))))))</f>
        <v/>
      </c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14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>
        <f>IF(AND(C735="",OR(E735="",E735=0)),"",(IF(E735=1,30,IF(E735=2,20,IF(E735=3,10,IF(E735&lt;&gt;"",1,0))))+IF(F735=1,30,IF(F735=2,20,IF(F735=3,10,IF(F735&lt;&gt;"",1,0))))+IF(G735=1,30,IF(G735=2,20,IF(G735=3,10,IF(G735&lt;&gt;"",1,0))))+IF(H735=1,30,IF(H735=2,20,IF(H735=3,10,IF(H735&lt;&gt;"",1,0))))))</f>
        <v/>
      </c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14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>
        <f>IF(AND(C736="",OR(E736="",E736=0)),"",(IF(E736=1,30,IF(E736=2,20,IF(E736=3,10,IF(E736&lt;&gt;"",1,0))))+IF(F736=1,30,IF(F736=2,20,IF(F736=3,10,IF(F736&lt;&gt;"",1,0))))+IF(G736=1,30,IF(G736=2,20,IF(G736=3,10,IF(G736&lt;&gt;"",1,0))))+IF(H736=1,30,IF(H736=2,20,IF(H736=3,10,IF(H736&lt;&gt;"",1,0))))))</f>
        <v/>
      </c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14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>
        <f>IF(AND(C737="",OR(E737="",E737=0)),"",(IF(E737=1,30,IF(E737=2,20,IF(E737=3,10,IF(E737&lt;&gt;"",1,0))))+IF(F737=1,30,IF(F737=2,20,IF(F737=3,10,IF(F737&lt;&gt;"",1,0))))+IF(G737=1,30,IF(G737=2,20,IF(G737=3,10,IF(G737&lt;&gt;"",1,0))))+IF(H737=1,30,IF(H737=2,20,IF(H737=3,10,IF(H737&lt;&gt;"",1,0))))))</f>
        <v/>
      </c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14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>
        <f>IF(AND(C738="",OR(E738="",E738=0)),"",(IF(E738=1,30,IF(E738=2,20,IF(E738=3,10,IF(E738&lt;&gt;"",1,0))))+IF(F738=1,30,IF(F738=2,20,IF(F738=3,10,IF(F738&lt;&gt;"",1,0))))+IF(G738=1,30,IF(G738=2,20,IF(G738=3,10,IF(G738&lt;&gt;"",1,0))))+IF(H738=1,30,IF(H738=2,20,IF(H738=3,10,IF(H738&lt;&gt;"",1,0))))))</f>
        <v/>
      </c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14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>
        <f>IF(AND(C739="",OR(E739="",E739=0)),"",(IF(E739=1,30,IF(E739=2,20,IF(E739=3,10,IF(E739&lt;&gt;"",1,0))))+IF(F739=1,30,IF(F739=2,20,IF(F739=3,10,IF(F739&lt;&gt;"",1,0))))+IF(G739=1,30,IF(G739=2,20,IF(G739=3,10,IF(G739&lt;&gt;"",1,0))))+IF(H739=1,30,IF(H739=2,20,IF(H739=3,10,IF(H739&lt;&gt;"",1,0))))))</f>
        <v/>
      </c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14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>
        <f>IF(AND(C740="",OR(E740="",E740=0)),"",(IF(E740=1,30,IF(E740=2,20,IF(E740=3,10,IF(E740&lt;&gt;"",1,0))))+IF(F740=1,30,IF(F740=2,20,IF(F740=3,10,IF(F740&lt;&gt;"",1,0))))+IF(G740=1,30,IF(G740=2,20,IF(G740=3,10,IF(G740&lt;&gt;"",1,0))))+IF(H740=1,30,IF(H740=2,20,IF(H740=3,10,IF(H740&lt;&gt;"",1,0))))))</f>
        <v/>
      </c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14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>
        <f>IF(AND(C741="",OR(E741="",E741=0)),"",(IF(E741=1,30,IF(E741=2,20,IF(E741=3,10,IF(E741&lt;&gt;"",1,0))))+IF(F741=1,30,IF(F741=2,20,IF(F741=3,10,IF(F741&lt;&gt;"",1,0))))+IF(G741=1,30,IF(G741=2,20,IF(G741=3,10,IF(G741&lt;&gt;"",1,0))))+IF(H741=1,30,IF(H741=2,20,IF(H741=3,10,IF(H741&lt;&gt;"",1,0))))))</f>
        <v/>
      </c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14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>
        <f>IF(AND(C742="",OR(E742="",E742=0)),"",(IF(E742=1,30,IF(E742=2,20,IF(E742=3,10,IF(E742&lt;&gt;"",1,0))))+IF(F742=1,30,IF(F742=2,20,IF(F742=3,10,IF(F742&lt;&gt;"",1,0))))+IF(G742=1,30,IF(G742=2,20,IF(G742=3,10,IF(G742&lt;&gt;"",1,0))))+IF(H742=1,30,IF(H742=2,20,IF(H742=3,10,IF(H742&lt;&gt;"",1,0))))))</f>
        <v/>
      </c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1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>
        <f>IF(AND(C743="",OR(E743="",E743=0)),"",(IF(E743=1,30,IF(E743=2,20,IF(E743=3,10,IF(E743&lt;&gt;"",1,0))))+IF(F743=1,30,IF(F743=2,20,IF(F743=3,10,IF(F743&lt;&gt;"",1,0))))+IF(G743=1,30,IF(G743=2,20,IF(G743=3,10,IF(G743&lt;&gt;"",1,0))))+IF(H743=1,30,IF(H743=2,20,IF(H743=3,10,IF(H743&lt;&gt;"",1,0))))))</f>
        <v/>
      </c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14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>
        <f>IF(AND(C744="",OR(E744="",E744=0)),"",(IF(E744=1,30,IF(E744=2,20,IF(E744=3,10,IF(E744&lt;&gt;"",1,0))))+IF(F744=1,30,IF(F744=2,20,IF(F744=3,10,IF(F744&lt;&gt;"",1,0))))+IF(G744=1,30,IF(G744=2,20,IF(G744=3,10,IF(G744&lt;&gt;"",1,0))))+IF(H744=1,30,IF(H744=2,20,IF(H744=3,10,IF(H744&lt;&gt;"",1,0))))))</f>
        <v/>
      </c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14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>
        <f>IF(AND(C745="",OR(E745="",E745=0)),"",(IF(E745=1,30,IF(E745=2,20,IF(E745=3,10,IF(E745&lt;&gt;"",1,0))))+IF(F745=1,30,IF(F745=2,20,IF(F745=3,10,IF(F745&lt;&gt;"",1,0))))+IF(G745=1,30,IF(G745=2,20,IF(G745=3,10,IF(G745&lt;&gt;"",1,0))))+IF(H745=1,30,IF(H745=2,20,IF(H745=3,10,IF(H745&lt;&gt;"",1,0))))))</f>
        <v/>
      </c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14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>
        <f>IF(AND(C746="",OR(E746="",E746=0)),"",(IF(E746=1,30,IF(E746=2,20,IF(E746=3,10,IF(E746&lt;&gt;"",1,0))))+IF(F746=1,30,IF(F746=2,20,IF(F746=3,10,IF(F746&lt;&gt;"",1,0))))+IF(G746=1,30,IF(G746=2,20,IF(G746=3,10,IF(G746&lt;&gt;"",1,0))))+IF(H746=1,30,IF(H746=2,20,IF(H746=3,10,IF(H746&lt;&gt;"",1,0))))))</f>
        <v/>
      </c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14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>
        <f>IF(AND(C747="",OR(E747="",E747=0)),"",(IF(E747=1,30,IF(E747=2,20,IF(E747=3,10,IF(E747&lt;&gt;"",1,0))))+IF(F747=1,30,IF(F747=2,20,IF(F747=3,10,IF(F747&lt;&gt;"",1,0))))+IF(G747=1,30,IF(G747=2,20,IF(G747=3,10,IF(G747&lt;&gt;"",1,0))))+IF(H747=1,30,IF(H747=2,20,IF(H747=3,10,IF(H747&lt;&gt;"",1,0))))))</f>
        <v/>
      </c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14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>
        <f>IF(AND(C748="",OR(E748="",E748=0)),"",(IF(E748=1,30,IF(E748=2,20,IF(E748=3,10,IF(E748&lt;&gt;"",1,0))))+IF(F748=1,30,IF(F748=2,20,IF(F748=3,10,IF(F748&lt;&gt;"",1,0))))+IF(G748=1,30,IF(G748=2,20,IF(G748=3,10,IF(G748&lt;&gt;"",1,0))))+IF(H748=1,30,IF(H748=2,20,IF(H748=3,10,IF(H748&lt;&gt;"",1,0))))))</f>
        <v/>
      </c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14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>
        <f>IF(AND(C749="",OR(E749="",E749=0)),"",(IF(E749=1,30,IF(E749=2,20,IF(E749=3,10,IF(E749&lt;&gt;"",1,0))))+IF(F749=1,30,IF(F749=2,20,IF(F749=3,10,IF(F749&lt;&gt;"",1,0))))+IF(G749=1,30,IF(G749=2,20,IF(G749=3,10,IF(G749&lt;&gt;"",1,0))))+IF(H749=1,30,IF(H749=2,20,IF(H749=3,10,IF(H749&lt;&gt;"",1,0))))))</f>
        <v/>
      </c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14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>
        <f>IF(AND(C750="",OR(E750="",E750=0)),"",(IF(E750=1,30,IF(E750=2,20,IF(E750=3,10,IF(E750&lt;&gt;"",1,0))))+IF(F750=1,30,IF(F750=2,20,IF(F750=3,10,IF(F750&lt;&gt;"",1,0))))+IF(G750=1,30,IF(G750=2,20,IF(G750=3,10,IF(G750&lt;&gt;"",1,0))))+IF(H750=1,30,IF(H750=2,20,IF(H750=3,10,IF(H750&lt;&gt;"",1,0))))))</f>
        <v/>
      </c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14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>
        <f>IF(AND(C751="",OR(E751="",E751=0)),"",(IF(E751=1,30,IF(E751=2,20,IF(E751=3,10,IF(E751&lt;&gt;"",1,0))))+IF(F751=1,30,IF(F751=2,20,IF(F751=3,10,IF(F751&lt;&gt;"",1,0))))+IF(G751=1,30,IF(G751=2,20,IF(G751=3,10,IF(G751&lt;&gt;"",1,0))))+IF(H751=1,30,IF(H751=2,20,IF(H751=3,10,IF(H751&lt;&gt;"",1,0))))))</f>
        <v/>
      </c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14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>
        <f>IF(AND(C752="",OR(E752="",E752=0)),"",(IF(E752=1,30,IF(E752=2,20,IF(E752=3,10,IF(E752&lt;&gt;"",1,0))))+IF(F752=1,30,IF(F752=2,20,IF(F752=3,10,IF(F752&lt;&gt;"",1,0))))+IF(G752=1,30,IF(G752=2,20,IF(G752=3,10,IF(G752&lt;&gt;"",1,0))))+IF(H752=1,30,IF(H752=2,20,IF(H752=3,10,IF(H752&lt;&gt;"",1,0))))))</f>
        <v/>
      </c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14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>
        <f>IF(AND(C753="",OR(E753="",E753=0)),"",(IF(E753=1,30,IF(E753=2,20,IF(E753=3,10,IF(E753&lt;&gt;"",1,0))))+IF(F753=1,30,IF(F753=2,20,IF(F753=3,10,IF(F753&lt;&gt;"",1,0))))+IF(G753=1,30,IF(G753=2,20,IF(G753=3,10,IF(G753&lt;&gt;"",1,0))))+IF(H753=1,30,IF(H753=2,20,IF(H753=3,10,IF(H753&lt;&gt;"",1,0))))))</f>
        <v/>
      </c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14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>
        <f>IF(AND(C754="",OR(E754="",E754=0)),"",(IF(E754=1,30,IF(E754=2,20,IF(E754=3,10,IF(E754&lt;&gt;"",1,0))))+IF(F754=1,30,IF(F754=2,20,IF(F754=3,10,IF(F754&lt;&gt;"",1,0))))+IF(G754=1,30,IF(G754=2,20,IF(G754=3,10,IF(G754&lt;&gt;"",1,0))))+IF(H754=1,30,IF(H754=2,20,IF(H754=3,10,IF(H754&lt;&gt;"",1,0))))))</f>
        <v/>
      </c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14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>
        <f>IF(AND(C755="",OR(E755="",E755=0)),"",(IF(E755=1,30,IF(E755=2,20,IF(E755=3,10,IF(E755&lt;&gt;"",1,0))))+IF(F755=1,30,IF(F755=2,20,IF(F755=3,10,IF(F755&lt;&gt;"",1,0))))+IF(G755=1,30,IF(G755=2,20,IF(G755=3,10,IF(G755&lt;&gt;"",1,0))))+IF(H755=1,30,IF(H755=2,20,IF(H755=3,10,IF(H755&lt;&gt;"",1,0))))))</f>
        <v/>
      </c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14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>
        <f>IF(AND(C756="",OR(E756="",E756=0)),"",(IF(E756=1,30,IF(E756=2,20,IF(E756=3,10,IF(E756&lt;&gt;"",1,0))))+IF(F756=1,30,IF(F756=2,20,IF(F756=3,10,IF(F756&lt;&gt;"",1,0))))+IF(G756=1,30,IF(G756=2,20,IF(G756=3,10,IF(G756&lt;&gt;"",1,0))))+IF(H756=1,30,IF(H756=2,20,IF(H756=3,10,IF(H756&lt;&gt;"",1,0))))))</f>
        <v/>
      </c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14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>
        <f>IF(AND(C757="",OR(E757="",E757=0)),"",(IF(E757=1,30,IF(E757=2,20,IF(E757=3,10,IF(E757&lt;&gt;"",1,0))))+IF(F757=1,30,IF(F757=2,20,IF(F757=3,10,IF(F757&lt;&gt;"",1,0))))+IF(G757=1,30,IF(G757=2,20,IF(G757=3,10,IF(G757&lt;&gt;"",1,0))))+IF(H757=1,30,IF(H757=2,20,IF(H757=3,10,IF(H757&lt;&gt;"",1,0))))))</f>
        <v/>
      </c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14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>
        <f>IF(AND(C758="",OR(E758="",E758=0)),"",(IF(E758=1,30,IF(E758=2,20,IF(E758=3,10,IF(E758&lt;&gt;"",1,0))))+IF(F758=1,30,IF(F758=2,20,IF(F758=3,10,IF(F758&lt;&gt;"",1,0))))+IF(G758=1,30,IF(G758=2,20,IF(G758=3,10,IF(G758&lt;&gt;"",1,0))))+IF(H758=1,30,IF(H758=2,20,IF(H758=3,10,IF(H758&lt;&gt;"",1,0))))))</f>
        <v/>
      </c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14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>
        <f>IF(AND(C759="",OR(E759="",E759=0)),"",(IF(E759=1,30,IF(E759=2,20,IF(E759=3,10,IF(E759&lt;&gt;"",1,0))))+IF(F759=1,30,IF(F759=2,20,IF(F759=3,10,IF(F759&lt;&gt;"",1,0))))+IF(G759=1,30,IF(G759=2,20,IF(G759=3,10,IF(G759&lt;&gt;"",1,0))))+IF(H759=1,30,IF(H759=2,20,IF(H759=3,10,IF(H759&lt;&gt;"",1,0))))))</f>
        <v/>
      </c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14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>
        <f>IF(AND(C760="",OR(E760="",E760=0)),"",(IF(E760=1,30,IF(E760=2,20,IF(E760=3,10,IF(E760&lt;&gt;"",1,0))))+IF(F760=1,30,IF(F760=2,20,IF(F760=3,10,IF(F760&lt;&gt;"",1,0))))+IF(G760=1,30,IF(G760=2,20,IF(G760=3,10,IF(G760&lt;&gt;"",1,0))))+IF(H760=1,30,IF(H760=2,20,IF(H760=3,10,IF(H760&lt;&gt;"",1,0))))))</f>
        <v/>
      </c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14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>
        <f>IF(AND(C761="",OR(E761="",E761=0)),"",(IF(E761=1,30,IF(E761=2,20,IF(E761=3,10,IF(E761&lt;&gt;"",1,0))))+IF(F761=1,30,IF(F761=2,20,IF(F761=3,10,IF(F761&lt;&gt;"",1,0))))+IF(G761=1,30,IF(G761=2,20,IF(G761=3,10,IF(G761&lt;&gt;"",1,0))))+IF(H761=1,30,IF(H761=2,20,IF(H761=3,10,IF(H761&lt;&gt;"",1,0))))))</f>
        <v/>
      </c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14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>
        <f>IF(AND(C762="",OR(E762="",E762=0)),"",(IF(E762=1,30,IF(E762=2,20,IF(E762=3,10,IF(E762&lt;&gt;"",1,0))))+IF(F762=1,30,IF(F762=2,20,IF(F762=3,10,IF(F762&lt;&gt;"",1,0))))+IF(G762=1,30,IF(G762=2,20,IF(G762=3,10,IF(G762&lt;&gt;"",1,0))))+IF(H762=1,30,IF(H762=2,20,IF(H762=3,10,IF(H762&lt;&gt;"",1,0))))))</f>
        <v/>
      </c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14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>
        <f>IF(AND(C763="",OR(E763="",E763=0)),"",(IF(E763=1,30,IF(E763=2,20,IF(E763=3,10,IF(E763&lt;&gt;"",1,0))))+IF(F763=1,30,IF(F763=2,20,IF(F763=3,10,IF(F763&lt;&gt;"",1,0))))+IF(G763=1,30,IF(G763=2,20,IF(G763=3,10,IF(G763&lt;&gt;"",1,0))))+IF(H763=1,30,IF(H763=2,20,IF(H763=3,10,IF(H763&lt;&gt;"",1,0))))))</f>
        <v/>
      </c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14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>
        <f>IF(AND(C764="",OR(E764="",E764=0)),"",(IF(E764=1,30,IF(E764=2,20,IF(E764=3,10,IF(E764&lt;&gt;"",1,0))))+IF(F764=1,30,IF(F764=2,20,IF(F764=3,10,IF(F764&lt;&gt;"",1,0))))+IF(G764=1,30,IF(G764=2,20,IF(G764=3,10,IF(G764&lt;&gt;"",1,0))))+IF(H764=1,30,IF(H764=2,20,IF(H764=3,10,IF(H764&lt;&gt;"",1,0))))))</f>
        <v/>
      </c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14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>
        <f>IF(AND(C765="",OR(E765="",E765=0)),"",(IF(E765=1,30,IF(E765=2,20,IF(E765=3,10,IF(E765&lt;&gt;"",1,0))))+IF(F765=1,30,IF(F765=2,20,IF(F765=3,10,IF(F765&lt;&gt;"",1,0))))+IF(G765=1,30,IF(G765=2,20,IF(G765=3,10,IF(G765&lt;&gt;"",1,0))))+IF(H765=1,30,IF(H765=2,20,IF(H765=3,10,IF(H765&lt;&gt;"",1,0))))))</f>
        <v/>
      </c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14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>
        <f>IF(AND(C766="",OR(E766="",E766=0)),"",(IF(E766=1,30,IF(E766=2,20,IF(E766=3,10,IF(E766&lt;&gt;"",1,0))))+IF(F766=1,30,IF(F766=2,20,IF(F766=3,10,IF(F766&lt;&gt;"",1,0))))+IF(G766=1,30,IF(G766=2,20,IF(G766=3,10,IF(G766&lt;&gt;"",1,0))))+IF(H766=1,30,IF(H766=2,20,IF(H766=3,10,IF(H766&lt;&gt;"",1,0))))))</f>
        <v/>
      </c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14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>
        <f>IF(AND(C767="",OR(E767="",E767=0)),"",(IF(E767=1,30,IF(E767=2,20,IF(E767=3,10,IF(E767&lt;&gt;"",1,0))))+IF(F767=1,30,IF(F767=2,20,IF(F767=3,10,IF(F767&lt;&gt;"",1,0))))+IF(G767=1,30,IF(G767=2,20,IF(G767=3,10,IF(G767&lt;&gt;"",1,0))))+IF(H767=1,30,IF(H767=2,20,IF(H767=3,10,IF(H767&lt;&gt;"",1,0))))))</f>
        <v/>
      </c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14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>
        <f>IF(AND(C768="",OR(E768="",E768=0)),"",(IF(E768=1,30,IF(E768=2,20,IF(E768=3,10,IF(E768&lt;&gt;"",1,0))))+IF(F768=1,30,IF(F768=2,20,IF(F768=3,10,IF(F768&lt;&gt;"",1,0))))+IF(G768=1,30,IF(G768=2,20,IF(G768=3,10,IF(G768&lt;&gt;"",1,0))))+IF(H768=1,30,IF(H768=2,20,IF(H768=3,10,IF(H768&lt;&gt;"",1,0))))))</f>
        <v/>
      </c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14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>
        <f>IF(AND(C769="",OR(E769="",E769=0)),"",(IF(E769=1,30,IF(E769=2,20,IF(E769=3,10,IF(E769&lt;&gt;"",1,0))))+IF(F769=1,30,IF(F769=2,20,IF(F769=3,10,IF(F769&lt;&gt;"",1,0))))+IF(G769=1,30,IF(G769=2,20,IF(G769=3,10,IF(G769&lt;&gt;"",1,0))))+IF(H769=1,30,IF(H769=2,20,IF(H769=3,10,IF(H769&lt;&gt;"",1,0))))))</f>
        <v/>
      </c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14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>
        <f>IF(AND(C770="",OR(E770="",E770=0)),"",(IF(E770=1,30,IF(E770=2,20,IF(E770=3,10,IF(E770&lt;&gt;"",1,0))))+IF(F770=1,30,IF(F770=2,20,IF(F770=3,10,IF(F770&lt;&gt;"",1,0))))+IF(G770=1,30,IF(G770=2,20,IF(G770=3,10,IF(G770&lt;&gt;"",1,0))))+IF(H770=1,30,IF(H770=2,20,IF(H770=3,10,IF(H770&lt;&gt;"",1,0))))))</f>
        <v/>
      </c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14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>
        <f>IF(AND(C771="",OR(E771="",E771=0)),"",(IF(E771=1,30,IF(E771=2,20,IF(E771=3,10,IF(E771&lt;&gt;"",1,0))))+IF(F771=1,30,IF(F771=2,20,IF(F771=3,10,IF(F771&lt;&gt;"",1,0))))+IF(G771=1,30,IF(G771=2,20,IF(G771=3,10,IF(G771&lt;&gt;"",1,0))))+IF(H771=1,30,IF(H771=2,20,IF(H771=3,10,IF(H771&lt;&gt;"",1,0))))))</f>
        <v/>
      </c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14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>
        <f>IF(AND(C772="",OR(E772="",E772=0)),"",(IF(E772=1,30,IF(E772=2,20,IF(E772=3,10,IF(E772&lt;&gt;"",1,0))))+IF(F772=1,30,IF(F772=2,20,IF(F772=3,10,IF(F772&lt;&gt;"",1,0))))+IF(G772=1,30,IF(G772=2,20,IF(G772=3,10,IF(G772&lt;&gt;"",1,0))))+IF(H772=1,30,IF(H772=2,20,IF(H772=3,10,IF(H772&lt;&gt;"",1,0))))))</f>
        <v/>
      </c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14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>
        <f>IF(AND(C773="",OR(E773="",E773=0)),"",(IF(E773=1,30,IF(E773=2,20,IF(E773=3,10,IF(E773&lt;&gt;"",1,0))))+IF(F773=1,30,IF(F773=2,20,IF(F773=3,10,IF(F773&lt;&gt;"",1,0))))+IF(G773=1,30,IF(G773=2,20,IF(G773=3,10,IF(G773&lt;&gt;"",1,0))))+IF(H773=1,30,IF(H773=2,20,IF(H773=3,10,IF(H773&lt;&gt;"",1,0))))))</f>
        <v/>
      </c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14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>
        <f>IF(AND(C774="",OR(E774="",E774=0)),"",(IF(E774=1,30,IF(E774=2,20,IF(E774=3,10,IF(E774&lt;&gt;"",1,0))))+IF(F774=1,30,IF(F774=2,20,IF(F774=3,10,IF(F774&lt;&gt;"",1,0))))+IF(G774=1,30,IF(G774=2,20,IF(G774=3,10,IF(G774&lt;&gt;"",1,0))))+IF(H774=1,30,IF(H774=2,20,IF(H774=3,10,IF(H774&lt;&gt;"",1,0))))))</f>
        <v/>
      </c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14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>
        <f>IF(AND(C775="",OR(E775="",E775=0)),"",(IF(E775=1,30,IF(E775=2,20,IF(E775=3,10,IF(E775&lt;&gt;"",1,0))))+IF(F775=1,30,IF(F775=2,20,IF(F775=3,10,IF(F775&lt;&gt;"",1,0))))+IF(G775=1,30,IF(G775=2,20,IF(G775=3,10,IF(G775&lt;&gt;"",1,0))))+IF(H775=1,30,IF(H775=2,20,IF(H775=3,10,IF(H775&lt;&gt;"",1,0))))))</f>
        <v/>
      </c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14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>
        <f>IF(AND(C776="",OR(E776="",E776=0)),"",(IF(E776=1,30,IF(E776=2,20,IF(E776=3,10,IF(E776&lt;&gt;"",1,0))))+IF(F776=1,30,IF(F776=2,20,IF(F776=3,10,IF(F776&lt;&gt;"",1,0))))+IF(G776=1,30,IF(G776=2,20,IF(G776=3,10,IF(G776&lt;&gt;"",1,0))))+IF(H776=1,30,IF(H776=2,20,IF(H776=3,10,IF(H776&lt;&gt;"",1,0))))))</f>
        <v/>
      </c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14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>
        <f>IF(AND(C777="",OR(E777="",E777=0)),"",(IF(E777=1,30,IF(E777=2,20,IF(E777=3,10,IF(E777&lt;&gt;"",1,0))))+IF(F777=1,30,IF(F777=2,20,IF(F777=3,10,IF(F777&lt;&gt;"",1,0))))+IF(G777=1,30,IF(G777=2,20,IF(G777=3,10,IF(G777&lt;&gt;"",1,0))))+IF(H777=1,30,IF(H777=2,20,IF(H777=3,10,IF(H777&lt;&gt;"",1,0))))))</f>
        <v/>
      </c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14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>
        <f>IF(AND(C778="",OR(E778="",E778=0)),"",(IF(E778=1,30,IF(E778=2,20,IF(E778=3,10,IF(E778&lt;&gt;"",1,0))))+IF(F778=1,30,IF(F778=2,20,IF(F778=3,10,IF(F778&lt;&gt;"",1,0))))+IF(G778=1,30,IF(G778=2,20,IF(G778=3,10,IF(G778&lt;&gt;"",1,0))))+IF(H778=1,30,IF(H778=2,20,IF(H778=3,10,IF(H778&lt;&gt;"",1,0))))))</f>
        <v/>
      </c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14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>
        <f>IF(AND(C779="",OR(E779="",E779=0)),"",(IF(E779=1,30,IF(E779=2,20,IF(E779=3,10,IF(E779&lt;&gt;"",1,0))))+IF(F779=1,30,IF(F779=2,20,IF(F779=3,10,IF(F779&lt;&gt;"",1,0))))+IF(G779=1,30,IF(G779=2,20,IF(G779=3,10,IF(G779&lt;&gt;"",1,0))))+IF(H779=1,30,IF(H779=2,20,IF(H779=3,10,IF(H779&lt;&gt;"",1,0))))))</f>
        <v/>
      </c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14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>
        <f>IF(AND(C780="",OR(E780="",E780=0)),"",(IF(E780=1,30,IF(E780=2,20,IF(E780=3,10,IF(E780&lt;&gt;"",1,0))))+IF(F780=1,30,IF(F780=2,20,IF(F780=3,10,IF(F780&lt;&gt;"",1,0))))+IF(G780=1,30,IF(G780=2,20,IF(G780=3,10,IF(G780&lt;&gt;"",1,0))))+IF(H780=1,30,IF(H780=2,20,IF(H780=3,10,IF(H780&lt;&gt;"",1,0))))))</f>
        <v/>
      </c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14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>
        <f>IF(AND(C781="",OR(E781="",E781=0)),"",(IF(E781=1,30,IF(E781=2,20,IF(E781=3,10,IF(E781&lt;&gt;"",1,0))))+IF(F781=1,30,IF(F781=2,20,IF(F781=3,10,IF(F781&lt;&gt;"",1,0))))+IF(G781=1,30,IF(G781=2,20,IF(G781=3,10,IF(G781&lt;&gt;"",1,0))))+IF(H781=1,30,IF(H781=2,20,IF(H781=3,10,IF(H781&lt;&gt;"",1,0))))))</f>
        <v/>
      </c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14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>
        <f>IF(AND(C782="",OR(E782="",E782=0)),"",(IF(E782=1,30,IF(E782=2,20,IF(E782=3,10,IF(E782&lt;&gt;"",1,0))))+IF(F782=1,30,IF(F782=2,20,IF(F782=3,10,IF(F782&lt;&gt;"",1,0))))+IF(G782=1,30,IF(G782=2,20,IF(G782=3,10,IF(G782&lt;&gt;"",1,0))))+IF(H782=1,30,IF(H782=2,20,IF(H782=3,10,IF(H782&lt;&gt;"",1,0))))))</f>
        <v/>
      </c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14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>
        <f>IF(AND(C783="",OR(E783="",E783=0)),"",(IF(E783=1,30,IF(E783=2,20,IF(E783=3,10,IF(E783&lt;&gt;"",1,0))))+IF(F783=1,30,IF(F783=2,20,IF(F783=3,10,IF(F783&lt;&gt;"",1,0))))+IF(G783=1,30,IF(G783=2,20,IF(G783=3,10,IF(G783&lt;&gt;"",1,0))))+IF(H783=1,30,IF(H783=2,20,IF(H783=3,10,IF(H783&lt;&gt;"",1,0))))))</f>
        <v/>
      </c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14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>
        <f>IF(AND(C784="",OR(E784="",E784=0)),"",(IF(E784=1,30,IF(E784=2,20,IF(E784=3,10,IF(E784&lt;&gt;"",1,0))))+IF(F784=1,30,IF(F784=2,20,IF(F784=3,10,IF(F784&lt;&gt;"",1,0))))+IF(G784=1,30,IF(G784=2,20,IF(G784=3,10,IF(G784&lt;&gt;"",1,0))))+IF(H784=1,30,IF(H784=2,20,IF(H784=3,10,IF(H784&lt;&gt;"",1,0))))))</f>
        <v/>
      </c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14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>
        <f>IF(AND(C785="",OR(E785="",E785=0)),"",(IF(E785=1,30,IF(E785=2,20,IF(E785=3,10,IF(E785&lt;&gt;"",1,0))))+IF(F785=1,30,IF(F785=2,20,IF(F785=3,10,IF(F785&lt;&gt;"",1,0))))+IF(G785=1,30,IF(G785=2,20,IF(G785=3,10,IF(G785&lt;&gt;"",1,0))))+IF(H785=1,30,IF(H785=2,20,IF(H785=3,10,IF(H785&lt;&gt;"",1,0))))))</f>
        <v/>
      </c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14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>
        <f>IF(AND(C786="",OR(E786="",E786=0)),"",(IF(E786=1,30,IF(E786=2,20,IF(E786=3,10,IF(E786&lt;&gt;"",1,0))))+IF(F786=1,30,IF(F786=2,20,IF(F786=3,10,IF(F786&lt;&gt;"",1,0))))+IF(G786=1,30,IF(G786=2,20,IF(G786=3,10,IF(G786&lt;&gt;"",1,0))))+IF(H786=1,30,IF(H786=2,20,IF(H786=3,10,IF(H786&lt;&gt;"",1,0))))))</f>
        <v/>
      </c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14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>
        <f>IF(AND(C787="",OR(E787="",E787=0)),"",(IF(E787=1,30,IF(E787=2,20,IF(E787=3,10,IF(E787&lt;&gt;"",1,0))))+IF(F787=1,30,IF(F787=2,20,IF(F787=3,10,IF(F787&lt;&gt;"",1,0))))+IF(G787=1,30,IF(G787=2,20,IF(G787=3,10,IF(G787&lt;&gt;"",1,0))))+IF(H787=1,30,IF(H787=2,20,IF(H787=3,10,IF(H787&lt;&gt;"",1,0))))))</f>
        <v/>
      </c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14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>
        <f>IF(AND(C788="",OR(E788="",E788=0)),"",(IF(E788=1,30,IF(E788=2,20,IF(E788=3,10,IF(E788&lt;&gt;"",1,0))))+IF(F788=1,30,IF(F788=2,20,IF(F788=3,10,IF(F788&lt;&gt;"",1,0))))+IF(G788=1,30,IF(G788=2,20,IF(G788=3,10,IF(G788&lt;&gt;"",1,0))))+IF(H788=1,30,IF(H788=2,20,IF(H788=3,10,IF(H788&lt;&gt;"",1,0))))))</f>
        <v/>
      </c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14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>
        <f>IF(AND(C789="",OR(E789="",E789=0)),"",(IF(E789=1,30,IF(E789=2,20,IF(E789=3,10,IF(E789&lt;&gt;"",1,0))))+IF(F789=1,30,IF(F789=2,20,IF(F789=3,10,IF(F789&lt;&gt;"",1,0))))+IF(G789=1,30,IF(G789=2,20,IF(G789=3,10,IF(G789&lt;&gt;"",1,0))))+IF(H789=1,30,IF(H789=2,20,IF(H789=3,10,IF(H789&lt;&gt;"",1,0))))))</f>
        <v/>
      </c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14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>
        <f>IF(AND(C790="",OR(E790="",E790=0)),"",(IF(E790=1,30,IF(E790=2,20,IF(E790=3,10,IF(E790&lt;&gt;"",1,0))))+IF(F790=1,30,IF(F790=2,20,IF(F790=3,10,IF(F790&lt;&gt;"",1,0))))+IF(G790=1,30,IF(G790=2,20,IF(G790=3,10,IF(G790&lt;&gt;"",1,0))))+IF(H790=1,30,IF(H790=2,20,IF(H790=3,10,IF(H790&lt;&gt;"",1,0))))))</f>
        <v/>
      </c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14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>
        <f>IF(AND(C791="",OR(E791="",E791=0)),"",(IF(E791=1,30,IF(E791=2,20,IF(E791=3,10,IF(E791&lt;&gt;"",1,0))))+IF(F791=1,30,IF(F791=2,20,IF(F791=3,10,IF(F791&lt;&gt;"",1,0))))+IF(G791=1,30,IF(G791=2,20,IF(G791=3,10,IF(G791&lt;&gt;"",1,0))))+IF(H791=1,30,IF(H791=2,20,IF(H791=3,10,IF(H791&lt;&gt;"",1,0))))))</f>
        <v/>
      </c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14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>
        <f>IF(AND(C792="",OR(E792="",E792=0)),"",(IF(E792=1,30,IF(E792=2,20,IF(E792=3,10,IF(E792&lt;&gt;"",1,0))))+IF(F792=1,30,IF(F792=2,20,IF(F792=3,10,IF(F792&lt;&gt;"",1,0))))+IF(G792=1,30,IF(G792=2,20,IF(G792=3,10,IF(G792&lt;&gt;"",1,0))))+IF(H792=1,30,IF(H792=2,20,IF(H792=3,10,IF(H792&lt;&gt;"",1,0))))))</f>
        <v/>
      </c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14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>
        <f>IF(AND(C793="",OR(E793="",E793=0)),"",(IF(E793=1,30,IF(E793=2,20,IF(E793=3,10,IF(E793&lt;&gt;"",1,0))))+IF(F793=1,30,IF(F793=2,20,IF(F793=3,10,IF(F793&lt;&gt;"",1,0))))+IF(G793=1,30,IF(G793=2,20,IF(G793=3,10,IF(G793&lt;&gt;"",1,0))))+IF(H793=1,30,IF(H793=2,20,IF(H793=3,10,IF(H793&lt;&gt;"",1,0))))))</f>
        <v/>
      </c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14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>
        <f>IF(AND(C794="",OR(E794="",E794=0)),"",(IF(E794=1,30,IF(E794=2,20,IF(E794=3,10,IF(E794&lt;&gt;"",1,0))))+IF(F794=1,30,IF(F794=2,20,IF(F794=3,10,IF(F794&lt;&gt;"",1,0))))+IF(G794=1,30,IF(G794=2,20,IF(G794=3,10,IF(G794&lt;&gt;"",1,0))))+IF(H794=1,30,IF(H794=2,20,IF(H794=3,10,IF(H794&lt;&gt;"",1,0))))))</f>
        <v/>
      </c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14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>
        <f>IF(AND(C795="",OR(E795="",E795=0)),"",(IF(E795=1,30,IF(E795=2,20,IF(E795=3,10,IF(E795&lt;&gt;"",1,0))))+IF(F795=1,30,IF(F795=2,20,IF(F795=3,10,IF(F795&lt;&gt;"",1,0))))+IF(G795=1,30,IF(G795=2,20,IF(G795=3,10,IF(G795&lt;&gt;"",1,0))))+IF(H795=1,30,IF(H795=2,20,IF(H795=3,10,IF(H795&lt;&gt;"",1,0))))))</f>
        <v/>
      </c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14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>
        <f>IF(AND(C796="",OR(E796="",E796=0)),"",(IF(E796=1,30,IF(E796=2,20,IF(E796=3,10,IF(E796&lt;&gt;"",1,0))))+IF(F796=1,30,IF(F796=2,20,IF(F796=3,10,IF(F796&lt;&gt;"",1,0))))+IF(G796=1,30,IF(G796=2,20,IF(G796=3,10,IF(G796&lt;&gt;"",1,0))))+IF(H796=1,30,IF(H796=2,20,IF(H796=3,10,IF(H796&lt;&gt;"",1,0))))))</f>
        <v/>
      </c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14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>
        <f>IF(AND(C797="",OR(E797="",E797=0)),"",(IF(E797=1,30,IF(E797=2,20,IF(E797=3,10,IF(E797&lt;&gt;"",1,0))))+IF(F797=1,30,IF(F797=2,20,IF(F797=3,10,IF(F797&lt;&gt;"",1,0))))+IF(G797=1,30,IF(G797=2,20,IF(G797=3,10,IF(G797&lt;&gt;"",1,0))))+IF(H797=1,30,IF(H797=2,20,IF(H797=3,10,IF(H797&lt;&gt;"",1,0))))))</f>
        <v/>
      </c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14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>
        <f>IF(AND(C798="",OR(E798="",E798=0)),"",(IF(E798=1,30,IF(E798=2,20,IF(E798=3,10,IF(E798&lt;&gt;"",1,0))))+IF(F798=1,30,IF(F798=2,20,IF(F798=3,10,IF(F798&lt;&gt;"",1,0))))+IF(G798=1,30,IF(G798=2,20,IF(G798=3,10,IF(G798&lt;&gt;"",1,0))))+IF(H798=1,30,IF(H798=2,20,IF(H798=3,10,IF(H798&lt;&gt;"",1,0))))))</f>
        <v/>
      </c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14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>
        <f>IF(AND(C799="",OR(E799="",E799=0)),"",(IF(E799=1,30,IF(E799=2,20,IF(E799=3,10,IF(E799&lt;&gt;"",1,0))))+IF(F799=1,30,IF(F799=2,20,IF(F799=3,10,IF(F799&lt;&gt;"",1,0))))+IF(G799=1,30,IF(G799=2,20,IF(G799=3,10,IF(G799&lt;&gt;"",1,0))))+IF(H799=1,30,IF(H799=2,20,IF(H799=3,10,IF(H799&lt;&gt;"",1,0))))))</f>
        <v/>
      </c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14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>
        <f>IF(AND(C800="",OR(E800="",E800=0)),"",(IF(E800=1,30,IF(E800=2,20,IF(E800=3,10,IF(E800&lt;&gt;"",1,0))))+IF(F800=1,30,IF(F800=2,20,IF(F800=3,10,IF(F800&lt;&gt;"",1,0))))+IF(G800=1,30,IF(G800=2,20,IF(G800=3,10,IF(G800&lt;&gt;"",1,0))))+IF(H800=1,30,IF(H800=2,20,IF(H800=3,10,IF(H800&lt;&gt;"",1,0))))))</f>
        <v/>
      </c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14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>
        <f>IF(AND(C801="",OR(E801="",E801=0)),"",(IF(E801=1,30,IF(E801=2,20,IF(E801=3,10,IF(E801&lt;&gt;"",1,0))))+IF(F801=1,30,IF(F801=2,20,IF(F801=3,10,IF(F801&lt;&gt;"",1,0))))+IF(G801=1,30,IF(G801=2,20,IF(G801=3,10,IF(G801&lt;&gt;"",1,0))))+IF(H801=1,30,IF(H801=2,20,IF(H801=3,10,IF(H801&lt;&gt;"",1,0))))))</f>
        <v/>
      </c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14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>
        <f>IF(AND(C802="",OR(E802="",E802=0)),"",(IF(E802=1,30,IF(E802=2,20,IF(E802=3,10,IF(E802&lt;&gt;"",1,0))))+IF(F802=1,30,IF(F802=2,20,IF(F802=3,10,IF(F802&lt;&gt;"",1,0))))+IF(G802=1,30,IF(G802=2,20,IF(G802=3,10,IF(G802&lt;&gt;"",1,0))))+IF(H802=1,30,IF(H802=2,20,IF(H802=3,10,IF(H802&lt;&gt;"",1,0))))))</f>
        <v/>
      </c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14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>
        <f>IF(AND(C803="",OR(E803="",E803=0)),"",(IF(E803=1,30,IF(E803=2,20,IF(E803=3,10,IF(E803&lt;&gt;"",1,0))))+IF(F803=1,30,IF(F803=2,20,IF(F803=3,10,IF(F803&lt;&gt;"",1,0))))+IF(G803=1,30,IF(G803=2,20,IF(G803=3,10,IF(G803&lt;&gt;"",1,0))))+IF(H803=1,30,IF(H803=2,20,IF(H803=3,10,IF(H803&lt;&gt;"",1,0))))))</f>
        <v/>
      </c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14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>
        <f>IF(AND(C804="",OR(E804="",E804=0)),"",(IF(E804=1,30,IF(E804=2,20,IF(E804=3,10,IF(E804&lt;&gt;"",1,0))))+IF(F804=1,30,IF(F804=2,20,IF(F804=3,10,IF(F804&lt;&gt;"",1,0))))+IF(G804=1,30,IF(G804=2,20,IF(G804=3,10,IF(G804&lt;&gt;"",1,0))))+IF(H804=1,30,IF(H804=2,20,IF(H804=3,10,IF(H804&lt;&gt;"",1,0))))))</f>
        <v/>
      </c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14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>
        <f>IF(AND(C805="",OR(E805="",E805=0)),"",(IF(E805=1,30,IF(E805=2,20,IF(E805=3,10,IF(E805&lt;&gt;"",1,0))))+IF(F805=1,30,IF(F805=2,20,IF(F805=3,10,IF(F805&lt;&gt;"",1,0))))+IF(G805=1,30,IF(G805=2,20,IF(G805=3,10,IF(G805&lt;&gt;"",1,0))))+IF(H805=1,30,IF(H805=2,20,IF(H805=3,10,IF(H805&lt;&gt;"",1,0))))))</f>
        <v/>
      </c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14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>
        <f>IF(AND(C806="",OR(E806="",E806=0)),"",(IF(E806=1,30,IF(E806=2,20,IF(E806=3,10,IF(E806&lt;&gt;"",1,0))))+IF(F806=1,30,IF(F806=2,20,IF(F806=3,10,IF(F806&lt;&gt;"",1,0))))+IF(G806=1,30,IF(G806=2,20,IF(G806=3,10,IF(G806&lt;&gt;"",1,0))))+IF(H806=1,30,IF(H806=2,20,IF(H806=3,10,IF(H806&lt;&gt;"",1,0))))))</f>
        <v/>
      </c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14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>
        <f>IF(AND(C807="",OR(E807="",E807=0)),"",(IF(E807=1,30,IF(E807=2,20,IF(E807=3,10,IF(E807&lt;&gt;"",1,0))))+IF(F807=1,30,IF(F807=2,20,IF(F807=3,10,IF(F807&lt;&gt;"",1,0))))+IF(G807=1,30,IF(G807=2,20,IF(G807=3,10,IF(G807&lt;&gt;"",1,0))))+IF(H807=1,30,IF(H807=2,20,IF(H807=3,10,IF(H807&lt;&gt;"",1,0))))))</f>
        <v/>
      </c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14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>
        <f>IF(AND(C808="",OR(E808="",E808=0)),"",(IF(E808=1,30,IF(E808=2,20,IF(E808=3,10,IF(E808&lt;&gt;"",1,0))))+IF(F808=1,30,IF(F808=2,20,IF(F808=3,10,IF(F808&lt;&gt;"",1,0))))+IF(G808=1,30,IF(G808=2,20,IF(G808=3,10,IF(G808&lt;&gt;"",1,0))))+IF(H808=1,30,IF(H808=2,20,IF(H808=3,10,IF(H808&lt;&gt;"",1,0))))))</f>
        <v/>
      </c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14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>
        <f>IF(AND(C809="",OR(E809="",E809=0)),"",(IF(E809=1,30,IF(E809=2,20,IF(E809=3,10,IF(E809&lt;&gt;"",1,0))))+IF(F809=1,30,IF(F809=2,20,IF(F809=3,10,IF(F809&lt;&gt;"",1,0))))+IF(G809=1,30,IF(G809=2,20,IF(G809=3,10,IF(G809&lt;&gt;"",1,0))))+IF(H809=1,30,IF(H809=2,20,IF(H809=3,10,IF(H809&lt;&gt;"",1,0))))))</f>
        <v/>
      </c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14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>
        <f>IF(AND(C810="",OR(E810="",E810=0)),"",(IF(E810=1,30,IF(E810=2,20,IF(E810=3,10,IF(E810&lt;&gt;"",1,0))))+IF(F810=1,30,IF(F810=2,20,IF(F810=3,10,IF(F810&lt;&gt;"",1,0))))+IF(G810=1,30,IF(G810=2,20,IF(G810=3,10,IF(G810&lt;&gt;"",1,0))))+IF(H810=1,30,IF(H810=2,20,IF(H810=3,10,IF(H810&lt;&gt;"",1,0))))))</f>
        <v/>
      </c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14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>
        <f>IF(AND(C811="",OR(E811="",E811=0)),"",(IF(E811=1,30,IF(E811=2,20,IF(E811=3,10,IF(E811&lt;&gt;"",1,0))))+IF(F811=1,30,IF(F811=2,20,IF(F811=3,10,IF(F811&lt;&gt;"",1,0))))+IF(G811=1,30,IF(G811=2,20,IF(G811=3,10,IF(G811&lt;&gt;"",1,0))))+IF(H811=1,30,IF(H811=2,20,IF(H811=3,10,IF(H811&lt;&gt;"",1,0))))))</f>
        <v/>
      </c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14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>
        <f>IF(AND(C812="",OR(E812="",E812=0)),"",(IF(E812=1,30,IF(E812=2,20,IF(E812=3,10,IF(E812&lt;&gt;"",1,0))))+IF(F812=1,30,IF(F812=2,20,IF(F812=3,10,IF(F812&lt;&gt;"",1,0))))+IF(G812=1,30,IF(G812=2,20,IF(G812=3,10,IF(G812&lt;&gt;"",1,0))))+IF(H812=1,30,IF(H812=2,20,IF(H812=3,10,IF(H812&lt;&gt;"",1,0))))))</f>
        <v/>
      </c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14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>
        <f>IF(AND(C813="",OR(E813="",E813=0)),"",(IF(E813=1,30,IF(E813=2,20,IF(E813=3,10,IF(E813&lt;&gt;"",1,0))))+IF(F813=1,30,IF(F813=2,20,IF(F813=3,10,IF(F813&lt;&gt;"",1,0))))+IF(G813=1,30,IF(G813=2,20,IF(G813=3,10,IF(G813&lt;&gt;"",1,0))))+IF(H813=1,30,IF(H813=2,20,IF(H813=3,10,IF(H813&lt;&gt;"",1,0))))))</f>
        <v/>
      </c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14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>
        <f>IF(AND(C814="",OR(E814="",E814=0)),"",(IF(E814=1,30,IF(E814=2,20,IF(E814=3,10,IF(E814&lt;&gt;"",1,0))))+IF(F814=1,30,IF(F814=2,20,IF(F814=3,10,IF(F814&lt;&gt;"",1,0))))+IF(G814=1,30,IF(G814=2,20,IF(G814=3,10,IF(G814&lt;&gt;"",1,0))))+IF(H814=1,30,IF(H814=2,20,IF(H814=3,10,IF(H814&lt;&gt;"",1,0))))))</f>
        <v/>
      </c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14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>
        <f>IF(AND(C815="",OR(E815="",E815=0)),"",(IF(E815=1,30,IF(E815=2,20,IF(E815=3,10,IF(E815&lt;&gt;"",1,0))))+IF(F815=1,30,IF(F815=2,20,IF(F815=3,10,IF(F815&lt;&gt;"",1,0))))+IF(G815=1,30,IF(G815=2,20,IF(G815=3,10,IF(G815&lt;&gt;"",1,0))))+IF(H815=1,30,IF(H815=2,20,IF(H815=3,10,IF(H815&lt;&gt;"",1,0))))))</f>
        <v/>
      </c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14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>
        <f>IF(AND(C816="",OR(E816="",E816=0)),"",(IF(E816=1,30,IF(E816=2,20,IF(E816=3,10,IF(E816&lt;&gt;"",1,0))))+IF(F816=1,30,IF(F816=2,20,IF(F816=3,10,IF(F816&lt;&gt;"",1,0))))+IF(G816=1,30,IF(G816=2,20,IF(G816=3,10,IF(G816&lt;&gt;"",1,0))))+IF(H816=1,30,IF(H816=2,20,IF(H816=3,10,IF(H816&lt;&gt;"",1,0))))))</f>
        <v/>
      </c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14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>
        <f>IF(AND(C817="",OR(E817="",E817=0)),"",(IF(E817=1,30,IF(E817=2,20,IF(E817=3,10,IF(E817&lt;&gt;"",1,0))))+IF(F817=1,30,IF(F817=2,20,IF(F817=3,10,IF(F817&lt;&gt;"",1,0))))+IF(G817=1,30,IF(G817=2,20,IF(G817=3,10,IF(G817&lt;&gt;"",1,0))))+IF(H817=1,30,IF(H817=2,20,IF(H817=3,10,IF(H817&lt;&gt;"",1,0))))))</f>
        <v/>
      </c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14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>
        <f>IF(AND(C818="",OR(E818="",E818=0)),"",(IF(E818=1,30,IF(E818=2,20,IF(E818=3,10,IF(E818&lt;&gt;"",1,0))))+IF(F818=1,30,IF(F818=2,20,IF(F818=3,10,IF(F818&lt;&gt;"",1,0))))+IF(G818=1,30,IF(G818=2,20,IF(G818=3,10,IF(G818&lt;&gt;"",1,0))))+IF(H818=1,30,IF(H818=2,20,IF(H818=3,10,IF(H818&lt;&gt;"",1,0))))))</f>
        <v/>
      </c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14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>
        <f>IF(AND(C819="",OR(E819="",E819=0)),"",(IF(E819=1,30,IF(E819=2,20,IF(E819=3,10,IF(E819&lt;&gt;"",1,0))))+IF(F819=1,30,IF(F819=2,20,IF(F819=3,10,IF(F819&lt;&gt;"",1,0))))+IF(G819=1,30,IF(G819=2,20,IF(G819=3,10,IF(G819&lt;&gt;"",1,0))))+IF(H819=1,30,IF(H819=2,20,IF(H819=3,10,IF(H819&lt;&gt;"",1,0))))))</f>
        <v/>
      </c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14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>
        <f>IF(AND(C820="",OR(E820="",E820=0)),"",(IF(E820=1,30,IF(E820=2,20,IF(E820=3,10,IF(E820&lt;&gt;"",1,0))))+IF(F820=1,30,IF(F820=2,20,IF(F820=3,10,IF(F820&lt;&gt;"",1,0))))+IF(G820=1,30,IF(G820=2,20,IF(G820=3,10,IF(G820&lt;&gt;"",1,0))))+IF(H820=1,30,IF(H820=2,20,IF(H820=3,10,IF(H820&lt;&gt;"",1,0))))))</f>
        <v/>
      </c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14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>
        <f>IF(AND(C821="",OR(E821="",E821=0)),"",(IF(E821=1,30,IF(E821=2,20,IF(E821=3,10,IF(E821&lt;&gt;"",1,0))))+IF(F821=1,30,IF(F821=2,20,IF(F821=3,10,IF(F821&lt;&gt;"",1,0))))+IF(G821=1,30,IF(G821=2,20,IF(G821=3,10,IF(G821&lt;&gt;"",1,0))))+IF(H821=1,30,IF(H821=2,20,IF(H821=3,10,IF(H821&lt;&gt;"",1,0))))))</f>
        <v/>
      </c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14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>
        <f>IF(AND(C822="",OR(E822="",E822=0)),"",(IF(E822=1,30,IF(E822=2,20,IF(E822=3,10,IF(E822&lt;&gt;"",1,0))))+IF(F822=1,30,IF(F822=2,20,IF(F822=3,10,IF(F822&lt;&gt;"",1,0))))+IF(G822=1,30,IF(G822=2,20,IF(G822=3,10,IF(G822&lt;&gt;"",1,0))))+IF(H822=1,30,IF(H822=2,20,IF(H822=3,10,IF(H822&lt;&gt;"",1,0))))))</f>
        <v/>
      </c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14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>
        <f>IF(AND(C823="",OR(E823="",E823=0)),"",(IF(E823=1,30,IF(E823=2,20,IF(E823=3,10,IF(E823&lt;&gt;"",1,0))))+IF(F823=1,30,IF(F823=2,20,IF(F823=3,10,IF(F823&lt;&gt;"",1,0))))+IF(G823=1,30,IF(G823=2,20,IF(G823=3,10,IF(G823&lt;&gt;"",1,0))))+IF(H823=1,30,IF(H823=2,20,IF(H823=3,10,IF(H823&lt;&gt;"",1,0))))))</f>
        <v/>
      </c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14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>
        <f>IF(AND(C824="",OR(E824="",E824=0)),"",(IF(E824=1,30,IF(E824=2,20,IF(E824=3,10,IF(E824&lt;&gt;"",1,0))))+IF(F824=1,30,IF(F824=2,20,IF(F824=3,10,IF(F824&lt;&gt;"",1,0))))+IF(G824=1,30,IF(G824=2,20,IF(G824=3,10,IF(G824&lt;&gt;"",1,0))))+IF(H824=1,30,IF(H824=2,20,IF(H824=3,10,IF(H824&lt;&gt;"",1,0))))))</f>
        <v/>
      </c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14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>
        <f>IF(AND(C825="",OR(E825="",E825=0)),"",(IF(E825=1,30,IF(E825=2,20,IF(E825=3,10,IF(E825&lt;&gt;"",1,0))))+IF(F825=1,30,IF(F825=2,20,IF(F825=3,10,IF(F825&lt;&gt;"",1,0))))+IF(G825=1,30,IF(G825=2,20,IF(G825=3,10,IF(G825&lt;&gt;"",1,0))))+IF(H825=1,30,IF(H825=2,20,IF(H825=3,10,IF(H825&lt;&gt;"",1,0))))))</f>
        <v/>
      </c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14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>
        <f>IF(AND(C826="",OR(E826="",E826=0)),"",(IF(E826=1,30,IF(E826=2,20,IF(E826=3,10,IF(E826&lt;&gt;"",1,0))))+IF(F826=1,30,IF(F826=2,20,IF(F826=3,10,IF(F826&lt;&gt;"",1,0))))+IF(G826=1,30,IF(G826=2,20,IF(G826=3,10,IF(G826&lt;&gt;"",1,0))))+IF(H826=1,30,IF(H826=2,20,IF(H826=3,10,IF(H826&lt;&gt;"",1,0))))))</f>
        <v/>
      </c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14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>
        <f>IF(AND(C827="",OR(E827="",E827=0)),"",(IF(E827=1,30,IF(E827=2,20,IF(E827=3,10,IF(E827&lt;&gt;"",1,0))))+IF(F827=1,30,IF(F827=2,20,IF(F827=3,10,IF(F827&lt;&gt;"",1,0))))+IF(G827=1,30,IF(G827=2,20,IF(G827=3,10,IF(G827&lt;&gt;"",1,0))))+IF(H827=1,30,IF(H827=2,20,IF(H827=3,10,IF(H827&lt;&gt;"",1,0))))))</f>
        <v/>
      </c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14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>
        <f>IF(AND(C828="",OR(E828="",E828=0)),"",(IF(E828=1,30,IF(E828=2,20,IF(E828=3,10,IF(E828&lt;&gt;"",1,0))))+IF(F828=1,30,IF(F828=2,20,IF(F828=3,10,IF(F828&lt;&gt;"",1,0))))+IF(G828=1,30,IF(G828=2,20,IF(G828=3,10,IF(G828&lt;&gt;"",1,0))))+IF(H828=1,30,IF(H828=2,20,IF(H828=3,10,IF(H828&lt;&gt;"",1,0))))))</f>
        <v/>
      </c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14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>
        <f>IF(AND(C829="",OR(E829="",E829=0)),"",(IF(E829=1,30,IF(E829=2,20,IF(E829=3,10,IF(E829&lt;&gt;"",1,0))))+IF(F829=1,30,IF(F829=2,20,IF(F829=3,10,IF(F829&lt;&gt;"",1,0))))+IF(G829=1,30,IF(G829=2,20,IF(G829=3,10,IF(G829&lt;&gt;"",1,0))))+IF(H829=1,30,IF(H829=2,20,IF(H829=3,10,IF(H829&lt;&gt;"",1,0))))))</f>
        <v/>
      </c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14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>
        <f>IF(AND(C830="",OR(E830="",E830=0)),"",(IF(E830=1,30,IF(E830=2,20,IF(E830=3,10,IF(E830&lt;&gt;"",1,0))))+IF(F830=1,30,IF(F830=2,20,IF(F830=3,10,IF(F830&lt;&gt;"",1,0))))+IF(G830=1,30,IF(G830=2,20,IF(G830=3,10,IF(G830&lt;&gt;"",1,0))))+IF(H830=1,30,IF(H830=2,20,IF(H830=3,10,IF(H830&lt;&gt;"",1,0))))))</f>
        <v/>
      </c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14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>
        <f>IF(AND(C831="",OR(E831="",E831=0)),"",(IF(E831=1,30,IF(E831=2,20,IF(E831=3,10,IF(E831&lt;&gt;"",1,0))))+IF(F831=1,30,IF(F831=2,20,IF(F831=3,10,IF(F831&lt;&gt;"",1,0))))+IF(G831=1,30,IF(G831=2,20,IF(G831=3,10,IF(G831&lt;&gt;"",1,0))))+IF(H831=1,30,IF(H831=2,20,IF(H831=3,10,IF(H831&lt;&gt;"",1,0))))))</f>
        <v/>
      </c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14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>
        <f>IF(AND(C832="",OR(E832="",E832=0)),"",(IF(E832=1,30,IF(E832=2,20,IF(E832=3,10,IF(E832&lt;&gt;"",1,0))))+IF(F832=1,30,IF(F832=2,20,IF(F832=3,10,IF(F832&lt;&gt;"",1,0))))+IF(G832=1,30,IF(G832=2,20,IF(G832=3,10,IF(G832&lt;&gt;"",1,0))))+IF(H832=1,30,IF(H832=2,20,IF(H832=3,10,IF(H832&lt;&gt;"",1,0))))))</f>
        <v/>
      </c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14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>
        <f>IF(AND(C833="",OR(E833="",E833=0)),"",(IF(E833=1,30,IF(E833=2,20,IF(E833=3,10,IF(E833&lt;&gt;"",1,0))))+IF(F833=1,30,IF(F833=2,20,IF(F833=3,10,IF(F833&lt;&gt;"",1,0))))+IF(G833=1,30,IF(G833=2,20,IF(G833=3,10,IF(G833&lt;&gt;"",1,0))))+IF(H833=1,30,IF(H833=2,20,IF(H833=3,10,IF(H833&lt;&gt;"",1,0))))))</f>
        <v/>
      </c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14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>
        <f>IF(AND(C834="",OR(E834="",E834=0)),"",(IF(E834=1,30,IF(E834=2,20,IF(E834=3,10,IF(E834&lt;&gt;"",1,0))))+IF(F834=1,30,IF(F834=2,20,IF(F834=3,10,IF(F834&lt;&gt;"",1,0))))+IF(G834=1,30,IF(G834=2,20,IF(G834=3,10,IF(G834&lt;&gt;"",1,0))))+IF(H834=1,30,IF(H834=2,20,IF(H834=3,10,IF(H834&lt;&gt;"",1,0))))))</f>
        <v/>
      </c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14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>
        <f>IF(AND(C835="",OR(E835="",E835=0)),"",(IF(E835=1,30,IF(E835=2,20,IF(E835=3,10,IF(E835&lt;&gt;"",1,0))))+IF(F835=1,30,IF(F835=2,20,IF(F835=3,10,IF(F835&lt;&gt;"",1,0))))+IF(G835=1,30,IF(G835=2,20,IF(G835=3,10,IF(G835&lt;&gt;"",1,0))))+IF(H835=1,30,IF(H835=2,20,IF(H835=3,10,IF(H835&lt;&gt;"",1,0))))))</f>
        <v/>
      </c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14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>
        <f>IF(AND(C836="",OR(E836="",E836=0)),"",(IF(E836=1,30,IF(E836=2,20,IF(E836=3,10,IF(E836&lt;&gt;"",1,0))))+IF(F836=1,30,IF(F836=2,20,IF(F836=3,10,IF(F836&lt;&gt;"",1,0))))+IF(G836=1,30,IF(G836=2,20,IF(G836=3,10,IF(G836&lt;&gt;"",1,0))))+IF(H836=1,30,IF(H836=2,20,IF(H836=3,10,IF(H836&lt;&gt;"",1,0))))))</f>
        <v/>
      </c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14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>
        <f>IF(AND(C837="",OR(E837="",E837=0)),"",(IF(E837=1,30,IF(E837=2,20,IF(E837=3,10,IF(E837&lt;&gt;"",1,0))))+IF(F837=1,30,IF(F837=2,20,IF(F837=3,10,IF(F837&lt;&gt;"",1,0))))+IF(G837=1,30,IF(G837=2,20,IF(G837=3,10,IF(G837&lt;&gt;"",1,0))))+IF(H837=1,30,IF(H837=2,20,IF(H837=3,10,IF(H837&lt;&gt;"",1,0))))))</f>
        <v/>
      </c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14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>
        <f>IF(AND(C838="",OR(E838="",E838=0)),"",(IF(E838=1,30,IF(E838=2,20,IF(E838=3,10,IF(E838&lt;&gt;"",1,0))))+IF(F838=1,30,IF(F838=2,20,IF(F838=3,10,IF(F838&lt;&gt;"",1,0))))+IF(G838=1,30,IF(G838=2,20,IF(G838=3,10,IF(G838&lt;&gt;"",1,0))))+IF(H838=1,30,IF(H838=2,20,IF(H838=3,10,IF(H838&lt;&gt;"",1,0))))))</f>
        <v/>
      </c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14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>
        <f>IF(AND(C839="",OR(E839="",E839=0)),"",(IF(E839=1,30,IF(E839=2,20,IF(E839=3,10,IF(E839&lt;&gt;"",1,0))))+IF(F839=1,30,IF(F839=2,20,IF(F839=3,10,IF(F839&lt;&gt;"",1,0))))+IF(G839=1,30,IF(G839=2,20,IF(G839=3,10,IF(G839&lt;&gt;"",1,0))))+IF(H839=1,30,IF(H839=2,20,IF(H839=3,10,IF(H839&lt;&gt;"",1,0))))))</f>
        <v/>
      </c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14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>
        <f>IF(AND(C840="",OR(E840="",E840=0)),"",(IF(E840=1,30,IF(E840=2,20,IF(E840=3,10,IF(E840&lt;&gt;"",1,0))))+IF(F840=1,30,IF(F840=2,20,IF(F840=3,10,IF(F840&lt;&gt;"",1,0))))+IF(G840=1,30,IF(G840=2,20,IF(G840=3,10,IF(G840&lt;&gt;"",1,0))))+IF(H840=1,30,IF(H840=2,20,IF(H840=3,10,IF(H840&lt;&gt;"",1,0))))))</f>
        <v/>
      </c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14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>
        <f>IF(AND(C841="",OR(E841="",E841=0)),"",(IF(E841=1,30,IF(E841=2,20,IF(E841=3,10,IF(E841&lt;&gt;"",1,0))))+IF(F841=1,30,IF(F841=2,20,IF(F841=3,10,IF(F841&lt;&gt;"",1,0))))+IF(G841=1,30,IF(G841=2,20,IF(G841=3,10,IF(G841&lt;&gt;"",1,0))))+IF(H841=1,30,IF(H841=2,20,IF(H841=3,10,IF(H841&lt;&gt;"",1,0))))))</f>
        <v/>
      </c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14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>
        <f>IF(AND(C842="",OR(E842="",E842=0)),"",(IF(E842=1,30,IF(E842=2,20,IF(E842=3,10,IF(E842&lt;&gt;"",1,0))))+IF(F842=1,30,IF(F842=2,20,IF(F842=3,10,IF(F842&lt;&gt;"",1,0))))+IF(G842=1,30,IF(G842=2,20,IF(G842=3,10,IF(G842&lt;&gt;"",1,0))))+IF(H842=1,30,IF(H842=2,20,IF(H842=3,10,IF(H842&lt;&gt;"",1,0))))))</f>
        <v/>
      </c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1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>
        <f>IF(AND(C843="",OR(E843="",E843=0)),"",(IF(E843=1,30,IF(E843=2,20,IF(E843=3,10,IF(E843&lt;&gt;"",1,0))))+IF(F843=1,30,IF(F843=2,20,IF(F843=3,10,IF(F843&lt;&gt;"",1,0))))+IF(G843=1,30,IF(G843=2,20,IF(G843=3,10,IF(G843&lt;&gt;"",1,0))))+IF(H843=1,30,IF(H843=2,20,IF(H843=3,10,IF(H843&lt;&gt;"",1,0))))))</f>
        <v/>
      </c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14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>
        <f>IF(AND(C844="",OR(E844="",E844=0)),"",(IF(E844=1,30,IF(E844=2,20,IF(E844=3,10,IF(E844&lt;&gt;"",1,0))))+IF(F844=1,30,IF(F844=2,20,IF(F844=3,10,IF(F844&lt;&gt;"",1,0))))+IF(G844=1,30,IF(G844=2,20,IF(G844=3,10,IF(G844&lt;&gt;"",1,0))))+IF(H844=1,30,IF(H844=2,20,IF(H844=3,10,IF(H844&lt;&gt;"",1,0))))))</f>
        <v/>
      </c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14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>
        <f>IF(AND(C845="",OR(E845="",E845=0)),"",(IF(E845=1,30,IF(E845=2,20,IF(E845=3,10,IF(E845&lt;&gt;"",1,0))))+IF(F845=1,30,IF(F845=2,20,IF(F845=3,10,IF(F845&lt;&gt;"",1,0))))+IF(G845=1,30,IF(G845=2,20,IF(G845=3,10,IF(G845&lt;&gt;"",1,0))))+IF(H845=1,30,IF(H845=2,20,IF(H845=3,10,IF(H845&lt;&gt;"",1,0))))))</f>
        <v/>
      </c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14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>
        <f>IF(AND(C846="",OR(E846="",E846=0)),"",(IF(E846=1,30,IF(E846=2,20,IF(E846=3,10,IF(E846&lt;&gt;"",1,0))))+IF(F846=1,30,IF(F846=2,20,IF(F846=3,10,IF(F846&lt;&gt;"",1,0))))+IF(G846=1,30,IF(G846=2,20,IF(G846=3,10,IF(G846&lt;&gt;"",1,0))))+IF(H846=1,30,IF(H846=2,20,IF(H846=3,10,IF(H846&lt;&gt;"",1,0))))))</f>
        <v/>
      </c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14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>
        <f>IF(AND(C847="",OR(E847="",E847=0)),"",(IF(E847=1,30,IF(E847=2,20,IF(E847=3,10,IF(E847&lt;&gt;"",1,0))))+IF(F847=1,30,IF(F847=2,20,IF(F847=3,10,IF(F847&lt;&gt;"",1,0))))+IF(G847=1,30,IF(G847=2,20,IF(G847=3,10,IF(G847&lt;&gt;"",1,0))))+IF(H847=1,30,IF(H847=2,20,IF(H847=3,10,IF(H847&lt;&gt;"",1,0))))))</f>
        <v/>
      </c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14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>
        <f>IF(AND(C848="",OR(E848="",E848=0)),"",(IF(E848=1,30,IF(E848=2,20,IF(E848=3,10,IF(E848&lt;&gt;"",1,0))))+IF(F848=1,30,IF(F848=2,20,IF(F848=3,10,IF(F848&lt;&gt;"",1,0))))+IF(G848=1,30,IF(G848=2,20,IF(G848=3,10,IF(G848&lt;&gt;"",1,0))))+IF(H848=1,30,IF(H848=2,20,IF(H848=3,10,IF(H848&lt;&gt;"",1,0))))))</f>
        <v/>
      </c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14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>
        <f>IF(AND(C849="",OR(E849="",E849=0)),"",(IF(E849=1,30,IF(E849=2,20,IF(E849=3,10,IF(E849&lt;&gt;"",1,0))))+IF(F849=1,30,IF(F849=2,20,IF(F849=3,10,IF(F849&lt;&gt;"",1,0))))+IF(G849=1,30,IF(G849=2,20,IF(G849=3,10,IF(G849&lt;&gt;"",1,0))))+IF(H849=1,30,IF(H849=2,20,IF(H849=3,10,IF(H849&lt;&gt;"",1,0))))))</f>
        <v/>
      </c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14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>
        <f>IF(AND(C850="",OR(E850="",E850=0)),"",(IF(E850=1,30,IF(E850=2,20,IF(E850=3,10,IF(E850&lt;&gt;"",1,0))))+IF(F850=1,30,IF(F850=2,20,IF(F850=3,10,IF(F850&lt;&gt;"",1,0))))+IF(G850=1,30,IF(G850=2,20,IF(G850=3,10,IF(G850&lt;&gt;"",1,0))))+IF(H850=1,30,IF(H850=2,20,IF(H850=3,10,IF(H850&lt;&gt;"",1,0))))))</f>
        <v/>
      </c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14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>
        <f>IF(AND(C851="",OR(E851="",E851=0)),"",(IF(E851=1,30,IF(E851=2,20,IF(E851=3,10,IF(E851&lt;&gt;"",1,0))))+IF(F851=1,30,IF(F851=2,20,IF(F851=3,10,IF(F851&lt;&gt;"",1,0))))+IF(G851=1,30,IF(G851=2,20,IF(G851=3,10,IF(G851&lt;&gt;"",1,0))))+IF(H851=1,30,IF(H851=2,20,IF(H851=3,10,IF(H851&lt;&gt;"",1,0))))))</f>
        <v/>
      </c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14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>
        <f>IF(AND(C852="",OR(E852="",E852=0)),"",(IF(E852=1,30,IF(E852=2,20,IF(E852=3,10,IF(E852&lt;&gt;"",1,0))))+IF(F852=1,30,IF(F852=2,20,IF(F852=3,10,IF(F852&lt;&gt;"",1,0))))+IF(G852=1,30,IF(G852=2,20,IF(G852=3,10,IF(G852&lt;&gt;"",1,0))))+IF(H852=1,30,IF(H852=2,20,IF(H852=3,10,IF(H852&lt;&gt;"",1,0))))))</f>
        <v/>
      </c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14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>
        <f>IF(AND(C853="",OR(E853="",E853=0)),"",(IF(E853=1,30,IF(E853=2,20,IF(E853=3,10,IF(E853&lt;&gt;"",1,0))))+IF(F853=1,30,IF(F853=2,20,IF(F853=3,10,IF(F853&lt;&gt;"",1,0))))+IF(G853=1,30,IF(G853=2,20,IF(G853=3,10,IF(G853&lt;&gt;"",1,0))))+IF(H853=1,30,IF(H853=2,20,IF(H853=3,10,IF(H853&lt;&gt;"",1,0))))))</f>
        <v/>
      </c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14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>
        <f>IF(AND(C854="",OR(E854="",E854=0)),"",(IF(E854=1,30,IF(E854=2,20,IF(E854=3,10,IF(E854&lt;&gt;"",1,0))))+IF(F854=1,30,IF(F854=2,20,IF(F854=3,10,IF(F854&lt;&gt;"",1,0))))+IF(G854=1,30,IF(G854=2,20,IF(G854=3,10,IF(G854&lt;&gt;"",1,0))))+IF(H854=1,30,IF(H854=2,20,IF(H854=3,10,IF(H854&lt;&gt;"",1,0))))))</f>
        <v/>
      </c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14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>
        <f>IF(AND(C855="",OR(E855="",E855=0)),"",(IF(E855=1,30,IF(E855=2,20,IF(E855=3,10,IF(E855&lt;&gt;"",1,0))))+IF(F855=1,30,IF(F855=2,20,IF(F855=3,10,IF(F855&lt;&gt;"",1,0))))+IF(G855=1,30,IF(G855=2,20,IF(G855=3,10,IF(G855&lt;&gt;"",1,0))))+IF(H855=1,30,IF(H855=2,20,IF(H855=3,10,IF(H855&lt;&gt;"",1,0))))))</f>
        <v/>
      </c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14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>
        <f>IF(AND(C856="",OR(E856="",E856=0)),"",(IF(E856=1,30,IF(E856=2,20,IF(E856=3,10,IF(E856&lt;&gt;"",1,0))))+IF(F856=1,30,IF(F856=2,20,IF(F856=3,10,IF(F856&lt;&gt;"",1,0))))+IF(G856=1,30,IF(G856=2,20,IF(G856=3,10,IF(G856&lt;&gt;"",1,0))))+IF(H856=1,30,IF(H856=2,20,IF(H856=3,10,IF(H856&lt;&gt;"",1,0))))))</f>
        <v/>
      </c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14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>
        <f>IF(AND(C857="",OR(E857="",E857=0)),"",(IF(E857=1,30,IF(E857=2,20,IF(E857=3,10,IF(E857&lt;&gt;"",1,0))))+IF(F857=1,30,IF(F857=2,20,IF(F857=3,10,IF(F857&lt;&gt;"",1,0))))+IF(G857=1,30,IF(G857=2,20,IF(G857=3,10,IF(G857&lt;&gt;"",1,0))))+IF(H857=1,30,IF(H857=2,20,IF(H857=3,10,IF(H857&lt;&gt;"",1,0))))))</f>
        <v/>
      </c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14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>
        <f>IF(AND(C858="",OR(E858="",E858=0)),"",(IF(E858=1,30,IF(E858=2,20,IF(E858=3,10,IF(E858&lt;&gt;"",1,0))))+IF(F858=1,30,IF(F858=2,20,IF(F858=3,10,IF(F858&lt;&gt;"",1,0))))+IF(G858=1,30,IF(G858=2,20,IF(G858=3,10,IF(G858&lt;&gt;"",1,0))))+IF(H858=1,30,IF(H858=2,20,IF(H858=3,10,IF(H858&lt;&gt;"",1,0))))))</f>
        <v/>
      </c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14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>
        <f>IF(AND(C859="",OR(E859="",E859=0)),"",(IF(E859=1,30,IF(E859=2,20,IF(E859=3,10,IF(E859&lt;&gt;"",1,0))))+IF(F859=1,30,IF(F859=2,20,IF(F859=3,10,IF(F859&lt;&gt;"",1,0))))+IF(G859=1,30,IF(G859=2,20,IF(G859=3,10,IF(G859&lt;&gt;"",1,0))))+IF(H859=1,30,IF(H859=2,20,IF(H859=3,10,IF(H859&lt;&gt;"",1,0))))))</f>
        <v/>
      </c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14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>
        <f>IF(AND(C860="",OR(E860="",E860=0)),"",(IF(E860=1,30,IF(E860=2,20,IF(E860=3,10,IF(E860&lt;&gt;"",1,0))))+IF(F860=1,30,IF(F860=2,20,IF(F860=3,10,IF(F860&lt;&gt;"",1,0))))+IF(G860=1,30,IF(G860=2,20,IF(G860=3,10,IF(G860&lt;&gt;"",1,0))))+IF(H860=1,30,IF(H860=2,20,IF(H860=3,10,IF(H860&lt;&gt;"",1,0))))))</f>
        <v/>
      </c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14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>
        <f>IF(AND(C861="",OR(E861="",E861=0)),"",(IF(E861=1,30,IF(E861=2,20,IF(E861=3,10,IF(E861&lt;&gt;"",1,0))))+IF(F861=1,30,IF(F861=2,20,IF(F861=3,10,IF(F861&lt;&gt;"",1,0))))+IF(G861=1,30,IF(G861=2,20,IF(G861=3,10,IF(G861&lt;&gt;"",1,0))))+IF(H861=1,30,IF(H861=2,20,IF(H861=3,10,IF(H861&lt;&gt;"",1,0))))))</f>
        <v/>
      </c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14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>
        <f>IF(AND(C862="",OR(E862="",E862=0)),"",(IF(E862=1,30,IF(E862=2,20,IF(E862=3,10,IF(E862&lt;&gt;"",1,0))))+IF(F862=1,30,IF(F862=2,20,IF(F862=3,10,IF(F862&lt;&gt;"",1,0))))+IF(G862=1,30,IF(G862=2,20,IF(G862=3,10,IF(G862&lt;&gt;"",1,0))))+IF(H862=1,30,IF(H862=2,20,IF(H862=3,10,IF(H862&lt;&gt;"",1,0))))))</f>
        <v/>
      </c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14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>
        <f>IF(AND(C863="",OR(E863="",E863=0)),"",(IF(E863=1,30,IF(E863=2,20,IF(E863=3,10,IF(E863&lt;&gt;"",1,0))))+IF(F863=1,30,IF(F863=2,20,IF(F863=3,10,IF(F863&lt;&gt;"",1,0))))+IF(G863=1,30,IF(G863=2,20,IF(G863=3,10,IF(G863&lt;&gt;"",1,0))))+IF(H863=1,30,IF(H863=2,20,IF(H863=3,10,IF(H863&lt;&gt;"",1,0))))))</f>
        <v/>
      </c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14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>
        <f>IF(AND(C864="",OR(E864="",E864=0)),"",(IF(E864=1,30,IF(E864=2,20,IF(E864=3,10,IF(E864&lt;&gt;"",1,0))))+IF(F864=1,30,IF(F864=2,20,IF(F864=3,10,IF(F864&lt;&gt;"",1,0))))+IF(G864=1,30,IF(G864=2,20,IF(G864=3,10,IF(G864&lt;&gt;"",1,0))))+IF(H864=1,30,IF(H864=2,20,IF(H864=3,10,IF(H864&lt;&gt;"",1,0))))))</f>
        <v/>
      </c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14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>
        <f>IF(AND(C865="",OR(E865="",E865=0)),"",(IF(E865=1,30,IF(E865=2,20,IF(E865=3,10,IF(E865&lt;&gt;"",1,0))))+IF(F865=1,30,IF(F865=2,20,IF(F865=3,10,IF(F865&lt;&gt;"",1,0))))+IF(G865=1,30,IF(G865=2,20,IF(G865=3,10,IF(G865&lt;&gt;"",1,0))))+IF(H865=1,30,IF(H865=2,20,IF(H865=3,10,IF(H865&lt;&gt;"",1,0))))))</f>
        <v/>
      </c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14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>
        <f>IF(AND(C866="",OR(E866="",E866=0)),"",(IF(E866=1,30,IF(E866=2,20,IF(E866=3,10,IF(E866&lt;&gt;"",1,0))))+IF(F866=1,30,IF(F866=2,20,IF(F866=3,10,IF(F866&lt;&gt;"",1,0))))+IF(G866=1,30,IF(G866=2,20,IF(G866=3,10,IF(G866&lt;&gt;"",1,0))))+IF(H866=1,30,IF(H866=2,20,IF(H866=3,10,IF(H866&lt;&gt;"",1,0))))))</f>
        <v/>
      </c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14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>
        <f>IF(AND(C867="",OR(E867="",E867=0)),"",(IF(E867=1,30,IF(E867=2,20,IF(E867=3,10,IF(E867&lt;&gt;"",1,0))))+IF(F867=1,30,IF(F867=2,20,IF(F867=3,10,IF(F867&lt;&gt;"",1,0))))+IF(G867=1,30,IF(G867=2,20,IF(G867=3,10,IF(G867&lt;&gt;"",1,0))))+IF(H867=1,30,IF(H867=2,20,IF(H867=3,10,IF(H867&lt;&gt;"",1,0))))))</f>
        <v/>
      </c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14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>
        <f>IF(AND(C868="",OR(E868="",E868=0)),"",(IF(E868=1,30,IF(E868=2,20,IF(E868=3,10,IF(E868&lt;&gt;"",1,0))))+IF(F868=1,30,IF(F868=2,20,IF(F868=3,10,IF(F868&lt;&gt;"",1,0))))+IF(G868=1,30,IF(G868=2,20,IF(G868=3,10,IF(G868&lt;&gt;"",1,0))))+IF(H868=1,30,IF(H868=2,20,IF(H868=3,10,IF(H868&lt;&gt;"",1,0))))))</f>
        <v/>
      </c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14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>
        <f>IF(AND(C869="",OR(E869="",E869=0)),"",(IF(E869=1,30,IF(E869=2,20,IF(E869=3,10,IF(E869&lt;&gt;"",1,0))))+IF(F869=1,30,IF(F869=2,20,IF(F869=3,10,IF(F869&lt;&gt;"",1,0))))+IF(G869=1,30,IF(G869=2,20,IF(G869=3,10,IF(G869&lt;&gt;"",1,0))))+IF(H869=1,30,IF(H869=2,20,IF(H869=3,10,IF(H869&lt;&gt;"",1,0))))))</f>
        <v/>
      </c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14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>
        <f>IF(AND(C870="",OR(E870="",E870=0)),"",(IF(E870=1,30,IF(E870=2,20,IF(E870=3,10,IF(E870&lt;&gt;"",1,0))))+IF(F870=1,30,IF(F870=2,20,IF(F870=3,10,IF(F870&lt;&gt;"",1,0))))+IF(G870=1,30,IF(G870=2,20,IF(G870=3,10,IF(G870&lt;&gt;"",1,0))))+IF(H870=1,30,IF(H870=2,20,IF(H870=3,10,IF(H870&lt;&gt;"",1,0))))))</f>
        <v/>
      </c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14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>
        <f>IF(AND(C871="",OR(E871="",E871=0)),"",(IF(E871=1,30,IF(E871=2,20,IF(E871=3,10,IF(E871&lt;&gt;"",1,0))))+IF(F871=1,30,IF(F871=2,20,IF(F871=3,10,IF(F871&lt;&gt;"",1,0))))+IF(G871=1,30,IF(G871=2,20,IF(G871=3,10,IF(G871&lt;&gt;"",1,0))))+IF(H871=1,30,IF(H871=2,20,IF(H871=3,10,IF(H871&lt;&gt;"",1,0))))))</f>
        <v/>
      </c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14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>
        <f>IF(AND(C872="",OR(E872="",E872=0)),"",(IF(E872=1,30,IF(E872=2,20,IF(E872=3,10,IF(E872&lt;&gt;"",1,0))))+IF(F872=1,30,IF(F872=2,20,IF(F872=3,10,IF(F872&lt;&gt;"",1,0))))+IF(G872=1,30,IF(G872=2,20,IF(G872=3,10,IF(G872&lt;&gt;"",1,0))))+IF(H872=1,30,IF(H872=2,20,IF(H872=3,10,IF(H872&lt;&gt;"",1,0))))))</f>
        <v/>
      </c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14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>
        <f>IF(AND(C873="",OR(E873="",E873=0)),"",(IF(E873=1,30,IF(E873=2,20,IF(E873=3,10,IF(E873&lt;&gt;"",1,0))))+IF(F873=1,30,IF(F873=2,20,IF(F873=3,10,IF(F873&lt;&gt;"",1,0))))+IF(G873=1,30,IF(G873=2,20,IF(G873=3,10,IF(G873&lt;&gt;"",1,0))))+IF(H873=1,30,IF(H873=2,20,IF(H873=3,10,IF(H873&lt;&gt;"",1,0))))))</f>
        <v/>
      </c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14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>
        <f>IF(AND(C874="",OR(E874="",E874=0)),"",(IF(E874=1,30,IF(E874=2,20,IF(E874=3,10,IF(E874&lt;&gt;"",1,0))))+IF(F874=1,30,IF(F874=2,20,IF(F874=3,10,IF(F874&lt;&gt;"",1,0))))+IF(G874=1,30,IF(G874=2,20,IF(G874=3,10,IF(G874&lt;&gt;"",1,0))))+IF(H874=1,30,IF(H874=2,20,IF(H874=3,10,IF(H874&lt;&gt;"",1,0))))))</f>
        <v/>
      </c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14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>
        <f>IF(AND(C875="",OR(E875="",E875=0)),"",(IF(E875=1,30,IF(E875=2,20,IF(E875=3,10,IF(E875&lt;&gt;"",1,0))))+IF(F875=1,30,IF(F875=2,20,IF(F875=3,10,IF(F875&lt;&gt;"",1,0))))+IF(G875=1,30,IF(G875=2,20,IF(G875=3,10,IF(G875&lt;&gt;"",1,0))))+IF(H875=1,30,IF(H875=2,20,IF(H875=3,10,IF(H875&lt;&gt;"",1,0))))))</f>
        <v/>
      </c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14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>
        <f>IF(AND(C876="",OR(E876="",E876=0)),"",(IF(E876=1,30,IF(E876=2,20,IF(E876=3,10,IF(E876&lt;&gt;"",1,0))))+IF(F876=1,30,IF(F876=2,20,IF(F876=3,10,IF(F876&lt;&gt;"",1,0))))+IF(G876=1,30,IF(G876=2,20,IF(G876=3,10,IF(G876&lt;&gt;"",1,0))))+IF(H876=1,30,IF(H876=2,20,IF(H876=3,10,IF(H876&lt;&gt;"",1,0))))))</f>
        <v/>
      </c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14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>
        <f>IF(AND(C877="",OR(E877="",E877=0)),"",(IF(E877=1,30,IF(E877=2,20,IF(E877=3,10,IF(E877&lt;&gt;"",1,0))))+IF(F877=1,30,IF(F877=2,20,IF(F877=3,10,IF(F877&lt;&gt;"",1,0))))+IF(G877=1,30,IF(G877=2,20,IF(G877=3,10,IF(G877&lt;&gt;"",1,0))))+IF(H877=1,30,IF(H877=2,20,IF(H877=3,10,IF(H877&lt;&gt;"",1,0))))))</f>
        <v/>
      </c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14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>
        <f>IF(AND(C878="",OR(E878="",E878=0)),"",(IF(E878=1,30,IF(E878=2,20,IF(E878=3,10,IF(E878&lt;&gt;"",1,0))))+IF(F878=1,30,IF(F878=2,20,IF(F878=3,10,IF(F878&lt;&gt;"",1,0))))+IF(G878=1,30,IF(G878=2,20,IF(G878=3,10,IF(G878&lt;&gt;"",1,0))))+IF(H878=1,30,IF(H878=2,20,IF(H878=3,10,IF(H878&lt;&gt;"",1,0))))))</f>
        <v/>
      </c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14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>
        <f>IF(AND(C879="",OR(E879="",E879=0)),"",(IF(E879=1,30,IF(E879=2,20,IF(E879=3,10,IF(E879&lt;&gt;"",1,0))))+IF(F879=1,30,IF(F879=2,20,IF(F879=3,10,IF(F879&lt;&gt;"",1,0))))+IF(G879=1,30,IF(G879=2,20,IF(G879=3,10,IF(G879&lt;&gt;"",1,0))))+IF(H879=1,30,IF(H879=2,20,IF(H879=3,10,IF(H879&lt;&gt;"",1,0))))))</f>
        <v/>
      </c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14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>
        <f>IF(AND(C880="",OR(E880="",E880=0)),"",(IF(E880=1,30,IF(E880=2,20,IF(E880=3,10,IF(E880&lt;&gt;"",1,0))))+IF(F880=1,30,IF(F880=2,20,IF(F880=3,10,IF(F880&lt;&gt;"",1,0))))+IF(G880=1,30,IF(G880=2,20,IF(G880=3,10,IF(G880&lt;&gt;"",1,0))))+IF(H880=1,30,IF(H880=2,20,IF(H880=3,10,IF(H880&lt;&gt;"",1,0))))))</f>
        <v/>
      </c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14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>
        <f>IF(AND(C881="",OR(E881="",E881=0)),"",(IF(E881=1,30,IF(E881=2,20,IF(E881=3,10,IF(E881&lt;&gt;"",1,0))))+IF(F881=1,30,IF(F881=2,20,IF(F881=3,10,IF(F881&lt;&gt;"",1,0))))+IF(G881=1,30,IF(G881=2,20,IF(G881=3,10,IF(G881&lt;&gt;"",1,0))))+IF(H881=1,30,IF(H881=2,20,IF(H881=3,10,IF(H881&lt;&gt;"",1,0))))))</f>
        <v/>
      </c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14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>
        <f>IF(AND(C882="",OR(E882="",E882=0)),"",(IF(E882=1,30,IF(E882=2,20,IF(E882=3,10,IF(E882&lt;&gt;"",1,0))))+IF(F882=1,30,IF(F882=2,20,IF(F882=3,10,IF(F882&lt;&gt;"",1,0))))+IF(G882=1,30,IF(G882=2,20,IF(G882=3,10,IF(G882&lt;&gt;"",1,0))))+IF(H882=1,30,IF(H882=2,20,IF(H882=3,10,IF(H882&lt;&gt;"",1,0))))))</f>
        <v/>
      </c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14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>
        <f>IF(AND(C883="",OR(E883="",E883=0)),"",(IF(E883=1,30,IF(E883=2,20,IF(E883=3,10,IF(E883&lt;&gt;"",1,0))))+IF(F883=1,30,IF(F883=2,20,IF(F883=3,10,IF(F883&lt;&gt;"",1,0))))+IF(G883=1,30,IF(G883=2,20,IF(G883=3,10,IF(G883&lt;&gt;"",1,0))))+IF(H883=1,30,IF(H883=2,20,IF(H883=3,10,IF(H883&lt;&gt;"",1,0))))))</f>
        <v/>
      </c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14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>
        <f>IF(AND(C884="",OR(E884="",E884=0)),"",(IF(E884=1,30,IF(E884=2,20,IF(E884=3,10,IF(E884&lt;&gt;"",1,0))))+IF(F884=1,30,IF(F884=2,20,IF(F884=3,10,IF(F884&lt;&gt;"",1,0))))+IF(G884=1,30,IF(G884=2,20,IF(G884=3,10,IF(G884&lt;&gt;"",1,0))))+IF(H884=1,30,IF(H884=2,20,IF(H884=3,10,IF(H884&lt;&gt;"",1,0))))))</f>
        <v/>
      </c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14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>
        <f>IF(AND(C885="",OR(E885="",E885=0)),"",(IF(E885=1,30,IF(E885=2,20,IF(E885=3,10,IF(E885&lt;&gt;"",1,0))))+IF(F885=1,30,IF(F885=2,20,IF(F885=3,10,IF(F885&lt;&gt;"",1,0))))+IF(G885=1,30,IF(G885=2,20,IF(G885=3,10,IF(G885&lt;&gt;"",1,0))))+IF(H885=1,30,IF(H885=2,20,IF(H885=3,10,IF(H885&lt;&gt;"",1,0))))))</f>
        <v/>
      </c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14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>
        <f>IF(AND(C886="",OR(E886="",E886=0)),"",(IF(E886=1,30,IF(E886=2,20,IF(E886=3,10,IF(E886&lt;&gt;"",1,0))))+IF(F886=1,30,IF(F886=2,20,IF(F886=3,10,IF(F886&lt;&gt;"",1,0))))+IF(G886=1,30,IF(G886=2,20,IF(G886=3,10,IF(G886&lt;&gt;"",1,0))))+IF(H886=1,30,IF(H886=2,20,IF(H886=3,10,IF(H886&lt;&gt;"",1,0))))))</f>
        <v/>
      </c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14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>
        <f>IF(AND(C887="",OR(E887="",E887=0)),"",(IF(E887=1,30,IF(E887=2,20,IF(E887=3,10,IF(E887&lt;&gt;"",1,0))))+IF(F887=1,30,IF(F887=2,20,IF(F887=3,10,IF(F887&lt;&gt;"",1,0))))+IF(G887=1,30,IF(G887=2,20,IF(G887=3,10,IF(G887&lt;&gt;"",1,0))))+IF(H887=1,30,IF(H887=2,20,IF(H887=3,10,IF(H887&lt;&gt;"",1,0))))))</f>
        <v/>
      </c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14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>
        <f>IF(AND(C888="",OR(E888="",E888=0)),"",(IF(E888=1,30,IF(E888=2,20,IF(E888=3,10,IF(E888&lt;&gt;"",1,0))))+IF(F888=1,30,IF(F888=2,20,IF(F888=3,10,IF(F888&lt;&gt;"",1,0))))+IF(G888=1,30,IF(G888=2,20,IF(G888=3,10,IF(G888&lt;&gt;"",1,0))))+IF(H888=1,30,IF(H888=2,20,IF(H888=3,10,IF(H888&lt;&gt;"",1,0))))))</f>
        <v/>
      </c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14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>
        <f>IF(AND(C889="",OR(E889="",E889=0)),"",(IF(E889=1,30,IF(E889=2,20,IF(E889=3,10,IF(E889&lt;&gt;"",1,0))))+IF(F889=1,30,IF(F889=2,20,IF(F889=3,10,IF(F889&lt;&gt;"",1,0))))+IF(G889=1,30,IF(G889=2,20,IF(G889=3,10,IF(G889&lt;&gt;"",1,0))))+IF(H889=1,30,IF(H889=2,20,IF(H889=3,10,IF(H889&lt;&gt;"",1,0))))))</f>
        <v/>
      </c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14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>
        <f>IF(AND(C890="",OR(E890="",E890=0)),"",(IF(E890=1,30,IF(E890=2,20,IF(E890=3,10,IF(E890&lt;&gt;"",1,0))))+IF(F890=1,30,IF(F890=2,20,IF(F890=3,10,IF(F890&lt;&gt;"",1,0))))+IF(G890=1,30,IF(G890=2,20,IF(G890=3,10,IF(G890&lt;&gt;"",1,0))))+IF(H890=1,30,IF(H890=2,20,IF(H890=3,10,IF(H890&lt;&gt;"",1,0))))))</f>
        <v/>
      </c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14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>
        <f>IF(AND(C891="",OR(E891="",E891=0)),"",(IF(E891=1,30,IF(E891=2,20,IF(E891=3,10,IF(E891&lt;&gt;"",1,0))))+IF(F891=1,30,IF(F891=2,20,IF(F891=3,10,IF(F891&lt;&gt;"",1,0))))+IF(G891=1,30,IF(G891=2,20,IF(G891=3,10,IF(G891&lt;&gt;"",1,0))))+IF(H891=1,30,IF(H891=2,20,IF(H891=3,10,IF(H891&lt;&gt;"",1,0))))))</f>
        <v/>
      </c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14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>
        <f>IF(AND(C892="",OR(E892="",E892=0)),"",(IF(E892=1,30,IF(E892=2,20,IF(E892=3,10,IF(E892&lt;&gt;"",1,0))))+IF(F892=1,30,IF(F892=2,20,IF(F892=3,10,IF(F892&lt;&gt;"",1,0))))+IF(G892=1,30,IF(G892=2,20,IF(G892=3,10,IF(G892&lt;&gt;"",1,0))))+IF(H892=1,30,IF(H892=2,20,IF(H892=3,10,IF(H892&lt;&gt;"",1,0))))))</f>
        <v/>
      </c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14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>
        <f>IF(AND(C893="",OR(E893="",E893=0)),"",(IF(E893=1,30,IF(E893=2,20,IF(E893=3,10,IF(E893&lt;&gt;"",1,0))))+IF(F893=1,30,IF(F893=2,20,IF(F893=3,10,IF(F893&lt;&gt;"",1,0))))+IF(G893=1,30,IF(G893=2,20,IF(G893=3,10,IF(G893&lt;&gt;"",1,0))))+IF(H893=1,30,IF(H893=2,20,IF(H893=3,10,IF(H893&lt;&gt;"",1,0))))))</f>
        <v/>
      </c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14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>
        <f>IF(AND(C894="",OR(E894="",E894=0)),"",(IF(E894=1,30,IF(E894=2,20,IF(E894=3,10,IF(E894&lt;&gt;"",1,0))))+IF(F894=1,30,IF(F894=2,20,IF(F894=3,10,IF(F894&lt;&gt;"",1,0))))+IF(G894=1,30,IF(G894=2,20,IF(G894=3,10,IF(G894&lt;&gt;"",1,0))))+IF(H894=1,30,IF(H894=2,20,IF(H894=3,10,IF(H894&lt;&gt;"",1,0))))))</f>
        <v/>
      </c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14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>
        <f>IF(AND(C895="",OR(E895="",E895=0)),"",(IF(E895=1,30,IF(E895=2,20,IF(E895=3,10,IF(E895&lt;&gt;"",1,0))))+IF(F895=1,30,IF(F895=2,20,IF(F895=3,10,IF(F895&lt;&gt;"",1,0))))+IF(G895=1,30,IF(G895=2,20,IF(G895=3,10,IF(G895&lt;&gt;"",1,0))))+IF(H895=1,30,IF(H895=2,20,IF(H895=3,10,IF(H895&lt;&gt;"",1,0))))))</f>
        <v/>
      </c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14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>
        <f>IF(AND(C896="",OR(E896="",E896=0)),"",(IF(E896=1,30,IF(E896=2,20,IF(E896=3,10,IF(E896&lt;&gt;"",1,0))))+IF(F896=1,30,IF(F896=2,20,IF(F896=3,10,IF(F896&lt;&gt;"",1,0))))+IF(G896=1,30,IF(G896=2,20,IF(G896=3,10,IF(G896&lt;&gt;"",1,0))))+IF(H896=1,30,IF(H896=2,20,IF(H896=3,10,IF(H896&lt;&gt;"",1,0))))))</f>
        <v/>
      </c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14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>
        <f>IF(AND(C897="",OR(E897="",E897=0)),"",(IF(E897=1,30,IF(E897=2,20,IF(E897=3,10,IF(E897&lt;&gt;"",1,0))))+IF(F897=1,30,IF(F897=2,20,IF(F897=3,10,IF(F897&lt;&gt;"",1,0))))+IF(G897=1,30,IF(G897=2,20,IF(G897=3,10,IF(G897&lt;&gt;"",1,0))))+IF(H897=1,30,IF(H897=2,20,IF(H897=3,10,IF(H897&lt;&gt;"",1,0))))))</f>
        <v/>
      </c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14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>
        <f>IF(AND(C898="",OR(E898="",E898=0)),"",(IF(E898=1,30,IF(E898=2,20,IF(E898=3,10,IF(E898&lt;&gt;"",1,0))))+IF(F898=1,30,IF(F898=2,20,IF(F898=3,10,IF(F898&lt;&gt;"",1,0))))+IF(G898=1,30,IF(G898=2,20,IF(G898=3,10,IF(G898&lt;&gt;"",1,0))))+IF(H898=1,30,IF(H898=2,20,IF(H898=3,10,IF(H898&lt;&gt;"",1,0))))))</f>
        <v/>
      </c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14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>
        <f>IF(AND(C899="",OR(E899="",E899=0)),"",(IF(E899=1,30,IF(E899=2,20,IF(E899=3,10,IF(E899&lt;&gt;"",1,0))))+IF(F899=1,30,IF(F899=2,20,IF(F899=3,10,IF(F899&lt;&gt;"",1,0))))+IF(G899=1,30,IF(G899=2,20,IF(G899=3,10,IF(G899&lt;&gt;"",1,0))))+IF(H899=1,30,IF(H899=2,20,IF(H899=3,10,IF(H899&lt;&gt;"",1,0))))))</f>
        <v/>
      </c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14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>
        <f>IF(AND(C900="",OR(E900="",E900=0)),"",(IF(E900=1,30,IF(E900=2,20,IF(E900=3,10,IF(E900&lt;&gt;"",1,0))))+IF(F900=1,30,IF(F900=2,20,IF(F900=3,10,IF(F900&lt;&gt;"",1,0))))+IF(G900=1,30,IF(G900=2,20,IF(G900=3,10,IF(G900&lt;&gt;"",1,0))))+IF(H900=1,30,IF(H900=2,20,IF(H900=3,10,IF(H900&lt;&gt;"",1,0))))))</f>
        <v/>
      </c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14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>
        <f>IF(AND(C901="",OR(E901="",E901=0)),"",(IF(E901=1,30,IF(E901=2,20,IF(E901=3,10,IF(E901&lt;&gt;"",1,0))))+IF(F901=1,30,IF(F901=2,20,IF(F901=3,10,IF(F901&lt;&gt;"",1,0))))+IF(G901=1,30,IF(G901=2,20,IF(G901=3,10,IF(G901&lt;&gt;"",1,0))))+IF(H901=1,30,IF(H901=2,20,IF(H901=3,10,IF(H901&lt;&gt;"",1,0))))))</f>
        <v/>
      </c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14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>
        <f>IF(AND(C902="",OR(E902="",E902=0)),"",(IF(E902=1,30,IF(E902=2,20,IF(E902=3,10,IF(E902&lt;&gt;"",1,0))))+IF(F902=1,30,IF(F902=2,20,IF(F902=3,10,IF(F902&lt;&gt;"",1,0))))+IF(G902=1,30,IF(G902=2,20,IF(G902=3,10,IF(G902&lt;&gt;"",1,0))))+IF(H902=1,30,IF(H902=2,20,IF(H902=3,10,IF(H902&lt;&gt;"",1,0))))))</f>
        <v/>
      </c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14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>
        <f>IF(AND(C903="",OR(E903="",E903=0)),"",(IF(E903=1,30,IF(E903=2,20,IF(E903=3,10,IF(E903&lt;&gt;"",1,0))))+IF(F903=1,30,IF(F903=2,20,IF(F903=3,10,IF(F903&lt;&gt;"",1,0))))+IF(G903=1,30,IF(G903=2,20,IF(G903=3,10,IF(G903&lt;&gt;"",1,0))))+IF(H903=1,30,IF(H903=2,20,IF(H903=3,10,IF(H903&lt;&gt;"",1,0))))))</f>
        <v/>
      </c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14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>
        <f>IF(AND(C904="",OR(E904="",E904=0)),"",(IF(E904=1,30,IF(E904=2,20,IF(E904=3,10,IF(E904&lt;&gt;"",1,0))))+IF(F904=1,30,IF(F904=2,20,IF(F904=3,10,IF(F904&lt;&gt;"",1,0))))+IF(G904=1,30,IF(G904=2,20,IF(G904=3,10,IF(G904&lt;&gt;"",1,0))))+IF(H904=1,30,IF(H904=2,20,IF(H904=3,10,IF(H904&lt;&gt;"",1,0))))))</f>
        <v/>
      </c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14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>
        <f>IF(AND(C905="",OR(E905="",E905=0)),"",(IF(E905=1,30,IF(E905=2,20,IF(E905=3,10,IF(E905&lt;&gt;"",1,0))))+IF(F905=1,30,IF(F905=2,20,IF(F905=3,10,IF(F905&lt;&gt;"",1,0))))+IF(G905=1,30,IF(G905=2,20,IF(G905=3,10,IF(G905&lt;&gt;"",1,0))))+IF(H905=1,30,IF(H905=2,20,IF(H905=3,10,IF(H905&lt;&gt;"",1,0))))))</f>
        <v/>
      </c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14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>
        <f>IF(AND(C906="",OR(E906="",E906=0)),"",(IF(E906=1,30,IF(E906=2,20,IF(E906=3,10,IF(E906&lt;&gt;"",1,0))))+IF(F906=1,30,IF(F906=2,20,IF(F906=3,10,IF(F906&lt;&gt;"",1,0))))+IF(G906=1,30,IF(G906=2,20,IF(G906=3,10,IF(G906&lt;&gt;"",1,0))))+IF(H906=1,30,IF(H906=2,20,IF(H906=3,10,IF(H906&lt;&gt;"",1,0))))))</f>
        <v/>
      </c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14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>
        <f>IF(AND(C907="",OR(E907="",E907=0)),"",(IF(E907=1,30,IF(E907=2,20,IF(E907=3,10,IF(E907&lt;&gt;"",1,0))))+IF(F907=1,30,IF(F907=2,20,IF(F907=3,10,IF(F907&lt;&gt;"",1,0))))+IF(G907=1,30,IF(G907=2,20,IF(G907=3,10,IF(G907&lt;&gt;"",1,0))))+IF(H907=1,30,IF(H907=2,20,IF(H907=3,10,IF(H907&lt;&gt;"",1,0))))))</f>
        <v/>
      </c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14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>
        <f>IF(AND(C908="",OR(E908="",E908=0)),"",(IF(E908=1,30,IF(E908=2,20,IF(E908=3,10,IF(E908&lt;&gt;"",1,0))))+IF(F908=1,30,IF(F908=2,20,IF(F908=3,10,IF(F908&lt;&gt;"",1,0))))+IF(G908=1,30,IF(G908=2,20,IF(G908=3,10,IF(G908&lt;&gt;"",1,0))))+IF(H908=1,30,IF(H908=2,20,IF(H908=3,10,IF(H908&lt;&gt;"",1,0))))))</f>
        <v/>
      </c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14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>
        <f>IF(AND(C909="",OR(E909="",E909=0)),"",(IF(E909=1,30,IF(E909=2,20,IF(E909=3,10,IF(E909&lt;&gt;"",1,0))))+IF(F909=1,30,IF(F909=2,20,IF(F909=3,10,IF(F909&lt;&gt;"",1,0))))+IF(G909=1,30,IF(G909=2,20,IF(G909=3,10,IF(G909&lt;&gt;"",1,0))))+IF(H909=1,30,IF(H909=2,20,IF(H909=3,10,IF(H909&lt;&gt;"",1,0))))))</f>
        <v/>
      </c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14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>
        <f>IF(AND(C910="",OR(E910="",E910=0)),"",(IF(E910=1,30,IF(E910=2,20,IF(E910=3,10,IF(E910&lt;&gt;"",1,0))))+IF(F910=1,30,IF(F910=2,20,IF(F910=3,10,IF(F910&lt;&gt;"",1,0))))+IF(G910=1,30,IF(G910=2,20,IF(G910=3,10,IF(G910&lt;&gt;"",1,0))))+IF(H910=1,30,IF(H910=2,20,IF(H910=3,10,IF(H910&lt;&gt;"",1,0))))))</f>
        <v/>
      </c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14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>
        <f>IF(AND(C911="",OR(E911="",E911=0)),"",(IF(E911=1,30,IF(E911=2,20,IF(E911=3,10,IF(E911&lt;&gt;"",1,0))))+IF(F911=1,30,IF(F911=2,20,IF(F911=3,10,IF(F911&lt;&gt;"",1,0))))+IF(G911=1,30,IF(G911=2,20,IF(G911=3,10,IF(G911&lt;&gt;"",1,0))))+IF(H911=1,30,IF(H911=2,20,IF(H911=3,10,IF(H911&lt;&gt;"",1,0))))))</f>
        <v/>
      </c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14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>
        <f>IF(AND(C912="",OR(E912="",E912=0)),"",(IF(E912=1,30,IF(E912=2,20,IF(E912=3,10,IF(E912&lt;&gt;"",1,0))))+IF(F912=1,30,IF(F912=2,20,IF(F912=3,10,IF(F912&lt;&gt;"",1,0))))+IF(G912=1,30,IF(G912=2,20,IF(G912=3,10,IF(G912&lt;&gt;"",1,0))))+IF(H912=1,30,IF(H912=2,20,IF(H912=3,10,IF(H912&lt;&gt;"",1,0))))))</f>
        <v/>
      </c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14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>
        <f>IF(AND(C913="",OR(E913="",E913=0)),"",(IF(E913=1,30,IF(E913=2,20,IF(E913=3,10,IF(E913&lt;&gt;"",1,0))))+IF(F913=1,30,IF(F913=2,20,IF(F913=3,10,IF(F913&lt;&gt;"",1,0))))+IF(G913=1,30,IF(G913=2,20,IF(G913=3,10,IF(G913&lt;&gt;"",1,0))))+IF(H913=1,30,IF(H913=2,20,IF(H913=3,10,IF(H913&lt;&gt;"",1,0))))))</f>
        <v/>
      </c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14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>
        <f>IF(AND(C914="",OR(E914="",E914=0)),"",(IF(E914=1,30,IF(E914=2,20,IF(E914=3,10,IF(E914&lt;&gt;"",1,0))))+IF(F914=1,30,IF(F914=2,20,IF(F914=3,10,IF(F914&lt;&gt;"",1,0))))+IF(G914=1,30,IF(G914=2,20,IF(G914=3,10,IF(G914&lt;&gt;"",1,0))))+IF(H914=1,30,IF(H914=2,20,IF(H914=3,10,IF(H914&lt;&gt;"",1,0))))))</f>
        <v/>
      </c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14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>
        <f>IF(AND(C915="",OR(E915="",E915=0)),"",(IF(E915=1,30,IF(E915=2,20,IF(E915=3,10,IF(E915&lt;&gt;"",1,0))))+IF(F915=1,30,IF(F915=2,20,IF(F915=3,10,IF(F915&lt;&gt;"",1,0))))+IF(G915=1,30,IF(G915=2,20,IF(G915=3,10,IF(G915&lt;&gt;"",1,0))))+IF(H915=1,30,IF(H915=2,20,IF(H915=3,10,IF(H915&lt;&gt;"",1,0))))))</f>
        <v/>
      </c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14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>
        <f>IF(AND(C916="",OR(E916="",E916=0)),"",(IF(E916=1,30,IF(E916=2,20,IF(E916=3,10,IF(E916&lt;&gt;"",1,0))))+IF(F916=1,30,IF(F916=2,20,IF(F916=3,10,IF(F916&lt;&gt;"",1,0))))+IF(G916=1,30,IF(G916=2,20,IF(G916=3,10,IF(G916&lt;&gt;"",1,0))))+IF(H916=1,30,IF(H916=2,20,IF(H916=3,10,IF(H916&lt;&gt;"",1,0))))))</f>
        <v/>
      </c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14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>
        <f>IF(AND(C917="",OR(E917="",E917=0)),"",(IF(E917=1,30,IF(E917=2,20,IF(E917=3,10,IF(E917&lt;&gt;"",1,0))))+IF(F917=1,30,IF(F917=2,20,IF(F917=3,10,IF(F917&lt;&gt;"",1,0))))+IF(G917=1,30,IF(G917=2,20,IF(G917=3,10,IF(G917&lt;&gt;"",1,0))))+IF(H917=1,30,IF(H917=2,20,IF(H917=3,10,IF(H917&lt;&gt;"",1,0))))))</f>
        <v/>
      </c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14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>
        <f>IF(AND(C918="",OR(E918="",E918=0)),"",(IF(E918=1,30,IF(E918=2,20,IF(E918=3,10,IF(E918&lt;&gt;"",1,0))))+IF(F918=1,30,IF(F918=2,20,IF(F918=3,10,IF(F918&lt;&gt;"",1,0))))+IF(G918=1,30,IF(G918=2,20,IF(G918=3,10,IF(G918&lt;&gt;"",1,0))))+IF(H918=1,30,IF(H918=2,20,IF(H918=3,10,IF(H918&lt;&gt;"",1,0))))))</f>
        <v/>
      </c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14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>
        <f>IF(AND(C919="",OR(E919="",E919=0)),"",(IF(E919=1,30,IF(E919=2,20,IF(E919=3,10,IF(E919&lt;&gt;"",1,0))))+IF(F919=1,30,IF(F919=2,20,IF(F919=3,10,IF(F919&lt;&gt;"",1,0))))+IF(G919=1,30,IF(G919=2,20,IF(G919=3,10,IF(G919&lt;&gt;"",1,0))))+IF(H919=1,30,IF(H919=2,20,IF(H919=3,10,IF(H919&lt;&gt;"",1,0))))))</f>
        <v/>
      </c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14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>
        <f>IF(AND(C920="",OR(E920="",E920=0)),"",(IF(E920=1,30,IF(E920=2,20,IF(E920=3,10,IF(E920&lt;&gt;"",1,0))))+IF(F920=1,30,IF(F920=2,20,IF(F920=3,10,IF(F920&lt;&gt;"",1,0))))+IF(G920=1,30,IF(G920=2,20,IF(G920=3,10,IF(G920&lt;&gt;"",1,0))))+IF(H920=1,30,IF(H920=2,20,IF(H920=3,10,IF(H920&lt;&gt;"",1,0))))))</f>
        <v/>
      </c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14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>
        <f>IF(AND(C921="",OR(E921="",E921=0)),"",(IF(E921=1,30,IF(E921=2,20,IF(E921=3,10,IF(E921&lt;&gt;"",1,0))))+IF(F921=1,30,IF(F921=2,20,IF(F921=3,10,IF(F921&lt;&gt;"",1,0))))+IF(G921=1,30,IF(G921=2,20,IF(G921=3,10,IF(G921&lt;&gt;"",1,0))))+IF(H921=1,30,IF(H921=2,20,IF(H921=3,10,IF(H921&lt;&gt;"",1,0))))))</f>
        <v/>
      </c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14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>
        <f>IF(AND(C922="",OR(E922="",E922=0)),"",(IF(E922=1,30,IF(E922=2,20,IF(E922=3,10,IF(E922&lt;&gt;"",1,0))))+IF(F922=1,30,IF(F922=2,20,IF(F922=3,10,IF(F922&lt;&gt;"",1,0))))+IF(G922=1,30,IF(G922=2,20,IF(G922=3,10,IF(G922&lt;&gt;"",1,0))))+IF(H922=1,30,IF(H922=2,20,IF(H922=3,10,IF(H922&lt;&gt;"",1,0))))))</f>
        <v/>
      </c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14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>
        <f>IF(AND(C923="",OR(E923="",E923=0)),"",(IF(E923=1,30,IF(E923=2,20,IF(E923=3,10,IF(E923&lt;&gt;"",1,0))))+IF(F923=1,30,IF(F923=2,20,IF(F923=3,10,IF(F923&lt;&gt;"",1,0))))+IF(G923=1,30,IF(G923=2,20,IF(G923=3,10,IF(G923&lt;&gt;"",1,0))))+IF(H923=1,30,IF(H923=2,20,IF(H923=3,10,IF(H923&lt;&gt;"",1,0))))))</f>
        <v/>
      </c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14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>
        <f>IF(AND(C924="",OR(E924="",E924=0)),"",(IF(E924=1,30,IF(E924=2,20,IF(E924=3,10,IF(E924&lt;&gt;"",1,0))))+IF(F924=1,30,IF(F924=2,20,IF(F924=3,10,IF(F924&lt;&gt;"",1,0))))+IF(G924=1,30,IF(G924=2,20,IF(G924=3,10,IF(G924&lt;&gt;"",1,0))))+IF(H924=1,30,IF(H924=2,20,IF(H924=3,10,IF(H924&lt;&gt;"",1,0))))))</f>
        <v/>
      </c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14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>
        <f>IF(AND(C925="",OR(E925="",E925=0)),"",(IF(E925=1,30,IF(E925=2,20,IF(E925=3,10,IF(E925&lt;&gt;"",1,0))))+IF(F925=1,30,IF(F925=2,20,IF(F925=3,10,IF(F925&lt;&gt;"",1,0))))+IF(G925=1,30,IF(G925=2,20,IF(G925=3,10,IF(G925&lt;&gt;"",1,0))))+IF(H925=1,30,IF(H925=2,20,IF(H925=3,10,IF(H925&lt;&gt;"",1,0))))))</f>
        <v/>
      </c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14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>
        <f>IF(AND(C926="",OR(E926="",E926=0)),"",(IF(E926=1,30,IF(E926=2,20,IF(E926=3,10,IF(E926&lt;&gt;"",1,0))))+IF(F926=1,30,IF(F926=2,20,IF(F926=3,10,IF(F926&lt;&gt;"",1,0))))+IF(G926=1,30,IF(G926=2,20,IF(G926=3,10,IF(G926&lt;&gt;"",1,0))))+IF(H926=1,30,IF(H926=2,20,IF(H926=3,10,IF(H926&lt;&gt;"",1,0))))))</f>
        <v/>
      </c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14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>
        <f>IF(AND(C927="",OR(E927="",E927=0)),"",(IF(E927=1,30,IF(E927=2,20,IF(E927=3,10,IF(E927&lt;&gt;"",1,0))))+IF(F927=1,30,IF(F927=2,20,IF(F927=3,10,IF(F927&lt;&gt;"",1,0))))+IF(G927=1,30,IF(G927=2,20,IF(G927=3,10,IF(G927&lt;&gt;"",1,0))))+IF(H927=1,30,IF(H927=2,20,IF(H927=3,10,IF(H927&lt;&gt;"",1,0))))))</f>
        <v/>
      </c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14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>
        <f>IF(AND(C928="",OR(E928="",E928=0)),"",(IF(E928=1,30,IF(E928=2,20,IF(E928=3,10,IF(E928&lt;&gt;"",1,0))))+IF(F928=1,30,IF(F928=2,20,IF(F928=3,10,IF(F928&lt;&gt;"",1,0))))+IF(G928=1,30,IF(G928=2,20,IF(G928=3,10,IF(G928&lt;&gt;"",1,0))))+IF(H928=1,30,IF(H928=2,20,IF(H928=3,10,IF(H928&lt;&gt;"",1,0))))))</f>
        <v/>
      </c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14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>
        <f>IF(AND(C929="",OR(E929="",E929=0)),"",(IF(E929=1,30,IF(E929=2,20,IF(E929=3,10,IF(E929&lt;&gt;"",1,0))))+IF(F929=1,30,IF(F929=2,20,IF(F929=3,10,IF(F929&lt;&gt;"",1,0))))+IF(G929=1,30,IF(G929=2,20,IF(G929=3,10,IF(G929&lt;&gt;"",1,0))))+IF(H929=1,30,IF(H929=2,20,IF(H929=3,10,IF(H929&lt;&gt;"",1,0))))))</f>
        <v/>
      </c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14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>
        <f>IF(AND(C930="",OR(E930="",E930=0)),"",(IF(E930=1,30,IF(E930=2,20,IF(E930=3,10,IF(E930&lt;&gt;"",1,0))))+IF(F930=1,30,IF(F930=2,20,IF(F930=3,10,IF(F930&lt;&gt;"",1,0))))+IF(G930=1,30,IF(G930=2,20,IF(G930=3,10,IF(G930&lt;&gt;"",1,0))))+IF(H930=1,30,IF(H930=2,20,IF(H930=3,10,IF(H930&lt;&gt;"",1,0))))))</f>
        <v/>
      </c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14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>
        <f>IF(AND(C931="",OR(E931="",E931=0)),"",(IF(E931=1,30,IF(E931=2,20,IF(E931=3,10,IF(E931&lt;&gt;"",1,0))))+IF(F931=1,30,IF(F931=2,20,IF(F931=3,10,IF(F931&lt;&gt;"",1,0))))+IF(G931=1,30,IF(G931=2,20,IF(G931=3,10,IF(G931&lt;&gt;"",1,0))))+IF(H931=1,30,IF(H931=2,20,IF(H931=3,10,IF(H931&lt;&gt;"",1,0))))))</f>
        <v/>
      </c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14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>
        <f>IF(AND(C932="",OR(E932="",E932=0)),"",(IF(E932=1,30,IF(E932=2,20,IF(E932=3,10,IF(E932&lt;&gt;"",1,0))))+IF(F932=1,30,IF(F932=2,20,IF(F932=3,10,IF(F932&lt;&gt;"",1,0))))+IF(G932=1,30,IF(G932=2,20,IF(G932=3,10,IF(G932&lt;&gt;"",1,0))))+IF(H932=1,30,IF(H932=2,20,IF(H932=3,10,IF(H932&lt;&gt;"",1,0))))))</f>
        <v/>
      </c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14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>
        <f>IF(AND(C933="",OR(E933="",E933=0)),"",(IF(E933=1,30,IF(E933=2,20,IF(E933=3,10,IF(E933&lt;&gt;"",1,0))))+IF(F933=1,30,IF(F933=2,20,IF(F933=3,10,IF(F933&lt;&gt;"",1,0))))+IF(G933=1,30,IF(G933=2,20,IF(G933=3,10,IF(G933&lt;&gt;"",1,0))))+IF(H933=1,30,IF(H933=2,20,IF(H933=3,10,IF(H933&lt;&gt;"",1,0))))))</f>
        <v/>
      </c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14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>
        <f>IF(AND(C934="",OR(E934="",E934=0)),"",(IF(E934=1,30,IF(E934=2,20,IF(E934=3,10,IF(E934&lt;&gt;"",1,0))))+IF(F934=1,30,IF(F934=2,20,IF(F934=3,10,IF(F934&lt;&gt;"",1,0))))+IF(G934=1,30,IF(G934=2,20,IF(G934=3,10,IF(G934&lt;&gt;"",1,0))))+IF(H934=1,30,IF(H934=2,20,IF(H934=3,10,IF(H934&lt;&gt;"",1,0))))))</f>
        <v/>
      </c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14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>
        <f>IF(AND(C935="",OR(E935="",E935=0)),"",(IF(E935=1,30,IF(E935=2,20,IF(E935=3,10,IF(E935&lt;&gt;"",1,0))))+IF(F935=1,30,IF(F935=2,20,IF(F935=3,10,IF(F935&lt;&gt;"",1,0))))+IF(G935=1,30,IF(G935=2,20,IF(G935=3,10,IF(G935&lt;&gt;"",1,0))))+IF(H935=1,30,IF(H935=2,20,IF(H935=3,10,IF(H935&lt;&gt;"",1,0))))))</f>
        <v/>
      </c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14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>
        <f>IF(AND(C936="",OR(E936="",E936=0)),"",(IF(E936=1,30,IF(E936=2,20,IF(E936=3,10,IF(E936&lt;&gt;"",1,0))))+IF(F936=1,30,IF(F936=2,20,IF(F936=3,10,IF(F936&lt;&gt;"",1,0))))+IF(G936=1,30,IF(G936=2,20,IF(G936=3,10,IF(G936&lt;&gt;"",1,0))))+IF(H936=1,30,IF(H936=2,20,IF(H936=3,10,IF(H936&lt;&gt;"",1,0))))))</f>
        <v/>
      </c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14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>
        <f>IF(AND(C937="",OR(E937="",E937=0)),"",(IF(E937=1,30,IF(E937=2,20,IF(E937=3,10,IF(E937&lt;&gt;"",1,0))))+IF(F937=1,30,IF(F937=2,20,IF(F937=3,10,IF(F937&lt;&gt;"",1,0))))+IF(G937=1,30,IF(G937=2,20,IF(G937=3,10,IF(G937&lt;&gt;"",1,0))))+IF(H937=1,30,IF(H937=2,20,IF(H937=3,10,IF(H937&lt;&gt;"",1,0))))))</f>
        <v/>
      </c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14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>
        <f>IF(AND(C938="",OR(E938="",E938=0)),"",(IF(E938=1,30,IF(E938=2,20,IF(E938=3,10,IF(E938&lt;&gt;"",1,0))))+IF(F938=1,30,IF(F938=2,20,IF(F938=3,10,IF(F938&lt;&gt;"",1,0))))+IF(G938=1,30,IF(G938=2,20,IF(G938=3,10,IF(G938&lt;&gt;"",1,0))))+IF(H938=1,30,IF(H938=2,20,IF(H938=3,10,IF(H938&lt;&gt;"",1,0))))))</f>
        <v/>
      </c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14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>
        <f>IF(AND(C939="",OR(E939="",E939=0)),"",(IF(E939=1,30,IF(E939=2,20,IF(E939=3,10,IF(E939&lt;&gt;"",1,0))))+IF(F939=1,30,IF(F939=2,20,IF(F939=3,10,IF(F939&lt;&gt;"",1,0))))+IF(G939=1,30,IF(G939=2,20,IF(G939=3,10,IF(G939&lt;&gt;"",1,0))))+IF(H939=1,30,IF(H939=2,20,IF(H939=3,10,IF(H939&lt;&gt;"",1,0))))))</f>
        <v/>
      </c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14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>
        <f>IF(AND(C940="",OR(E940="",E940=0)),"",(IF(E940=1,30,IF(E940=2,20,IF(E940=3,10,IF(E940&lt;&gt;"",1,0))))+IF(F940=1,30,IF(F940=2,20,IF(F940=3,10,IF(F940&lt;&gt;"",1,0))))+IF(G940=1,30,IF(G940=2,20,IF(G940=3,10,IF(G940&lt;&gt;"",1,0))))+IF(H940=1,30,IF(H940=2,20,IF(H940=3,10,IF(H940&lt;&gt;"",1,0))))))</f>
        <v/>
      </c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14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>
        <f>IF(AND(C941="",OR(E941="",E941=0)),"",(IF(E941=1,30,IF(E941=2,20,IF(E941=3,10,IF(E941&lt;&gt;"",1,0))))+IF(F941=1,30,IF(F941=2,20,IF(F941=3,10,IF(F941&lt;&gt;"",1,0))))+IF(G941=1,30,IF(G941=2,20,IF(G941=3,10,IF(G941&lt;&gt;"",1,0))))+IF(H941=1,30,IF(H941=2,20,IF(H941=3,10,IF(H941&lt;&gt;"",1,0))))))</f>
        <v/>
      </c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14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>
        <f>IF(AND(C942="",OR(E942="",E942=0)),"",(IF(E942=1,30,IF(E942=2,20,IF(E942=3,10,IF(E942&lt;&gt;"",1,0))))+IF(F942=1,30,IF(F942=2,20,IF(F942=3,10,IF(F942&lt;&gt;"",1,0))))+IF(G942=1,30,IF(G942=2,20,IF(G942=3,10,IF(G942&lt;&gt;"",1,0))))+IF(H942=1,30,IF(H942=2,20,IF(H942=3,10,IF(H942&lt;&gt;"",1,0))))))</f>
        <v/>
      </c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1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>
        <f>IF(AND(C943="",OR(E943="",E943=0)),"",(IF(E943=1,30,IF(E943=2,20,IF(E943=3,10,IF(E943&lt;&gt;"",1,0))))+IF(F943=1,30,IF(F943=2,20,IF(F943=3,10,IF(F943&lt;&gt;"",1,0))))+IF(G943=1,30,IF(G943=2,20,IF(G943=3,10,IF(G943&lt;&gt;"",1,0))))+IF(H943=1,30,IF(H943=2,20,IF(H943=3,10,IF(H943&lt;&gt;"",1,0))))))</f>
        <v/>
      </c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14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>
        <f>IF(AND(C944="",OR(E944="",E944=0)),"",(IF(E944=1,30,IF(E944=2,20,IF(E944=3,10,IF(E944&lt;&gt;"",1,0))))+IF(F944=1,30,IF(F944=2,20,IF(F944=3,10,IF(F944&lt;&gt;"",1,0))))+IF(G944=1,30,IF(G944=2,20,IF(G944=3,10,IF(G944&lt;&gt;"",1,0))))+IF(H944=1,30,IF(H944=2,20,IF(H944=3,10,IF(H944&lt;&gt;"",1,0))))))</f>
        <v/>
      </c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14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>
        <f>IF(AND(C945="",OR(E945="",E945=0)),"",(IF(E945=1,30,IF(E945=2,20,IF(E945=3,10,IF(E945&lt;&gt;"",1,0))))+IF(F945=1,30,IF(F945=2,20,IF(F945=3,10,IF(F945&lt;&gt;"",1,0))))+IF(G945=1,30,IF(G945=2,20,IF(G945=3,10,IF(G945&lt;&gt;"",1,0))))+IF(H945=1,30,IF(H945=2,20,IF(H945=3,10,IF(H945&lt;&gt;"",1,0))))))</f>
        <v/>
      </c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14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>
        <f>IF(AND(C946="",OR(E946="",E946=0)),"",(IF(E946=1,30,IF(E946=2,20,IF(E946=3,10,IF(E946&lt;&gt;"",1,0))))+IF(F946=1,30,IF(F946=2,20,IF(F946=3,10,IF(F946&lt;&gt;"",1,0))))+IF(G946=1,30,IF(G946=2,20,IF(G946=3,10,IF(G946&lt;&gt;"",1,0))))+IF(H946=1,30,IF(H946=2,20,IF(H946=3,10,IF(H946&lt;&gt;"",1,0))))))</f>
        <v/>
      </c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14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>
        <f>IF(AND(C947="",OR(E947="",E947=0)),"",(IF(E947=1,30,IF(E947=2,20,IF(E947=3,10,IF(E947&lt;&gt;"",1,0))))+IF(F947=1,30,IF(F947=2,20,IF(F947=3,10,IF(F947&lt;&gt;"",1,0))))+IF(G947=1,30,IF(G947=2,20,IF(G947=3,10,IF(G947&lt;&gt;"",1,0))))+IF(H947=1,30,IF(H947=2,20,IF(H947=3,10,IF(H947&lt;&gt;"",1,0))))))</f>
        <v/>
      </c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14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>
        <f>IF(AND(C948="",OR(E948="",E948=0)),"",(IF(E948=1,30,IF(E948=2,20,IF(E948=3,10,IF(E948&lt;&gt;"",1,0))))+IF(F948=1,30,IF(F948=2,20,IF(F948=3,10,IF(F948&lt;&gt;"",1,0))))+IF(G948=1,30,IF(G948=2,20,IF(G948=3,10,IF(G948&lt;&gt;"",1,0))))+IF(H948=1,30,IF(H948=2,20,IF(H948=3,10,IF(H948&lt;&gt;"",1,0))))))</f>
        <v/>
      </c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14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>
        <f>IF(AND(C949="",OR(E949="",E949=0)),"",(IF(E949=1,30,IF(E949=2,20,IF(E949=3,10,IF(E949&lt;&gt;"",1,0))))+IF(F949=1,30,IF(F949=2,20,IF(F949=3,10,IF(F949&lt;&gt;"",1,0))))+IF(G949=1,30,IF(G949=2,20,IF(G949=3,10,IF(G949&lt;&gt;"",1,0))))+IF(H949=1,30,IF(H949=2,20,IF(H949=3,10,IF(H949&lt;&gt;"",1,0))))))</f>
        <v/>
      </c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14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>
        <f>IF(AND(C950="",OR(E950="",E950=0)),"",(IF(E950=1,30,IF(E950=2,20,IF(E950=3,10,IF(E950&lt;&gt;"",1,0))))+IF(F950=1,30,IF(F950=2,20,IF(F950=3,10,IF(F950&lt;&gt;"",1,0))))+IF(G950=1,30,IF(G950=2,20,IF(G950=3,10,IF(G950&lt;&gt;"",1,0))))+IF(H950=1,30,IF(H950=2,20,IF(H950=3,10,IF(H950&lt;&gt;"",1,0))))))</f>
        <v/>
      </c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14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>
        <f>IF(AND(C951="",OR(E951="",E951=0)),"",(IF(E951=1,30,IF(E951=2,20,IF(E951=3,10,IF(E951&lt;&gt;"",1,0))))+IF(F951=1,30,IF(F951=2,20,IF(F951=3,10,IF(F951&lt;&gt;"",1,0))))+IF(G951=1,30,IF(G951=2,20,IF(G951=3,10,IF(G951&lt;&gt;"",1,0))))+IF(H951=1,30,IF(H951=2,20,IF(H951=3,10,IF(H951&lt;&gt;"",1,0))))))</f>
        <v/>
      </c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14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>
        <f>IF(AND(C952="",OR(E952="",E952=0)),"",(IF(E952=1,30,IF(E952=2,20,IF(E952=3,10,IF(E952&lt;&gt;"",1,0))))+IF(F952=1,30,IF(F952=2,20,IF(F952=3,10,IF(F952&lt;&gt;"",1,0))))+IF(G952=1,30,IF(G952=2,20,IF(G952=3,10,IF(G952&lt;&gt;"",1,0))))+IF(H952=1,30,IF(H952=2,20,IF(H952=3,10,IF(H952&lt;&gt;"",1,0))))))</f>
        <v/>
      </c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14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>
        <f>IF(AND(C953="",OR(E953="",E953=0)),"",(IF(E953=1,30,IF(E953=2,20,IF(E953=3,10,IF(E953&lt;&gt;"",1,0))))+IF(F953=1,30,IF(F953=2,20,IF(F953=3,10,IF(F953&lt;&gt;"",1,0))))+IF(G953=1,30,IF(G953=2,20,IF(G953=3,10,IF(G953&lt;&gt;"",1,0))))+IF(H953=1,30,IF(H953=2,20,IF(H953=3,10,IF(H953&lt;&gt;"",1,0))))))</f>
        <v/>
      </c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14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>
        <f>IF(AND(C954="",OR(E954="",E954=0)),"",(IF(E954=1,30,IF(E954=2,20,IF(E954=3,10,IF(E954&lt;&gt;"",1,0))))+IF(F954=1,30,IF(F954=2,20,IF(F954=3,10,IF(F954&lt;&gt;"",1,0))))+IF(G954=1,30,IF(G954=2,20,IF(G954=3,10,IF(G954&lt;&gt;"",1,0))))+IF(H954=1,30,IF(H954=2,20,IF(H954=3,10,IF(H954&lt;&gt;"",1,0))))))</f>
        <v/>
      </c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14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>
        <f>IF(AND(C955="",OR(E955="",E955=0)),"",(IF(E955=1,30,IF(E955=2,20,IF(E955=3,10,IF(E955&lt;&gt;"",1,0))))+IF(F955=1,30,IF(F955=2,20,IF(F955=3,10,IF(F955&lt;&gt;"",1,0))))+IF(G955=1,30,IF(G955=2,20,IF(G955=3,10,IF(G955&lt;&gt;"",1,0))))+IF(H955=1,30,IF(H955=2,20,IF(H955=3,10,IF(H955&lt;&gt;"",1,0))))))</f>
        <v/>
      </c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14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>
        <f>IF(AND(C956="",OR(E956="",E956=0)),"",(IF(E956=1,30,IF(E956=2,20,IF(E956=3,10,IF(E956&lt;&gt;"",1,0))))+IF(F956=1,30,IF(F956=2,20,IF(F956=3,10,IF(F956&lt;&gt;"",1,0))))+IF(G956=1,30,IF(G956=2,20,IF(G956=3,10,IF(G956&lt;&gt;"",1,0))))+IF(H956=1,30,IF(H956=2,20,IF(H956=3,10,IF(H956&lt;&gt;"",1,0))))))</f>
        <v/>
      </c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14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>
        <f>IF(AND(C957="",OR(E957="",E957=0)),"",(IF(E957=1,30,IF(E957=2,20,IF(E957=3,10,IF(E957&lt;&gt;"",1,0))))+IF(F957=1,30,IF(F957=2,20,IF(F957=3,10,IF(F957&lt;&gt;"",1,0))))+IF(G957=1,30,IF(G957=2,20,IF(G957=3,10,IF(G957&lt;&gt;"",1,0))))+IF(H957=1,30,IF(H957=2,20,IF(H957=3,10,IF(H957&lt;&gt;"",1,0))))))</f>
        <v/>
      </c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14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>
        <f>IF(AND(C958="",OR(E958="",E958=0)),"",(IF(E958=1,30,IF(E958=2,20,IF(E958=3,10,IF(E958&lt;&gt;"",1,0))))+IF(F958=1,30,IF(F958=2,20,IF(F958=3,10,IF(F958&lt;&gt;"",1,0))))+IF(G958=1,30,IF(G958=2,20,IF(G958=3,10,IF(G958&lt;&gt;"",1,0))))+IF(H958=1,30,IF(H958=2,20,IF(H958=3,10,IF(H958&lt;&gt;"",1,0))))))</f>
        <v/>
      </c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14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>
        <f>IF(AND(C959="",OR(E959="",E959=0)),"",(IF(E959=1,30,IF(E959=2,20,IF(E959=3,10,IF(E959&lt;&gt;"",1,0))))+IF(F959=1,30,IF(F959=2,20,IF(F959=3,10,IF(F959&lt;&gt;"",1,0))))+IF(G959=1,30,IF(G959=2,20,IF(G959=3,10,IF(G959&lt;&gt;"",1,0))))+IF(H959=1,30,IF(H959=2,20,IF(H959=3,10,IF(H959&lt;&gt;"",1,0))))))</f>
        <v/>
      </c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14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>
        <f>IF(AND(C960="",OR(E960="",E960=0)),"",(IF(E960=1,30,IF(E960=2,20,IF(E960=3,10,IF(E960&lt;&gt;"",1,0))))+IF(F960=1,30,IF(F960=2,20,IF(F960=3,10,IF(F960&lt;&gt;"",1,0))))+IF(G960=1,30,IF(G960=2,20,IF(G960=3,10,IF(G960&lt;&gt;"",1,0))))+IF(H960=1,30,IF(H960=2,20,IF(H960=3,10,IF(H960&lt;&gt;"",1,0))))))</f>
        <v/>
      </c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14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>
        <f>IF(AND(C961="",OR(E961="",E961=0)),"",(IF(E961=1,30,IF(E961=2,20,IF(E961=3,10,IF(E961&lt;&gt;"",1,0))))+IF(F961=1,30,IF(F961=2,20,IF(F961=3,10,IF(F961&lt;&gt;"",1,0))))+IF(G961=1,30,IF(G961=2,20,IF(G961=3,10,IF(G961&lt;&gt;"",1,0))))+IF(H961=1,30,IF(H961=2,20,IF(H961=3,10,IF(H961&lt;&gt;"",1,0))))))</f>
        <v/>
      </c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14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>
        <f>IF(AND(C962="",OR(E962="",E962=0)),"",(IF(E962=1,30,IF(E962=2,20,IF(E962=3,10,IF(E962&lt;&gt;"",1,0))))+IF(F962=1,30,IF(F962=2,20,IF(F962=3,10,IF(F962&lt;&gt;"",1,0))))+IF(G962=1,30,IF(G962=2,20,IF(G962=3,10,IF(G962&lt;&gt;"",1,0))))+IF(H962=1,30,IF(H962=2,20,IF(H962=3,10,IF(H962&lt;&gt;"",1,0))))))</f>
        <v/>
      </c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14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>
        <f>IF(AND(C963="",OR(E963="",E963=0)),"",(IF(E963=1,30,IF(E963=2,20,IF(E963=3,10,IF(E963&lt;&gt;"",1,0))))+IF(F963=1,30,IF(F963=2,20,IF(F963=3,10,IF(F963&lt;&gt;"",1,0))))+IF(G963=1,30,IF(G963=2,20,IF(G963=3,10,IF(G963&lt;&gt;"",1,0))))+IF(H963=1,30,IF(H963=2,20,IF(H963=3,10,IF(H963&lt;&gt;"",1,0))))))</f>
        <v/>
      </c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14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>
        <f>IF(AND(C964="",OR(E964="",E964=0)),"",(IF(E964=1,30,IF(E964=2,20,IF(E964=3,10,IF(E964&lt;&gt;"",1,0))))+IF(F964=1,30,IF(F964=2,20,IF(F964=3,10,IF(F964&lt;&gt;"",1,0))))+IF(G964=1,30,IF(G964=2,20,IF(G964=3,10,IF(G964&lt;&gt;"",1,0))))+IF(H964=1,30,IF(H964=2,20,IF(H964=3,10,IF(H964&lt;&gt;"",1,0))))))</f>
        <v/>
      </c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14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>
        <f>IF(AND(C965="",OR(E965="",E965=0)),"",(IF(E965=1,30,IF(E965=2,20,IF(E965=3,10,IF(E965&lt;&gt;"",1,0))))+IF(F965=1,30,IF(F965=2,20,IF(F965=3,10,IF(F965&lt;&gt;"",1,0))))+IF(G965=1,30,IF(G965=2,20,IF(G965=3,10,IF(G965&lt;&gt;"",1,0))))+IF(H965=1,30,IF(H965=2,20,IF(H965=3,10,IF(H965&lt;&gt;"",1,0))))))</f>
        <v/>
      </c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14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>
        <f>IF(AND(C966="",OR(E966="",E966=0)),"",(IF(E966=1,30,IF(E966=2,20,IF(E966=3,10,IF(E966&lt;&gt;"",1,0))))+IF(F966=1,30,IF(F966=2,20,IF(F966=3,10,IF(F966&lt;&gt;"",1,0))))+IF(G966=1,30,IF(G966=2,20,IF(G966=3,10,IF(G966&lt;&gt;"",1,0))))+IF(H966=1,30,IF(H966=2,20,IF(H966=3,10,IF(H966&lt;&gt;"",1,0))))))</f>
        <v/>
      </c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14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>
        <f>IF(AND(C967="",OR(E967="",E967=0)),"",(IF(E967=1,30,IF(E967=2,20,IF(E967=3,10,IF(E967&lt;&gt;"",1,0))))+IF(F967=1,30,IF(F967=2,20,IF(F967=3,10,IF(F967&lt;&gt;"",1,0))))+IF(G967=1,30,IF(G967=2,20,IF(G967=3,10,IF(G967&lt;&gt;"",1,0))))+IF(H967=1,30,IF(H967=2,20,IF(H967=3,10,IF(H967&lt;&gt;"",1,0))))))</f>
        <v/>
      </c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14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>
        <f>IF(AND(C968="",OR(E968="",E968=0)),"",(IF(E968=1,30,IF(E968=2,20,IF(E968=3,10,IF(E968&lt;&gt;"",1,0))))+IF(F968=1,30,IF(F968=2,20,IF(F968=3,10,IF(F968&lt;&gt;"",1,0))))+IF(G968=1,30,IF(G968=2,20,IF(G968=3,10,IF(G968&lt;&gt;"",1,0))))+IF(H968=1,30,IF(H968=2,20,IF(H968=3,10,IF(H968&lt;&gt;"",1,0))))))</f>
        <v/>
      </c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14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>
        <f>IF(AND(C969="",OR(E969="",E969=0)),"",(IF(E969=1,30,IF(E969=2,20,IF(E969=3,10,IF(E969&lt;&gt;"",1,0))))+IF(F969=1,30,IF(F969=2,20,IF(F969=3,10,IF(F969&lt;&gt;"",1,0))))+IF(G969=1,30,IF(G969=2,20,IF(G969=3,10,IF(G969&lt;&gt;"",1,0))))+IF(H969=1,30,IF(H969=2,20,IF(H969=3,10,IF(H969&lt;&gt;"",1,0))))))</f>
        <v/>
      </c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14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>
        <f>IF(AND(C970="",OR(E970="",E970=0)),"",(IF(E970=1,30,IF(E970=2,20,IF(E970=3,10,IF(E970&lt;&gt;"",1,0))))+IF(F970=1,30,IF(F970=2,20,IF(F970=3,10,IF(F970&lt;&gt;"",1,0))))+IF(G970=1,30,IF(G970=2,20,IF(G970=3,10,IF(G970&lt;&gt;"",1,0))))+IF(H970=1,30,IF(H970=2,20,IF(H970=3,10,IF(H970&lt;&gt;"",1,0))))))</f>
        <v/>
      </c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14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>
        <f>IF(AND(C971="",OR(E971="",E971=0)),"",(IF(E971=1,30,IF(E971=2,20,IF(E971=3,10,IF(E971&lt;&gt;"",1,0))))+IF(F971=1,30,IF(F971=2,20,IF(F971=3,10,IF(F971&lt;&gt;"",1,0))))+IF(G971=1,30,IF(G971=2,20,IF(G971=3,10,IF(G971&lt;&gt;"",1,0))))+IF(H971=1,30,IF(H971=2,20,IF(H971=3,10,IF(H971&lt;&gt;"",1,0))))))</f>
        <v/>
      </c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14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>
        <f>IF(AND(C972="",OR(E972="",E972=0)),"",(IF(E972=1,30,IF(E972=2,20,IF(E972=3,10,IF(E972&lt;&gt;"",1,0))))+IF(F972=1,30,IF(F972=2,20,IF(F972=3,10,IF(F972&lt;&gt;"",1,0))))+IF(G972=1,30,IF(G972=2,20,IF(G972=3,10,IF(G972&lt;&gt;"",1,0))))+IF(H972=1,30,IF(H972=2,20,IF(H972=3,10,IF(H972&lt;&gt;"",1,0))))))</f>
        <v/>
      </c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14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>
        <f>IF(AND(C973="",OR(E973="",E973=0)),"",(IF(E973=1,30,IF(E973=2,20,IF(E973=3,10,IF(E973&lt;&gt;"",1,0))))+IF(F973=1,30,IF(F973=2,20,IF(F973=3,10,IF(F973&lt;&gt;"",1,0))))+IF(G973=1,30,IF(G973=2,20,IF(G973=3,10,IF(G973&lt;&gt;"",1,0))))+IF(H973=1,30,IF(H973=2,20,IF(H973=3,10,IF(H973&lt;&gt;"",1,0))))))</f>
        <v/>
      </c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14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>
        <f>IF(AND(C974="",OR(E974="",E974=0)),"",(IF(E974=1,30,IF(E974=2,20,IF(E974=3,10,IF(E974&lt;&gt;"",1,0))))+IF(F974=1,30,IF(F974=2,20,IF(F974=3,10,IF(F974&lt;&gt;"",1,0))))+IF(G974=1,30,IF(G974=2,20,IF(G974=3,10,IF(G974&lt;&gt;"",1,0))))+IF(H974=1,30,IF(H974=2,20,IF(H974=3,10,IF(H974&lt;&gt;"",1,0))))))</f>
        <v/>
      </c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14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>
        <f>IF(AND(C975="",OR(E975="",E975=0)),"",(IF(E975=1,30,IF(E975=2,20,IF(E975=3,10,IF(E975&lt;&gt;"",1,0))))+IF(F975=1,30,IF(F975=2,20,IF(F975=3,10,IF(F975&lt;&gt;"",1,0))))+IF(G975=1,30,IF(G975=2,20,IF(G975=3,10,IF(G975&lt;&gt;"",1,0))))+IF(H975=1,30,IF(H975=2,20,IF(H975=3,10,IF(H975&lt;&gt;"",1,0))))))</f>
        <v/>
      </c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14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>
        <f>IF(AND(C976="",OR(E976="",E976=0)),"",(IF(E976=1,30,IF(E976=2,20,IF(E976=3,10,IF(E976&lt;&gt;"",1,0))))+IF(F976=1,30,IF(F976=2,20,IF(F976=3,10,IF(F976&lt;&gt;"",1,0))))+IF(G976=1,30,IF(G976=2,20,IF(G976=3,10,IF(G976&lt;&gt;"",1,0))))+IF(H976=1,30,IF(H976=2,20,IF(H976=3,10,IF(H976&lt;&gt;"",1,0))))))</f>
        <v/>
      </c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14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>
        <f>IF(AND(C977="",OR(E977="",E977=0)),"",(IF(E977=1,30,IF(E977=2,20,IF(E977=3,10,IF(E977&lt;&gt;"",1,0))))+IF(F977=1,30,IF(F977=2,20,IF(F977=3,10,IF(F977&lt;&gt;"",1,0))))+IF(G977=1,30,IF(G977=2,20,IF(G977=3,10,IF(G977&lt;&gt;"",1,0))))+IF(H977=1,30,IF(H977=2,20,IF(H977=3,10,IF(H977&lt;&gt;"",1,0))))))</f>
        <v/>
      </c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14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>
        <f>IF(AND(C978="",OR(E978="",E978=0)),"",(IF(E978=1,30,IF(E978=2,20,IF(E978=3,10,IF(E978&lt;&gt;"",1,0))))+IF(F978=1,30,IF(F978=2,20,IF(F978=3,10,IF(F978&lt;&gt;"",1,0))))+IF(G978=1,30,IF(G978=2,20,IF(G978=3,10,IF(G978&lt;&gt;"",1,0))))+IF(H978=1,30,IF(H978=2,20,IF(H978=3,10,IF(H978&lt;&gt;"",1,0))))))</f>
        <v/>
      </c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14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>
        <f>IF(AND(C979="",OR(E979="",E979=0)),"",(IF(E979=1,30,IF(E979=2,20,IF(E979=3,10,IF(E979&lt;&gt;"",1,0))))+IF(F979=1,30,IF(F979=2,20,IF(F979=3,10,IF(F979&lt;&gt;"",1,0))))+IF(G979=1,30,IF(G979=2,20,IF(G979=3,10,IF(G979&lt;&gt;"",1,0))))+IF(H979=1,30,IF(H979=2,20,IF(H979=3,10,IF(H979&lt;&gt;"",1,0))))))</f>
        <v/>
      </c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14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>
        <f>IF(AND(C980="",OR(E980="",E980=0)),"",(IF(E980=1,30,IF(E980=2,20,IF(E980=3,10,IF(E980&lt;&gt;"",1,0))))+IF(F980=1,30,IF(F980=2,20,IF(F980=3,10,IF(F980&lt;&gt;"",1,0))))+IF(G980=1,30,IF(G980=2,20,IF(G980=3,10,IF(G980&lt;&gt;"",1,0))))+IF(H980=1,30,IF(H980=2,20,IF(H980=3,10,IF(H980&lt;&gt;"",1,0))))))</f>
        <v/>
      </c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14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>
        <f>IF(AND(C981="",OR(E981="",E981=0)),"",(IF(E981=1,30,IF(E981=2,20,IF(E981=3,10,IF(E981&lt;&gt;"",1,0))))+IF(F981=1,30,IF(F981=2,20,IF(F981=3,10,IF(F981&lt;&gt;"",1,0))))+IF(G981=1,30,IF(G981=2,20,IF(G981=3,10,IF(G981&lt;&gt;"",1,0))))+IF(H981=1,30,IF(H981=2,20,IF(H981=3,10,IF(H981&lt;&gt;"",1,0))))))</f>
        <v/>
      </c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14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>
        <f>IF(AND(C982="",OR(E982="",E982=0)),"",(IF(E982=1,30,IF(E982=2,20,IF(E982=3,10,IF(E982&lt;&gt;"",1,0))))+IF(F982=1,30,IF(F982=2,20,IF(F982=3,10,IF(F982&lt;&gt;"",1,0))))+IF(G982=1,30,IF(G982=2,20,IF(G982=3,10,IF(G982&lt;&gt;"",1,0))))+IF(H982=1,30,IF(H982=2,20,IF(H982=3,10,IF(H982&lt;&gt;"",1,0))))))</f>
        <v/>
      </c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14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>
        <f>IF(AND(C983="",OR(E983="",E983=0)),"",(IF(E983=1,30,IF(E983=2,20,IF(E983=3,10,IF(E983&lt;&gt;"",1,0))))+IF(F983=1,30,IF(F983=2,20,IF(F983=3,10,IF(F983&lt;&gt;"",1,0))))+IF(G983=1,30,IF(G983=2,20,IF(G983=3,10,IF(G983&lt;&gt;"",1,0))))+IF(H983=1,30,IF(H983=2,20,IF(H983=3,10,IF(H983&lt;&gt;"",1,0))))))</f>
        <v/>
      </c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14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>
        <f>IF(AND(C984="",OR(E984="",E984=0)),"",(IF(E984=1,30,IF(E984=2,20,IF(E984=3,10,IF(E984&lt;&gt;"",1,0))))+IF(F984=1,30,IF(F984=2,20,IF(F984=3,10,IF(F984&lt;&gt;"",1,0))))+IF(G984=1,30,IF(G984=2,20,IF(G984=3,10,IF(G984&lt;&gt;"",1,0))))+IF(H984=1,30,IF(H984=2,20,IF(H984=3,10,IF(H984&lt;&gt;"",1,0))))))</f>
        <v/>
      </c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14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>
        <f>IF(AND(C985="",OR(E985="",E985=0)),"",(IF(E985=1,30,IF(E985=2,20,IF(E985=3,10,IF(E985&lt;&gt;"",1,0))))+IF(F985=1,30,IF(F985=2,20,IF(F985=3,10,IF(F985&lt;&gt;"",1,0))))+IF(G985=1,30,IF(G985=2,20,IF(G985=3,10,IF(G985&lt;&gt;"",1,0))))+IF(H985=1,30,IF(H985=2,20,IF(H985=3,10,IF(H985&lt;&gt;"",1,0))))))</f>
        <v/>
      </c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14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>
        <f>IF(AND(C986="",OR(E986="",E986=0)),"",(IF(E986=1,30,IF(E986=2,20,IF(E986=3,10,IF(E986&lt;&gt;"",1,0))))+IF(F986=1,30,IF(F986=2,20,IF(F986=3,10,IF(F986&lt;&gt;"",1,0))))+IF(G986=1,30,IF(G986=2,20,IF(G986=3,10,IF(G986&lt;&gt;"",1,0))))+IF(H986=1,30,IF(H986=2,20,IF(H986=3,10,IF(H986&lt;&gt;"",1,0))))))</f>
        <v/>
      </c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14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>
        <f>IF(AND(C987="",OR(E987="",E987=0)),"",(IF(E987=1,30,IF(E987=2,20,IF(E987=3,10,IF(E987&lt;&gt;"",1,0))))+IF(F987=1,30,IF(F987=2,20,IF(F987=3,10,IF(F987&lt;&gt;"",1,0))))+IF(G987=1,30,IF(G987=2,20,IF(G987=3,10,IF(G987&lt;&gt;"",1,0))))+IF(H987=1,30,IF(H987=2,20,IF(H987=3,10,IF(H987&lt;&gt;"",1,0))))))</f>
        <v/>
      </c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14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>
        <f>IF(AND(C988="",OR(E988="",E988=0)),"",(IF(E988=1,30,IF(E988=2,20,IF(E988=3,10,IF(E988&lt;&gt;"",1,0))))+IF(F988=1,30,IF(F988=2,20,IF(F988=3,10,IF(F988&lt;&gt;"",1,0))))+IF(G988=1,30,IF(G988=2,20,IF(G988=3,10,IF(G988&lt;&gt;"",1,0))))+IF(H988=1,30,IF(H988=2,20,IF(H988=3,10,IF(H988&lt;&gt;"",1,0))))))</f>
        <v/>
      </c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14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>
        <f>IF(AND(C989="",OR(E989="",E989=0)),"",(IF(E989=1,30,IF(E989=2,20,IF(E989=3,10,IF(E989&lt;&gt;"",1,0))))+IF(F989=1,30,IF(F989=2,20,IF(F989=3,10,IF(F989&lt;&gt;"",1,0))))+IF(G989=1,30,IF(G989=2,20,IF(G989=3,10,IF(G989&lt;&gt;"",1,0))))+IF(H989=1,30,IF(H989=2,20,IF(H989=3,10,IF(H989&lt;&gt;"",1,0))))))</f>
        <v/>
      </c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14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>
        <f>IF(AND(C990="",OR(E990="",E990=0)),"",(IF(E990=1,30,IF(E990=2,20,IF(E990=3,10,IF(E990&lt;&gt;"",1,0))))+IF(F990=1,30,IF(F990=2,20,IF(F990=3,10,IF(F990&lt;&gt;"",1,0))))+IF(G990=1,30,IF(G990=2,20,IF(G990=3,10,IF(G990&lt;&gt;"",1,0))))+IF(H990=1,30,IF(H990=2,20,IF(H990=3,10,IF(H990&lt;&gt;"",1,0))))))</f>
        <v/>
      </c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14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>
        <f>IF(AND(C991="",OR(E991="",E991=0)),"",(IF(E991=1,30,IF(E991=2,20,IF(E991=3,10,IF(E991&lt;&gt;"",1,0))))+IF(F991=1,30,IF(F991=2,20,IF(F991=3,10,IF(F991&lt;&gt;"",1,0))))+IF(G991=1,30,IF(G991=2,20,IF(G991=3,10,IF(G991&lt;&gt;"",1,0))))+IF(H991=1,30,IF(H991=2,20,IF(H991=3,10,IF(H991&lt;&gt;"",1,0))))))</f>
        <v/>
      </c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14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>
        <f>IF(AND(C992="",OR(E992="",E992=0)),"",(IF(E992=1,30,IF(E992=2,20,IF(E992=3,10,IF(E992&lt;&gt;"",1,0))))+IF(F992=1,30,IF(F992=2,20,IF(F992=3,10,IF(F992&lt;&gt;"",1,0))))+IF(G992=1,30,IF(G992=2,20,IF(G992=3,10,IF(G992&lt;&gt;"",1,0))))+IF(H992=1,30,IF(H992=2,20,IF(H992=3,10,IF(H992&lt;&gt;"",1,0))))))</f>
        <v/>
      </c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14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>
        <f>IF(AND(C993="",OR(E993="",E993=0)),"",(IF(E993=1,30,IF(E993=2,20,IF(E993=3,10,IF(E993&lt;&gt;"",1,0))))+IF(F993=1,30,IF(F993=2,20,IF(F993=3,10,IF(F993&lt;&gt;"",1,0))))+IF(G993=1,30,IF(G993=2,20,IF(G993=3,10,IF(G993&lt;&gt;"",1,0))))+IF(H993=1,30,IF(H993=2,20,IF(H993=3,10,IF(H993&lt;&gt;"",1,0))))))</f>
        <v/>
      </c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14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>
        <f>IF(AND(C994="",OR(E994="",E994=0)),"",(IF(E994=1,30,IF(E994=2,20,IF(E994=3,10,IF(E994&lt;&gt;"",1,0))))+IF(F994=1,30,IF(F994=2,20,IF(F994=3,10,IF(F994&lt;&gt;"",1,0))))+IF(G994=1,30,IF(G994=2,20,IF(G994=3,10,IF(G994&lt;&gt;"",1,0))))+IF(H994=1,30,IF(H994=2,20,IF(H994=3,10,IF(H994&lt;&gt;"",1,0))))))</f>
        <v/>
      </c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14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>
        <f>IF(AND(C995="",OR(E995="",E995=0)),"",(IF(E995=1,30,IF(E995=2,20,IF(E995=3,10,IF(E995&lt;&gt;"",1,0))))+IF(F995=1,30,IF(F995=2,20,IF(F995=3,10,IF(F995&lt;&gt;"",1,0))))+IF(G995=1,30,IF(G995=2,20,IF(G995=3,10,IF(G995&lt;&gt;"",1,0))))+IF(H995=1,30,IF(H995=2,20,IF(H995=3,10,IF(H995&lt;&gt;"",1,0))))))</f>
        <v/>
      </c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14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>
        <f>IF(AND(C996="",OR(E996="",E996=0)),"",(IF(E996=1,30,IF(E996=2,20,IF(E996=3,10,IF(E996&lt;&gt;"",1,0))))+IF(F996=1,30,IF(F996=2,20,IF(F996=3,10,IF(F996&lt;&gt;"",1,0))))+IF(G996=1,30,IF(G996=2,20,IF(G996=3,10,IF(G996&lt;&gt;"",1,0))))+IF(H996=1,30,IF(H996=2,20,IF(H996=3,10,IF(H996&lt;&gt;"",1,0))))))</f>
        <v/>
      </c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14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>
        <f>IF(AND(C997="",OR(E997="",E997=0)),"",(IF(E997=1,30,IF(E997=2,20,IF(E997=3,10,IF(E997&lt;&gt;"",1,0))))+IF(F997=1,30,IF(F997=2,20,IF(F997=3,10,IF(F997&lt;&gt;"",1,0))))+IF(G997=1,30,IF(G997=2,20,IF(G997=3,10,IF(G997&lt;&gt;"",1,0))))+IF(H997=1,30,IF(H997=2,20,IF(H997=3,10,IF(H997&lt;&gt;"",1,0))))))</f>
        <v/>
      </c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14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>
        <f>IF(AND(C998="",OR(E998="",E998=0)),"",(IF(E998=1,30,IF(E998=2,20,IF(E998=3,10,IF(E998&lt;&gt;"",1,0))))+IF(F998=1,30,IF(F998=2,20,IF(F998=3,10,IF(F998&lt;&gt;"",1,0))))+IF(G998=1,30,IF(G998=2,20,IF(G998=3,10,IF(G998&lt;&gt;"",1,0))))+IF(H998=1,30,IF(H998=2,20,IF(H998=3,10,IF(H998&lt;&gt;"",1,0))))))</f>
        <v/>
      </c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14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>
        <f>IF(AND(C999="",OR(E999="",E999=0)),"",(IF(E999=1,30,IF(E999=2,20,IF(E999=3,10,IF(E999&lt;&gt;"",1,0))))+IF(F999=1,30,IF(F999=2,20,IF(F999=3,10,IF(F999&lt;&gt;"",1,0))))+IF(G999=1,30,IF(G999=2,20,IF(G999=3,10,IF(G999&lt;&gt;"",1,0))))+IF(H999=1,30,IF(H999=2,20,IF(H999=3,10,IF(H999&lt;&gt;"",1,0))))))</f>
        <v/>
      </c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14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>
        <f>IF(AND(C1000="",OR(E1000="",E1000=0)),"",(IF(E1000=1,30,IF(E1000=2,20,IF(E1000=3,10,IF(E1000&lt;&gt;"",1,0))))+IF(F1000=1,30,IF(F1000=2,20,IF(F1000=3,10,IF(F1000&lt;&gt;"",1,0))))+IF(G1000=1,30,IF(G1000=2,20,IF(G1000=3,10,IF(G1000&lt;&gt;"",1,0))))+IF(H1000=1,30,IF(H1000=2,20,IF(H1000=3,10,IF(H1000&lt;&gt;"",1,0))))))</f>
        <v/>
      </c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B$3:$I$103"/>
  <mergeCells count="1">
    <mergeCell ref="B2:I2"/>
  </mergeCells>
  <conditionalFormatting sqref="B4:I103">
    <cfRule type="expression" priority="1" dxfId="0">
      <formula>$D4="Bgirl"</formula>
    </cfRule>
  </conditionalFormatting>
  <dataValidations count="1">
    <dataValidation sqref="D4:D103" showDropDown="0" showInputMessage="0" showErrorMessage="0" allowBlank="1" type="list">
      <formula1>"1 год обучения,до 3 лет опыта,до 6 лет,7-9 лет,10-13 лет,Kids Pro,Bgirl"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3" min="1" max="1"/>
    <col width="5" customWidth="1" style="143" min="2" max="2"/>
    <col width="22" customWidth="1" style="143" min="3" max="3"/>
    <col width="16" customWidth="1" style="143" min="4" max="4"/>
    <col width="24.14" customWidth="1" style="143" min="5" max="8"/>
    <col width="14.29" customWidth="1" style="143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6" customHeight="1" s="143">
      <c r="A2" s="1" t="n"/>
      <c r="B2" s="160" t="inlineStr">
        <is>
          <t>🌸 Spring  —  РЕЗУЛЬТАТЫ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30" customHeight="1" s="143">
      <c r="A3" s="1" t="n"/>
      <c r="B3" s="31" t="inlineStr">
        <is>
          <t>№</t>
        </is>
      </c>
      <c r="C3" s="31" t="inlineStr">
        <is>
          <t>Имя участника</t>
        </is>
      </c>
      <c r="D3" s="31" t="inlineStr">
        <is>
          <t>Номинация</t>
        </is>
      </c>
      <c r="E3" s="30" t="inlineStr">
        <is>
          <t>Место (осн.)</t>
        </is>
      </c>
      <c r="F3" s="30" t="inlineStr">
        <is>
          <t>Доп. ном.1</t>
        </is>
      </c>
      <c r="G3" s="30" t="inlineStr">
        <is>
          <t>Доп. ном.2</t>
        </is>
      </c>
      <c r="H3" s="30" t="inlineStr">
        <is>
          <t>Доп. ном.3</t>
        </is>
      </c>
      <c r="I3" s="31" t="inlineStr">
        <is>
          <t>Баллы (x1)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143">
      <c r="A4" s="1" t="n"/>
      <c r="B4" s="32">
        <f>'👥 Участники'!B4</f>
        <v/>
      </c>
      <c r="C4" s="33">
        <f>'👥 Участники'!C4</f>
        <v/>
      </c>
      <c r="D4" s="34">
        <f>'👥 Участники'!D4</f>
        <v/>
      </c>
      <c r="E4" s="40" t="n"/>
      <c r="F4" s="40" t="n"/>
      <c r="G4" s="40" t="n"/>
      <c r="H4" s="40" t="n"/>
      <c r="I4" s="36">
        <f>IF(AND(C4="",OR(E4="",E4=0)),"",(IF(E4=1,30,IF(E4=2,20,IF(E4=3,10,IF(E4&lt;&gt;"",1,0))))+IF(F4=1,30,IF(F4=2,20,IF(F4=3,10,IF(F4&lt;&gt;"",1,0))))+IF(G4=1,30,IF(G4=2,20,IF(G4=3,10,IF(G4&lt;&gt;"",1,0))))+IF(H4=1,30,IF(H4=2,20,IF(H4=3,10,IF(H4&lt;&gt;"",1,0))))))</f>
        <v/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143">
      <c r="A5" s="1" t="n"/>
      <c r="B5" s="37">
        <f>'👥 Участники'!B5</f>
        <v/>
      </c>
      <c r="C5" s="38">
        <f>'👥 Участники'!C5</f>
        <v/>
      </c>
      <c r="D5" s="39">
        <f>'👥 Участники'!D5</f>
        <v/>
      </c>
      <c r="E5" s="40" t="n"/>
      <c r="F5" s="40" t="n"/>
      <c r="G5" s="40" t="n"/>
      <c r="H5" s="40" t="n"/>
      <c r="I5" s="36">
        <f>IF(AND(C5="",OR(E5="",E5=0)),"",(IF(E5=1,30,IF(E5=2,20,IF(E5=3,10,IF(E5&lt;&gt;"",1,0))))+IF(F5=1,30,IF(F5=2,20,IF(F5=3,10,IF(F5&lt;&gt;"",1,0))))+IF(G5=1,30,IF(G5=2,20,IF(G5=3,10,IF(G5&lt;&gt;"",1,0))))+IF(H5=1,30,IF(H5=2,20,IF(H5=3,10,IF(H5&lt;&gt;"",1,0))))))</f>
        <v/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9.5" customHeight="1" s="143">
      <c r="A6" s="1" t="n"/>
      <c r="B6" s="32">
        <f>'👥 Участники'!B6</f>
        <v/>
      </c>
      <c r="C6" s="33">
        <f>'👥 Участники'!C6</f>
        <v/>
      </c>
      <c r="D6" s="34">
        <f>'👥 Участники'!D6</f>
        <v/>
      </c>
      <c r="E6" s="40" t="n"/>
      <c r="F6" s="40" t="n"/>
      <c r="G6" s="40" t="n"/>
      <c r="H6" s="40" t="n"/>
      <c r="I6" s="36">
        <f>IF(AND(C6="",OR(E6="",E6=0)),"",(IF(E6=1,30,IF(E6=2,20,IF(E6=3,10,IF(E6&lt;&gt;"",1,0))))+IF(F6=1,30,IF(F6=2,20,IF(F6=3,10,IF(F6&lt;&gt;"",1,0))))+IF(G6=1,30,IF(G6=2,20,IF(G6=3,10,IF(G6&lt;&gt;"",1,0))))+IF(H6=1,30,IF(H6=2,20,IF(H6=3,10,IF(H6&lt;&gt;"",1,0))))))</f>
        <v/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143">
      <c r="A7" s="1" t="n"/>
      <c r="B7" s="37">
        <f>'👥 Участники'!B7</f>
        <v/>
      </c>
      <c r="C7" s="38">
        <f>'👥 Участники'!C7</f>
        <v/>
      </c>
      <c r="D7" s="39">
        <f>'👥 Участники'!D7</f>
        <v/>
      </c>
      <c r="E7" s="40" t="n"/>
      <c r="F7" s="40" t="n"/>
      <c r="G7" s="40" t="n"/>
      <c r="H7" s="40" t="n"/>
      <c r="I7" s="36">
        <f>IF(AND(C7="",OR(E7="",E7=0)),"",(IF(E7=1,30,IF(E7=2,20,IF(E7=3,10,IF(E7&lt;&gt;"",1,0))))+IF(F7=1,30,IF(F7=2,20,IF(F7=3,10,IF(F7&lt;&gt;"",1,0))))+IF(G7=1,30,IF(G7=2,20,IF(G7=3,10,IF(G7&lt;&gt;"",1,0))))+IF(H7=1,30,IF(H7=2,20,IF(H7=3,10,IF(H7&lt;&gt;"",1,0))))))</f>
        <v/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143">
      <c r="A8" s="1" t="n"/>
      <c r="B8" s="32">
        <f>'👥 Участники'!B8</f>
        <v/>
      </c>
      <c r="C8" s="33">
        <f>'👥 Участники'!C8</f>
        <v/>
      </c>
      <c r="D8" s="34">
        <f>'👥 Участники'!D8</f>
        <v/>
      </c>
      <c r="E8" s="40" t="n"/>
      <c r="F8" s="40" t="n"/>
      <c r="G8" s="40" t="n"/>
      <c r="H8" s="40" t="n"/>
      <c r="I8" s="36">
        <f>IF(AND(C8="",OR(E8="",E8=0)),"",(IF(E8=1,30,IF(E8=2,20,IF(E8=3,10,IF(E8&lt;&gt;"",1,0))))+IF(F8=1,30,IF(F8=2,20,IF(F8=3,10,IF(F8&lt;&gt;"",1,0))))+IF(G8=1,30,IF(G8=2,20,IF(G8=3,10,IF(G8&lt;&gt;"",1,0))))+IF(H8=1,30,IF(H8=2,20,IF(H8=3,10,IF(H8&lt;&gt;"",1,0))))))</f>
        <v/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143">
      <c r="A9" s="1" t="n"/>
      <c r="B9" s="37">
        <f>'👥 Участники'!B9</f>
        <v/>
      </c>
      <c r="C9" s="38">
        <f>'👥 Участники'!C9</f>
        <v/>
      </c>
      <c r="D9" s="39">
        <f>'👥 Участники'!D9</f>
        <v/>
      </c>
      <c r="E9" s="40" t="n"/>
      <c r="F9" s="40" t="n"/>
      <c r="G9" s="40" t="n"/>
      <c r="H9" s="40" t="n"/>
      <c r="I9" s="36">
        <f>IF(AND(C9="",OR(E9="",E9=0)),"",(IF(E9=1,30,IF(E9=2,20,IF(E9=3,10,IF(E9&lt;&gt;"",1,0))))+IF(F9=1,30,IF(F9=2,20,IF(F9=3,10,IF(F9&lt;&gt;"",1,0))))+IF(G9=1,30,IF(G9=2,20,IF(G9=3,10,IF(G9&lt;&gt;"",1,0))))+IF(H9=1,30,IF(H9=2,20,IF(H9=3,10,IF(H9&lt;&gt;"",1,0))))))</f>
        <v/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143">
      <c r="A10" s="1" t="n"/>
      <c r="B10" s="32">
        <f>'👥 Участники'!B10</f>
        <v/>
      </c>
      <c r="C10" s="33">
        <f>'👥 Участники'!C10</f>
        <v/>
      </c>
      <c r="D10" s="34">
        <f>'👥 Участники'!D10</f>
        <v/>
      </c>
      <c r="E10" s="40" t="n"/>
      <c r="F10" s="40" t="n"/>
      <c r="G10" s="40" t="n"/>
      <c r="H10" s="40" t="n"/>
      <c r="I10" s="36">
        <f>IF(AND(C10="",OR(E10="",E10=0)),"",(IF(E10=1,30,IF(E10=2,20,IF(E10=3,10,IF(E10&lt;&gt;"",1,0))))+IF(F10=1,30,IF(F10=2,20,IF(F10=3,10,IF(F10&lt;&gt;"",1,0))))+IF(G10=1,30,IF(G10=2,20,IF(G10=3,10,IF(G10&lt;&gt;"",1,0))))+IF(H10=1,30,IF(H10=2,20,IF(H10=3,10,IF(H10&lt;&gt;"",1,0))))))</f>
        <v/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143">
      <c r="A11" s="1" t="n"/>
      <c r="B11" s="37">
        <f>'👥 Участники'!B11</f>
        <v/>
      </c>
      <c r="C11" s="38">
        <f>'👥 Участники'!C11</f>
        <v/>
      </c>
      <c r="D11" s="39">
        <f>'👥 Участники'!D11</f>
        <v/>
      </c>
      <c r="E11" s="40" t="n"/>
      <c r="F11" s="40" t="n"/>
      <c r="G11" s="40" t="n"/>
      <c r="H11" s="40" t="n"/>
      <c r="I11" s="36">
        <f>IF(AND(C11="",OR(E11="",E11=0)),"",(IF(E11=1,30,IF(E11=2,20,IF(E11=3,10,IF(E11&lt;&gt;"",1,0))))+IF(F11=1,30,IF(F11=2,20,IF(F11=3,10,IF(F11&lt;&gt;"",1,0))))+IF(G11=1,30,IF(G11=2,20,IF(G11=3,10,IF(G11&lt;&gt;"",1,0))))+IF(H11=1,30,IF(H11=2,20,IF(H11=3,10,IF(H11&lt;&gt;"",1,0))))))</f>
        <v/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9.5" customHeight="1" s="143">
      <c r="A12" s="1" t="n"/>
      <c r="B12" s="32">
        <f>'👥 Участники'!B12</f>
        <v/>
      </c>
      <c r="C12" s="33">
        <f>'👥 Участники'!C12</f>
        <v/>
      </c>
      <c r="D12" s="34">
        <f>'👥 Участники'!D12</f>
        <v/>
      </c>
      <c r="E12" s="40" t="n"/>
      <c r="F12" s="40" t="n"/>
      <c r="G12" s="40" t="n"/>
      <c r="H12" s="40" t="n"/>
      <c r="I12" s="36">
        <f>IF(AND(C12="",OR(E12="",E12=0)),"",(IF(E12=1,30,IF(E12=2,20,IF(E12=3,10,IF(E12&lt;&gt;"",1,0))))+IF(F12=1,30,IF(F12=2,20,IF(F12=3,10,IF(F12&lt;&gt;"",1,0))))+IF(G12=1,30,IF(G12=2,20,IF(G12=3,10,IF(G12&lt;&gt;"",1,0))))+IF(H12=1,30,IF(H12=2,20,IF(H12=3,10,IF(H12&lt;&gt;"",1,0))))))</f>
        <v/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9.5" customHeight="1" s="143">
      <c r="A13" s="1" t="n"/>
      <c r="B13" s="37">
        <f>'👥 Участники'!B13</f>
        <v/>
      </c>
      <c r="C13" s="38">
        <f>'👥 Участники'!C13</f>
        <v/>
      </c>
      <c r="D13" s="39">
        <f>'👥 Участники'!D13</f>
        <v/>
      </c>
      <c r="E13" s="40" t="n"/>
      <c r="F13" s="40" t="n"/>
      <c r="G13" s="40" t="n"/>
      <c r="H13" s="40" t="n"/>
      <c r="I13" s="36">
        <f>IF(AND(C13="",OR(E13="",E13=0)),"",(IF(E13=1,30,IF(E13=2,20,IF(E13=3,10,IF(E13&lt;&gt;"",1,0))))+IF(F13=1,30,IF(F13=2,20,IF(F13=3,10,IF(F13&lt;&gt;"",1,0))))+IF(G13=1,30,IF(G13=2,20,IF(G13=3,10,IF(G13&lt;&gt;"",1,0))))+IF(H13=1,30,IF(H13=2,20,IF(H13=3,10,IF(H13&lt;&gt;"",1,0))))))</f>
        <v/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9.5" customHeight="1" s="143">
      <c r="A14" s="1" t="n"/>
      <c r="B14" s="32">
        <f>'👥 Участники'!B14</f>
        <v/>
      </c>
      <c r="C14" s="33">
        <f>'👥 Участники'!C14</f>
        <v/>
      </c>
      <c r="D14" s="34">
        <f>'👥 Участники'!D14</f>
        <v/>
      </c>
      <c r="E14" s="40" t="n"/>
      <c r="F14" s="40" t="n"/>
      <c r="G14" s="40" t="n"/>
      <c r="H14" s="40" t="n"/>
      <c r="I14" s="36">
        <f>IF(AND(C14="",OR(E14="",E14=0)),"",(IF(E14=1,30,IF(E14=2,20,IF(E14=3,10,IF(E14&lt;&gt;"",1,0))))+IF(F14=1,30,IF(F14=2,20,IF(F14=3,10,IF(F14&lt;&gt;"",1,0))))+IF(G14=1,30,IF(G14=2,20,IF(G14=3,10,IF(G14&lt;&gt;"",1,0))))+IF(H14=1,30,IF(H14=2,20,IF(H14=3,10,IF(H14&lt;&gt;"",1,0))))))</f>
        <v/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9.5" customHeight="1" s="143">
      <c r="A15" s="1" t="n"/>
      <c r="B15" s="37">
        <f>'👥 Участники'!B15</f>
        <v/>
      </c>
      <c r="C15" s="38">
        <f>'👥 Участники'!C15</f>
        <v/>
      </c>
      <c r="D15" s="39">
        <f>'👥 Участники'!D15</f>
        <v/>
      </c>
      <c r="E15" s="40" t="n"/>
      <c r="F15" s="40" t="n"/>
      <c r="G15" s="40" t="n"/>
      <c r="H15" s="40" t="n"/>
      <c r="I15" s="36">
        <f>IF(AND(C15="",OR(E15="",E15=0)),"",(IF(E15=1,30,IF(E15=2,20,IF(E15=3,10,IF(E15&lt;&gt;"",1,0))))+IF(F15=1,30,IF(F15=2,20,IF(F15=3,10,IF(F15&lt;&gt;"",1,0))))+IF(G15=1,30,IF(G15=2,20,IF(G15=3,10,IF(G15&lt;&gt;"",1,0))))+IF(H15=1,30,IF(H15=2,20,IF(H15=3,10,IF(H15&lt;&gt;"",1,0))))))</f>
        <v/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9.5" customHeight="1" s="143">
      <c r="A16" s="1" t="n"/>
      <c r="B16" s="32">
        <f>'👥 Участники'!B16</f>
        <v/>
      </c>
      <c r="C16" s="33">
        <f>'👥 Участники'!C16</f>
        <v/>
      </c>
      <c r="D16" s="34">
        <f>'👥 Участники'!D16</f>
        <v/>
      </c>
      <c r="E16" s="40" t="n"/>
      <c r="F16" s="40" t="n"/>
      <c r="G16" s="40" t="n"/>
      <c r="H16" s="40" t="n"/>
      <c r="I16" s="36">
        <f>IF(AND(C16="",OR(E16="",E16=0)),"",(IF(E16=1,30,IF(E16=2,20,IF(E16=3,10,IF(E16&lt;&gt;"",1,0))))+IF(F16=1,30,IF(F16=2,20,IF(F16=3,10,IF(F16&lt;&gt;"",1,0))))+IF(G16=1,30,IF(G16=2,20,IF(G16=3,10,IF(G16&lt;&gt;"",1,0))))+IF(H16=1,30,IF(H16=2,20,IF(H16=3,10,IF(H16&lt;&gt;"",1,0))))))</f>
        <v/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9.5" customHeight="1" s="143">
      <c r="A17" s="1" t="n"/>
      <c r="B17" s="37">
        <f>'👥 Участники'!B17</f>
        <v/>
      </c>
      <c r="C17" s="38">
        <f>'👥 Участники'!C17</f>
        <v/>
      </c>
      <c r="D17" s="39">
        <f>'👥 Участники'!D17</f>
        <v/>
      </c>
      <c r="E17" s="40" t="n"/>
      <c r="F17" s="40" t="n"/>
      <c r="G17" s="40" t="n"/>
      <c r="H17" s="40" t="n"/>
      <c r="I17" s="36">
        <f>IF(AND(C17="",OR(E17="",E17=0)),"",(IF(E17=1,30,IF(E17=2,20,IF(E17=3,10,IF(E17&lt;&gt;"",1,0))))+IF(F17=1,30,IF(F17=2,20,IF(F17=3,10,IF(F17&lt;&gt;"",1,0))))+IF(G17=1,30,IF(G17=2,20,IF(G17=3,10,IF(G17&lt;&gt;"",1,0))))+IF(H17=1,30,IF(H17=2,20,IF(H17=3,10,IF(H17&lt;&gt;"",1,0))))))</f>
        <v/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9.5" customHeight="1" s="143">
      <c r="A18" s="1" t="n"/>
      <c r="B18" s="32">
        <f>'👥 Участники'!B18</f>
        <v/>
      </c>
      <c r="C18" s="33">
        <f>'👥 Участники'!C18</f>
        <v/>
      </c>
      <c r="D18" s="34">
        <f>'👥 Участники'!D18</f>
        <v/>
      </c>
      <c r="E18" s="40" t="n"/>
      <c r="F18" s="40" t="n"/>
      <c r="G18" s="40" t="n"/>
      <c r="H18" s="40" t="n"/>
      <c r="I18" s="36">
        <f>IF(AND(C18="",OR(E18="",E18=0)),"",(IF(E18=1,30,IF(E18=2,20,IF(E18=3,10,IF(E18&lt;&gt;"",1,0))))+IF(F18=1,30,IF(F18=2,20,IF(F18=3,10,IF(F18&lt;&gt;"",1,0))))+IF(G18=1,30,IF(G18=2,20,IF(G18=3,10,IF(G18&lt;&gt;"",1,0))))+IF(H18=1,30,IF(H18=2,20,IF(H18=3,10,IF(H18&lt;&gt;"",1,0))))))</f>
        <v/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9.5" customHeight="1" s="143">
      <c r="A19" s="1" t="n"/>
      <c r="B19" s="37">
        <f>'👥 Участники'!B19</f>
        <v/>
      </c>
      <c r="C19" s="38">
        <f>'👥 Участники'!C19</f>
        <v/>
      </c>
      <c r="D19" s="39">
        <f>'👥 Участники'!D19</f>
        <v/>
      </c>
      <c r="E19" s="40" t="n"/>
      <c r="F19" s="40" t="n"/>
      <c r="G19" s="40" t="n"/>
      <c r="H19" s="40" t="n"/>
      <c r="I19" s="36">
        <f>IF(AND(C19="",OR(E19="",E19=0)),"",(IF(E19=1,30,IF(E19=2,20,IF(E19=3,10,IF(E19&lt;&gt;"",1,0))))+IF(F19=1,30,IF(F19=2,20,IF(F19=3,10,IF(F19&lt;&gt;"",1,0))))+IF(G19=1,30,IF(G19=2,20,IF(G19=3,10,IF(G19&lt;&gt;"",1,0))))+IF(H19=1,30,IF(H19=2,20,IF(H19=3,10,IF(H19&lt;&gt;"",1,0))))))</f>
        <v/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9.5" customHeight="1" s="143">
      <c r="A20" s="1" t="n"/>
      <c r="B20" s="32">
        <f>'👥 Участники'!B20</f>
        <v/>
      </c>
      <c r="C20" s="33">
        <f>'👥 Участники'!C20</f>
        <v/>
      </c>
      <c r="D20" s="34">
        <f>'👥 Участники'!D20</f>
        <v/>
      </c>
      <c r="E20" s="40" t="n"/>
      <c r="F20" s="40" t="n"/>
      <c r="G20" s="40" t="n"/>
      <c r="H20" s="40" t="n"/>
      <c r="I20" s="36">
        <f>IF(AND(C20="",OR(E20="",E20=0)),"",(IF(E20=1,30,IF(E20=2,20,IF(E20=3,10,IF(E20&lt;&gt;"",1,0))))+IF(F20=1,30,IF(F20=2,20,IF(F20=3,10,IF(F20&lt;&gt;"",1,0))))+IF(G20=1,30,IF(G20=2,20,IF(G20=3,10,IF(G20&lt;&gt;"",1,0))))+IF(H20=1,30,IF(H20=2,20,IF(H20=3,10,IF(H20&lt;&gt;"",1,0))))))</f>
        <v/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9.5" customHeight="1" s="143">
      <c r="A21" s="1" t="n"/>
      <c r="B21" s="37">
        <f>'👥 Участники'!B21</f>
        <v/>
      </c>
      <c r="C21" s="38">
        <f>'👥 Участники'!C21</f>
        <v/>
      </c>
      <c r="D21" s="39">
        <f>'👥 Участники'!D21</f>
        <v/>
      </c>
      <c r="E21" s="40" t="n"/>
      <c r="F21" s="40" t="n"/>
      <c r="G21" s="40" t="n"/>
      <c r="H21" s="40" t="n"/>
      <c r="I21" s="36">
        <f>IF(AND(C21="",OR(E21="",E21=0)),"",(IF(E21=1,30,IF(E21=2,20,IF(E21=3,10,IF(E21&lt;&gt;"",1,0))))+IF(F21=1,30,IF(F21=2,20,IF(F21=3,10,IF(F21&lt;&gt;"",1,0))))+IF(G21=1,30,IF(G21=2,20,IF(G21=3,10,IF(G21&lt;&gt;"",1,0))))+IF(H21=1,30,IF(H21=2,20,IF(H21=3,10,IF(H21&lt;&gt;"",1,0))))))</f>
        <v/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9.5" customHeight="1" s="143">
      <c r="A22" s="1" t="n"/>
      <c r="B22" s="32">
        <f>'👥 Участники'!B22</f>
        <v/>
      </c>
      <c r="C22" s="33">
        <f>'👥 Участники'!C22</f>
        <v/>
      </c>
      <c r="D22" s="34">
        <f>'👥 Участники'!D22</f>
        <v/>
      </c>
      <c r="E22" s="40" t="n"/>
      <c r="F22" s="40" t="n"/>
      <c r="G22" s="40" t="n"/>
      <c r="H22" s="40" t="n"/>
      <c r="I22" s="36">
        <f>IF(AND(C22="",OR(E22="",E22=0)),"",(IF(E22=1,30,IF(E22=2,20,IF(E22=3,10,IF(E22&lt;&gt;"",1,0))))+IF(F22=1,30,IF(F22=2,20,IF(F22=3,10,IF(F22&lt;&gt;"",1,0))))+IF(G22=1,30,IF(G22=2,20,IF(G22=3,10,IF(G22&lt;&gt;"",1,0))))+IF(H22=1,30,IF(H22=2,20,IF(H22=3,10,IF(H22&lt;&gt;"",1,0))))))</f>
        <v/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9.5" customHeight="1" s="143">
      <c r="A23" s="1" t="n"/>
      <c r="B23" s="37">
        <f>'👥 Участники'!B23</f>
        <v/>
      </c>
      <c r="C23" s="38">
        <f>'👥 Участники'!C23</f>
        <v/>
      </c>
      <c r="D23" s="39">
        <f>'👥 Участники'!D23</f>
        <v/>
      </c>
      <c r="E23" s="40" t="n"/>
      <c r="F23" s="40" t="n"/>
      <c r="G23" s="40" t="n"/>
      <c r="H23" s="40" t="n"/>
      <c r="I23" s="36">
        <f>IF(AND(C23="",OR(E23="",E23=0)),"",(IF(E23=1,30,IF(E23=2,20,IF(E23=3,10,IF(E23&lt;&gt;"",1,0))))+IF(F23=1,30,IF(F23=2,20,IF(F23=3,10,IF(F23&lt;&gt;"",1,0))))+IF(G23=1,30,IF(G23=2,20,IF(G23=3,10,IF(G23&lt;&gt;"",1,0))))+IF(H23=1,30,IF(H23=2,20,IF(H23=3,10,IF(H23&lt;&gt;"",1,0))))))</f>
        <v/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9.5" customHeight="1" s="143">
      <c r="A24" s="1" t="n"/>
      <c r="B24" s="32">
        <f>'👥 Участники'!B24</f>
        <v/>
      </c>
      <c r="C24" s="33">
        <f>'👥 Участники'!C24</f>
        <v/>
      </c>
      <c r="D24" s="34">
        <f>'👥 Участники'!D24</f>
        <v/>
      </c>
      <c r="E24" s="40" t="n"/>
      <c r="F24" s="40" t="n"/>
      <c r="G24" s="40" t="n"/>
      <c r="H24" s="40" t="n"/>
      <c r="I24" s="36">
        <f>IF(AND(C24="",OR(E24="",E24=0)),"",(IF(E24=1,30,IF(E24=2,20,IF(E24=3,10,IF(E24&lt;&gt;"",1,0))))+IF(F24=1,30,IF(F24=2,20,IF(F24=3,10,IF(F24&lt;&gt;"",1,0))))+IF(G24=1,30,IF(G24=2,20,IF(G24=3,10,IF(G24&lt;&gt;"",1,0))))+IF(H24=1,30,IF(H24=2,20,IF(H24=3,10,IF(H24&lt;&gt;"",1,0))))))</f>
        <v/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9.5" customHeight="1" s="143">
      <c r="A25" s="1" t="n"/>
      <c r="B25" s="37">
        <f>'👥 Участники'!B25</f>
        <v/>
      </c>
      <c r="C25" s="38">
        <f>'👥 Участники'!C25</f>
        <v/>
      </c>
      <c r="D25" s="39">
        <f>'👥 Участники'!D25</f>
        <v/>
      </c>
      <c r="E25" s="40" t="n"/>
      <c r="F25" s="40" t="n"/>
      <c r="G25" s="40" t="n"/>
      <c r="H25" s="40" t="n"/>
      <c r="I25" s="36">
        <f>IF(AND(C25="",OR(E25="",E25=0)),"",(IF(E25=1,30,IF(E25=2,20,IF(E25=3,10,IF(E25&lt;&gt;"",1,0))))+IF(F25=1,30,IF(F25=2,20,IF(F25=3,10,IF(F25&lt;&gt;"",1,0))))+IF(G25=1,30,IF(G25=2,20,IF(G25=3,10,IF(G25&lt;&gt;"",1,0))))+IF(H25=1,30,IF(H25=2,20,IF(H25=3,10,IF(H25&lt;&gt;"",1,0))))))</f>
        <v/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9.5" customHeight="1" s="143">
      <c r="A26" s="1" t="n"/>
      <c r="B26" s="32">
        <f>'👥 Участники'!B26</f>
        <v/>
      </c>
      <c r="C26" s="33">
        <f>'👥 Участники'!C26</f>
        <v/>
      </c>
      <c r="D26" s="34">
        <f>'👥 Участники'!D26</f>
        <v/>
      </c>
      <c r="E26" s="40" t="n"/>
      <c r="F26" s="40" t="n"/>
      <c r="G26" s="40" t="n"/>
      <c r="H26" s="40" t="n"/>
      <c r="I26" s="36">
        <f>IF(AND(C26="",OR(E26="",E26=0)),"",(IF(E26=1,30,IF(E26=2,20,IF(E26=3,10,IF(E26&lt;&gt;"",1,0))))+IF(F26=1,30,IF(F26=2,20,IF(F26=3,10,IF(F26&lt;&gt;"",1,0))))+IF(G26=1,30,IF(G26=2,20,IF(G26=3,10,IF(G26&lt;&gt;"",1,0))))+IF(H26=1,30,IF(H26=2,20,IF(H26=3,10,IF(H26&lt;&gt;"",1,0)))))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9.5" customHeight="1" s="143">
      <c r="A27" s="1" t="n"/>
      <c r="B27" s="37">
        <f>'👥 Участники'!B27</f>
        <v/>
      </c>
      <c r="C27" s="38">
        <f>'👥 Участники'!C27</f>
        <v/>
      </c>
      <c r="D27" s="39">
        <f>'👥 Участники'!D27</f>
        <v/>
      </c>
      <c r="E27" s="40" t="n"/>
      <c r="F27" s="40" t="n"/>
      <c r="G27" s="40" t="n"/>
      <c r="H27" s="40" t="n"/>
      <c r="I27" s="36">
        <f>IF(AND(C27="",OR(E27="",E27=0)),"",(IF(E27=1,30,IF(E27=2,20,IF(E27=3,10,IF(E27&lt;&gt;"",1,0))))+IF(F27=1,30,IF(F27=2,20,IF(F27=3,10,IF(F27&lt;&gt;"",1,0))))+IF(G27=1,30,IF(G27=2,20,IF(G27=3,10,IF(G27&lt;&gt;"",1,0))))+IF(H27=1,30,IF(H27=2,20,IF(H27=3,10,IF(H27&lt;&gt;"",1,0))))))</f>
        <v/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9.5" customHeight="1" s="143">
      <c r="A28" s="1" t="n"/>
      <c r="B28" s="32">
        <f>'👥 Участники'!B28</f>
        <v/>
      </c>
      <c r="C28" s="33">
        <f>'👥 Участники'!C28</f>
        <v/>
      </c>
      <c r="D28" s="34">
        <f>'👥 Участники'!D28</f>
        <v/>
      </c>
      <c r="E28" s="40" t="n"/>
      <c r="F28" s="40" t="n"/>
      <c r="G28" s="40" t="n"/>
      <c r="H28" s="40" t="n"/>
      <c r="I28" s="36">
        <f>IF(AND(C28="",OR(E28="",E28=0)),"",(IF(E28=1,30,IF(E28=2,20,IF(E28=3,10,IF(E28&lt;&gt;"",1,0))))+IF(F28=1,30,IF(F28=2,20,IF(F28=3,10,IF(F28&lt;&gt;"",1,0))))+IF(G28=1,30,IF(G28=2,20,IF(G28=3,10,IF(G28&lt;&gt;"",1,0))))+IF(H28=1,30,IF(H28=2,20,IF(H28=3,10,IF(H28&lt;&gt;"",1,0))))))</f>
        <v/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9.5" customHeight="1" s="143">
      <c r="A29" s="1" t="n"/>
      <c r="B29" s="37">
        <f>'👥 Участники'!B29</f>
        <v/>
      </c>
      <c r="C29" s="38">
        <f>'👥 Участники'!C29</f>
        <v/>
      </c>
      <c r="D29" s="39">
        <f>'👥 Участники'!D29</f>
        <v/>
      </c>
      <c r="E29" s="40" t="n"/>
      <c r="F29" s="40" t="n"/>
      <c r="G29" s="40" t="n"/>
      <c r="H29" s="40" t="n"/>
      <c r="I29" s="36">
        <f>IF(AND(C29="",OR(E29="",E29=0)),"",(IF(E29=1,30,IF(E29=2,20,IF(E29=3,10,IF(E29&lt;&gt;"",1,0))))+IF(F29=1,30,IF(F29=2,20,IF(F29=3,10,IF(F29&lt;&gt;"",1,0))))+IF(G29=1,30,IF(G29=2,20,IF(G29=3,10,IF(G29&lt;&gt;"",1,0))))+IF(H29=1,30,IF(H29=2,20,IF(H29=3,10,IF(H29&lt;&gt;"",1,0))))))</f>
        <v/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9.5" customHeight="1" s="143">
      <c r="A30" s="1" t="n"/>
      <c r="B30" s="32">
        <f>'👥 Участники'!B30</f>
        <v/>
      </c>
      <c r="C30" s="33">
        <f>'👥 Участники'!C30</f>
        <v/>
      </c>
      <c r="D30" s="34">
        <f>'👥 Участники'!D30</f>
        <v/>
      </c>
      <c r="E30" s="40" t="n"/>
      <c r="F30" s="40" t="n"/>
      <c r="G30" s="40" t="n"/>
      <c r="H30" s="40" t="n"/>
      <c r="I30" s="36">
        <f>IF(AND(C30="",OR(E30="",E30=0)),"",(IF(E30=1,30,IF(E30=2,20,IF(E30=3,10,IF(E30&lt;&gt;"",1,0))))+IF(F30=1,30,IF(F30=2,20,IF(F30=3,10,IF(F30&lt;&gt;"",1,0))))+IF(G30=1,30,IF(G30=2,20,IF(G30=3,10,IF(G30&lt;&gt;"",1,0))))+IF(H30=1,30,IF(H30=2,20,IF(H30=3,10,IF(H30&lt;&gt;"",1,0))))))</f>
        <v/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9.5" customHeight="1" s="143">
      <c r="A31" s="1" t="n"/>
      <c r="B31" s="37">
        <f>'👥 Участники'!B31</f>
        <v/>
      </c>
      <c r="C31" s="38">
        <f>'👥 Участники'!C31</f>
        <v/>
      </c>
      <c r="D31" s="39">
        <f>'👥 Участники'!D31</f>
        <v/>
      </c>
      <c r="E31" s="40" t="n"/>
      <c r="F31" s="40" t="n"/>
      <c r="G31" s="40" t="n"/>
      <c r="H31" s="40" t="n"/>
      <c r="I31" s="36">
        <f>IF(AND(C31="",OR(E31="",E31=0)),"",(IF(E31=1,30,IF(E31=2,20,IF(E31=3,10,IF(E31&lt;&gt;"",1,0))))+IF(F31=1,30,IF(F31=2,20,IF(F31=3,10,IF(F31&lt;&gt;"",1,0))))+IF(G31=1,30,IF(G31=2,20,IF(G31=3,10,IF(G31&lt;&gt;"",1,0))))+IF(H31=1,30,IF(H31=2,20,IF(H31=3,10,IF(H31&lt;&gt;"",1,0))))))</f>
        <v/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9.5" customHeight="1" s="143">
      <c r="A32" s="1" t="n"/>
      <c r="B32" s="32">
        <f>'👥 Участники'!B32</f>
        <v/>
      </c>
      <c r="C32" s="33">
        <f>'👥 Участники'!C32</f>
        <v/>
      </c>
      <c r="D32" s="34">
        <f>'👥 Участники'!D32</f>
        <v/>
      </c>
      <c r="E32" s="40" t="n"/>
      <c r="F32" s="40" t="n"/>
      <c r="G32" s="40" t="n"/>
      <c r="H32" s="40" t="n"/>
      <c r="I32" s="36">
        <f>IF(AND(C32="",OR(E32="",E32=0)),"",(IF(E32=1,30,IF(E32=2,20,IF(E32=3,10,IF(E32&lt;&gt;"",1,0))))+IF(F32=1,30,IF(F32=2,20,IF(F32=3,10,IF(F32&lt;&gt;"",1,0))))+IF(G32=1,30,IF(G32=2,20,IF(G32=3,10,IF(G32&lt;&gt;"",1,0))))+IF(H32=1,30,IF(H32=2,20,IF(H32=3,10,IF(H32&lt;&gt;"",1,0))))))</f>
        <v/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9.5" customHeight="1" s="143">
      <c r="A33" s="1" t="n"/>
      <c r="B33" s="37">
        <f>'👥 Участники'!B33</f>
        <v/>
      </c>
      <c r="C33" s="38">
        <f>'👥 Участники'!C33</f>
        <v/>
      </c>
      <c r="D33" s="39">
        <f>'👥 Участники'!D33</f>
        <v/>
      </c>
      <c r="E33" s="40" t="n"/>
      <c r="F33" s="40" t="n"/>
      <c r="G33" s="40" t="n"/>
      <c r="H33" s="40" t="n"/>
      <c r="I33" s="36">
        <f>IF(AND(C33="",OR(E33="",E33=0)),"",(IF(E33=1,30,IF(E33=2,20,IF(E33=3,10,IF(E33&lt;&gt;"",1,0))))+IF(F33=1,30,IF(F33=2,20,IF(F33=3,10,IF(F33&lt;&gt;"",1,0))))+IF(G33=1,30,IF(G33=2,20,IF(G33=3,10,IF(G33&lt;&gt;"",1,0))))+IF(H33=1,30,IF(H33=2,20,IF(H33=3,10,IF(H33&lt;&gt;"",1,0))))))</f>
        <v/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9.5" customHeight="1" s="143">
      <c r="A34" s="1" t="n"/>
      <c r="B34" s="32">
        <f>'👥 Участники'!B34</f>
        <v/>
      </c>
      <c r="C34" s="33">
        <f>'👥 Участники'!C34</f>
        <v/>
      </c>
      <c r="D34" s="34">
        <f>'👥 Участники'!D34</f>
        <v/>
      </c>
      <c r="E34" s="40" t="n"/>
      <c r="F34" s="40" t="n"/>
      <c r="G34" s="40" t="n"/>
      <c r="H34" s="40" t="n"/>
      <c r="I34" s="36">
        <f>IF(AND(C34="",OR(E34="",E34=0)),"",(IF(E34=1,30,IF(E34=2,20,IF(E34=3,10,IF(E34&lt;&gt;"",1,0))))+IF(F34=1,30,IF(F34=2,20,IF(F34=3,10,IF(F34&lt;&gt;"",1,0))))+IF(G34=1,30,IF(G34=2,20,IF(G34=3,10,IF(G34&lt;&gt;"",1,0))))+IF(H34=1,30,IF(H34=2,20,IF(H34=3,10,IF(H34&lt;&gt;"",1,0))))))</f>
        <v/>
      </c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9.5" customHeight="1" s="143">
      <c r="A35" s="1" t="n"/>
      <c r="B35" s="37">
        <f>'👥 Участники'!B35</f>
        <v/>
      </c>
      <c r="C35" s="38">
        <f>'👥 Участники'!C35</f>
        <v/>
      </c>
      <c r="D35" s="39">
        <f>'👥 Участники'!D35</f>
        <v/>
      </c>
      <c r="E35" s="40" t="n"/>
      <c r="F35" s="40" t="n"/>
      <c r="G35" s="40" t="n"/>
      <c r="H35" s="40" t="n"/>
      <c r="I35" s="36">
        <f>IF(AND(C35="",OR(E35="",E35=0)),"",(IF(E35=1,30,IF(E35=2,20,IF(E35=3,10,IF(E35&lt;&gt;"",1,0))))+IF(F35=1,30,IF(F35=2,20,IF(F35=3,10,IF(F35&lt;&gt;"",1,0))))+IF(G35=1,30,IF(G35=2,20,IF(G35=3,10,IF(G35&lt;&gt;"",1,0))))+IF(H35=1,30,IF(H35=2,20,IF(H35=3,10,IF(H35&lt;&gt;"",1,0)))))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9.5" customHeight="1" s="143">
      <c r="A36" s="1" t="n"/>
      <c r="B36" s="32">
        <f>'👥 Участники'!B36</f>
        <v/>
      </c>
      <c r="C36" s="33">
        <f>'👥 Участники'!C36</f>
        <v/>
      </c>
      <c r="D36" s="34">
        <f>'👥 Участники'!D36</f>
        <v/>
      </c>
      <c r="E36" s="40" t="n"/>
      <c r="F36" s="40" t="n"/>
      <c r="G36" s="40" t="n"/>
      <c r="H36" s="40" t="n"/>
      <c r="I36" s="36">
        <f>IF(AND(C36="",OR(E36="",E36=0)),"",(IF(E36=1,30,IF(E36=2,20,IF(E36=3,10,IF(E36&lt;&gt;"",1,0))))+IF(F36=1,30,IF(F36=2,20,IF(F36=3,10,IF(F36&lt;&gt;"",1,0))))+IF(G36=1,30,IF(G36=2,20,IF(G36=3,10,IF(G36&lt;&gt;"",1,0))))+IF(H36=1,30,IF(H36=2,20,IF(H36=3,10,IF(H36&lt;&gt;"",1,0))))))</f>
        <v/>
      </c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9.5" customHeight="1" s="143">
      <c r="A37" s="1" t="n"/>
      <c r="B37" s="37">
        <f>'👥 Участники'!B37</f>
        <v/>
      </c>
      <c r="C37" s="38">
        <f>'👥 Участники'!C37</f>
        <v/>
      </c>
      <c r="D37" s="39">
        <f>'👥 Участники'!D37</f>
        <v/>
      </c>
      <c r="E37" s="40" t="n"/>
      <c r="F37" s="40" t="n"/>
      <c r="G37" s="40" t="n"/>
      <c r="H37" s="40" t="n"/>
      <c r="I37" s="36">
        <f>IF(AND(C37="",OR(E37="",E37=0)),"",(IF(E37=1,30,IF(E37=2,20,IF(E37=3,10,IF(E37&lt;&gt;"",1,0))))+IF(F37=1,30,IF(F37=2,20,IF(F37=3,10,IF(F37&lt;&gt;"",1,0))))+IF(G37=1,30,IF(G37=2,20,IF(G37=3,10,IF(G37&lt;&gt;"",1,0))))+IF(H37=1,30,IF(H37=2,20,IF(H37=3,10,IF(H37&lt;&gt;"",1,0))))))</f>
        <v/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9.5" customHeight="1" s="143">
      <c r="A38" s="1" t="n"/>
      <c r="B38" s="32">
        <f>'👥 Участники'!B38</f>
        <v/>
      </c>
      <c r="C38" s="33">
        <f>'👥 Участники'!C38</f>
        <v/>
      </c>
      <c r="D38" s="34">
        <f>'👥 Участники'!D38</f>
        <v/>
      </c>
      <c r="E38" s="40" t="n"/>
      <c r="F38" s="40" t="n"/>
      <c r="G38" s="40" t="n"/>
      <c r="H38" s="40" t="n"/>
      <c r="I38" s="36">
        <f>IF(AND(C38="",OR(E38="",E38=0)),"",(IF(E38=1,30,IF(E38=2,20,IF(E38=3,10,IF(E38&lt;&gt;"",1,0))))+IF(F38=1,30,IF(F38=2,20,IF(F38=3,10,IF(F38&lt;&gt;"",1,0))))+IF(G38=1,30,IF(G38=2,20,IF(G38=3,10,IF(G38&lt;&gt;"",1,0))))+IF(H38=1,30,IF(H38=2,20,IF(H38=3,10,IF(H38&lt;&gt;"",1,0))))))</f>
        <v/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9.5" customHeight="1" s="143">
      <c r="A39" s="1" t="n"/>
      <c r="B39" s="37">
        <f>'👥 Участники'!B39</f>
        <v/>
      </c>
      <c r="C39" s="38">
        <f>'👥 Участники'!C39</f>
        <v/>
      </c>
      <c r="D39" s="39">
        <f>'👥 Участники'!D39</f>
        <v/>
      </c>
      <c r="E39" s="40" t="n"/>
      <c r="F39" s="40" t="n"/>
      <c r="G39" s="40" t="n"/>
      <c r="H39" s="40" t="n"/>
      <c r="I39" s="36">
        <f>IF(AND(C39="",OR(E39="",E39=0)),"",(IF(E39=1,30,IF(E39=2,20,IF(E39=3,10,IF(E39&lt;&gt;"",1,0))))+IF(F39=1,30,IF(F39=2,20,IF(F39=3,10,IF(F39&lt;&gt;"",1,0))))+IF(G39=1,30,IF(G39=2,20,IF(G39=3,10,IF(G39&lt;&gt;"",1,0))))+IF(H39=1,30,IF(H39=2,20,IF(H39=3,10,IF(H39&lt;&gt;"",1,0)))))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9.5" customHeight="1" s="143">
      <c r="A40" s="1" t="n"/>
      <c r="B40" s="32">
        <f>'👥 Участники'!B40</f>
        <v/>
      </c>
      <c r="C40" s="33">
        <f>'👥 Участники'!C40</f>
        <v/>
      </c>
      <c r="D40" s="34">
        <f>'👥 Участники'!D40</f>
        <v/>
      </c>
      <c r="E40" s="40" t="n"/>
      <c r="F40" s="40" t="n"/>
      <c r="G40" s="40" t="n"/>
      <c r="H40" s="40" t="n"/>
      <c r="I40" s="36">
        <f>IF(AND(C40="",OR(E40="",E40=0)),"",(IF(E40=1,30,IF(E40=2,20,IF(E40=3,10,IF(E40&lt;&gt;"",1,0))))+IF(F40=1,30,IF(F40=2,20,IF(F40=3,10,IF(F40&lt;&gt;"",1,0))))+IF(G40=1,30,IF(G40=2,20,IF(G40=3,10,IF(G40&lt;&gt;"",1,0))))+IF(H40=1,30,IF(H40=2,20,IF(H40=3,10,IF(H40&lt;&gt;"",1,0)))))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9.5" customHeight="1" s="143">
      <c r="A41" s="1" t="n"/>
      <c r="B41" s="37">
        <f>'👥 Участники'!B41</f>
        <v/>
      </c>
      <c r="C41" s="38">
        <f>'👥 Участники'!C41</f>
        <v/>
      </c>
      <c r="D41" s="39">
        <f>'👥 Участники'!D41</f>
        <v/>
      </c>
      <c r="E41" s="40" t="n"/>
      <c r="F41" s="40" t="n"/>
      <c r="G41" s="40" t="n"/>
      <c r="H41" s="40" t="n"/>
      <c r="I41" s="36">
        <f>IF(AND(C41="",OR(E41="",E41=0)),"",(IF(E41=1,30,IF(E41=2,20,IF(E41=3,10,IF(E41&lt;&gt;"",1,0))))+IF(F41=1,30,IF(F41=2,20,IF(F41=3,10,IF(F41&lt;&gt;"",1,0))))+IF(G41=1,30,IF(G41=2,20,IF(G41=3,10,IF(G41&lt;&gt;"",1,0))))+IF(H41=1,30,IF(H41=2,20,IF(H41=3,10,IF(H41&lt;&gt;"",1,0))))))</f>
        <v/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9.5" customHeight="1" s="143">
      <c r="A42" s="1" t="n"/>
      <c r="B42" s="32">
        <f>'👥 Участники'!B42</f>
        <v/>
      </c>
      <c r="C42" s="33">
        <f>'👥 Участники'!C42</f>
        <v/>
      </c>
      <c r="D42" s="34">
        <f>'👥 Участники'!D42</f>
        <v/>
      </c>
      <c r="E42" s="40" t="n"/>
      <c r="F42" s="40" t="n"/>
      <c r="G42" s="40" t="n"/>
      <c r="H42" s="40" t="n"/>
      <c r="I42" s="36">
        <f>IF(AND(C42="",OR(E42="",E42=0)),"",(IF(E42=1,30,IF(E42=2,20,IF(E42=3,10,IF(E42&lt;&gt;"",1,0))))+IF(F42=1,30,IF(F42=2,20,IF(F42=3,10,IF(F42&lt;&gt;"",1,0))))+IF(G42=1,30,IF(G42=2,20,IF(G42=3,10,IF(G42&lt;&gt;"",1,0))))+IF(H42=1,30,IF(H42=2,20,IF(H42=3,10,IF(H42&lt;&gt;"",1,0))))))</f>
        <v/>
      </c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9.5" customHeight="1" s="143">
      <c r="A43" s="1" t="n"/>
      <c r="B43" s="37">
        <f>'👥 Участники'!B43</f>
        <v/>
      </c>
      <c r="C43" s="38">
        <f>'👥 Участники'!C43</f>
        <v/>
      </c>
      <c r="D43" s="39">
        <f>'👥 Участники'!D43</f>
        <v/>
      </c>
      <c r="E43" s="40" t="n"/>
      <c r="F43" s="40" t="n"/>
      <c r="G43" s="40" t="n"/>
      <c r="H43" s="40" t="n"/>
      <c r="I43" s="36">
        <f>IF(AND(C43="",OR(E43="",E43=0)),"",(IF(E43=1,30,IF(E43=2,20,IF(E43=3,10,IF(E43&lt;&gt;"",1,0))))+IF(F43=1,30,IF(F43=2,20,IF(F43=3,10,IF(F43&lt;&gt;"",1,0))))+IF(G43=1,30,IF(G43=2,20,IF(G43=3,10,IF(G43&lt;&gt;"",1,0))))+IF(H43=1,30,IF(H43=2,20,IF(H43=3,10,IF(H43&lt;&gt;"",1,0))))))</f>
        <v/>
      </c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9.5" customHeight="1" s="143">
      <c r="A44" s="1" t="n"/>
      <c r="B44" s="32">
        <f>'👥 Участники'!B44</f>
        <v/>
      </c>
      <c r="C44" s="33">
        <f>'👥 Участники'!C44</f>
        <v/>
      </c>
      <c r="D44" s="34">
        <f>'👥 Участники'!D44</f>
        <v/>
      </c>
      <c r="E44" s="40" t="n"/>
      <c r="F44" s="40" t="n"/>
      <c r="G44" s="40" t="n"/>
      <c r="H44" s="40" t="n"/>
      <c r="I44" s="36">
        <f>IF(AND(C44="",OR(E44="",E44=0)),"",(IF(E44=1,30,IF(E44=2,20,IF(E44=3,10,IF(E44&lt;&gt;"",1,0))))+IF(F44=1,30,IF(F44=2,20,IF(F44=3,10,IF(F44&lt;&gt;"",1,0))))+IF(G44=1,30,IF(G44=2,20,IF(G44=3,10,IF(G44&lt;&gt;"",1,0))))+IF(H44=1,30,IF(H44=2,20,IF(H44=3,10,IF(H44&lt;&gt;"",1,0)))))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9.5" customHeight="1" s="143">
      <c r="A45" s="1" t="n"/>
      <c r="B45" s="37">
        <f>'👥 Участники'!B45</f>
        <v/>
      </c>
      <c r="C45" s="38">
        <f>'👥 Участники'!C45</f>
        <v/>
      </c>
      <c r="D45" s="39">
        <f>'👥 Участники'!D45</f>
        <v/>
      </c>
      <c r="E45" s="40" t="n"/>
      <c r="F45" s="40" t="n"/>
      <c r="G45" s="40" t="n"/>
      <c r="H45" s="40" t="n"/>
      <c r="I45" s="36">
        <f>IF(AND(C45="",OR(E45="",E45=0)),"",(IF(E45=1,30,IF(E45=2,20,IF(E45=3,10,IF(E45&lt;&gt;"",1,0))))+IF(F45=1,30,IF(F45=2,20,IF(F45=3,10,IF(F45&lt;&gt;"",1,0))))+IF(G45=1,30,IF(G45=2,20,IF(G45=3,10,IF(G45&lt;&gt;"",1,0))))+IF(H45=1,30,IF(H45=2,20,IF(H45=3,10,IF(H45&lt;&gt;"",1,0))))))</f>
        <v/>
      </c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9.5" customHeight="1" s="143">
      <c r="A46" s="1" t="n"/>
      <c r="B46" s="32">
        <f>'👥 Участники'!B46</f>
        <v/>
      </c>
      <c r="C46" s="33">
        <f>'👥 Участники'!C46</f>
        <v/>
      </c>
      <c r="D46" s="34">
        <f>'👥 Участники'!D46</f>
        <v/>
      </c>
      <c r="E46" s="40" t="n"/>
      <c r="F46" s="40" t="n"/>
      <c r="G46" s="40" t="n"/>
      <c r="H46" s="40" t="n"/>
      <c r="I46" s="36">
        <f>IF(AND(C46="",OR(E46="",E46=0)),"",(IF(E46=1,30,IF(E46=2,20,IF(E46=3,10,IF(E46&lt;&gt;"",1,0))))+IF(F46=1,30,IF(F46=2,20,IF(F46=3,10,IF(F46&lt;&gt;"",1,0))))+IF(G46=1,30,IF(G46=2,20,IF(G46=3,10,IF(G46&lt;&gt;"",1,0))))+IF(H46=1,30,IF(H46=2,20,IF(H46=3,10,IF(H46&lt;&gt;"",1,0))))))</f>
        <v/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9.5" customHeight="1" s="143">
      <c r="A47" s="1" t="n"/>
      <c r="B47" s="37">
        <f>'👥 Участники'!B47</f>
        <v/>
      </c>
      <c r="C47" s="38">
        <f>'👥 Участники'!C47</f>
        <v/>
      </c>
      <c r="D47" s="39">
        <f>'👥 Участники'!D47</f>
        <v/>
      </c>
      <c r="E47" s="40" t="n"/>
      <c r="F47" s="40" t="n"/>
      <c r="G47" s="40" t="n"/>
      <c r="H47" s="40" t="n"/>
      <c r="I47" s="36">
        <f>IF(AND(C47="",OR(E47="",E47=0)),"",(IF(E47=1,30,IF(E47=2,20,IF(E47=3,10,IF(E47&lt;&gt;"",1,0))))+IF(F47=1,30,IF(F47=2,20,IF(F47=3,10,IF(F47&lt;&gt;"",1,0))))+IF(G47=1,30,IF(G47=2,20,IF(G47=3,10,IF(G47&lt;&gt;"",1,0))))+IF(H47=1,30,IF(H47=2,20,IF(H47=3,10,IF(H47&lt;&gt;"",1,0))))))</f>
        <v/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9.5" customHeight="1" s="143">
      <c r="A48" s="1" t="n"/>
      <c r="B48" s="32">
        <f>'👥 Участники'!B48</f>
        <v/>
      </c>
      <c r="C48" s="33">
        <f>'👥 Участники'!C48</f>
        <v/>
      </c>
      <c r="D48" s="34">
        <f>'👥 Участники'!D48</f>
        <v/>
      </c>
      <c r="E48" s="40" t="n"/>
      <c r="F48" s="40" t="n"/>
      <c r="G48" s="40" t="n"/>
      <c r="H48" s="40" t="n"/>
      <c r="I48" s="36">
        <f>IF(AND(C48="",OR(E48="",E48=0)),"",(IF(E48=1,30,IF(E48=2,20,IF(E48=3,10,IF(E48&lt;&gt;"",1,0))))+IF(F48=1,30,IF(F48=2,20,IF(F48=3,10,IF(F48&lt;&gt;"",1,0))))+IF(G48=1,30,IF(G48=2,20,IF(G48=3,10,IF(G48&lt;&gt;"",1,0))))+IF(H48=1,30,IF(H48=2,20,IF(H48=3,10,IF(H48&lt;&gt;"",1,0)))))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9.5" customHeight="1" s="143">
      <c r="A49" s="1" t="n"/>
      <c r="B49" s="37">
        <f>'👥 Участники'!B49</f>
        <v/>
      </c>
      <c r="C49" s="38">
        <f>'👥 Участники'!C49</f>
        <v/>
      </c>
      <c r="D49" s="39">
        <f>'👥 Участники'!D49</f>
        <v/>
      </c>
      <c r="E49" s="40" t="n"/>
      <c r="F49" s="40" t="n"/>
      <c r="G49" s="40" t="n"/>
      <c r="H49" s="40" t="n"/>
      <c r="I49" s="36">
        <f>IF(AND(C49="",OR(E49="",E49=0)),"",(IF(E49=1,30,IF(E49=2,20,IF(E49=3,10,IF(E49&lt;&gt;"",1,0))))+IF(F49=1,30,IF(F49=2,20,IF(F49=3,10,IF(F49&lt;&gt;"",1,0))))+IF(G49=1,30,IF(G49=2,20,IF(G49=3,10,IF(G49&lt;&gt;"",1,0))))+IF(H49=1,30,IF(H49=2,20,IF(H49=3,10,IF(H49&lt;&gt;"",1,0))))))</f>
        <v/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9.5" customHeight="1" s="143">
      <c r="A50" s="1" t="n"/>
      <c r="B50" s="32">
        <f>'👥 Участники'!B50</f>
        <v/>
      </c>
      <c r="C50" s="33">
        <f>'👥 Участники'!C50</f>
        <v/>
      </c>
      <c r="D50" s="34">
        <f>'👥 Участники'!D50</f>
        <v/>
      </c>
      <c r="E50" s="40" t="n"/>
      <c r="F50" s="40" t="n"/>
      <c r="G50" s="40" t="n"/>
      <c r="H50" s="40" t="n"/>
      <c r="I50" s="36">
        <f>IF(AND(C50="",OR(E50="",E50=0)),"",(IF(E50=1,30,IF(E50=2,20,IF(E50=3,10,IF(E50&lt;&gt;"",1,0))))+IF(F50=1,30,IF(F50=2,20,IF(F50=3,10,IF(F50&lt;&gt;"",1,0))))+IF(G50=1,30,IF(G50=2,20,IF(G50=3,10,IF(G50&lt;&gt;"",1,0))))+IF(H50=1,30,IF(H50=2,20,IF(H50=3,10,IF(H50&lt;&gt;"",1,0))))))</f>
        <v/>
      </c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9.5" customHeight="1" s="143">
      <c r="A51" s="1" t="n"/>
      <c r="B51" s="37">
        <f>'👥 Участники'!B51</f>
        <v/>
      </c>
      <c r="C51" s="38">
        <f>'👥 Участники'!C51</f>
        <v/>
      </c>
      <c r="D51" s="39">
        <f>'👥 Участники'!D51</f>
        <v/>
      </c>
      <c r="E51" s="40" t="n"/>
      <c r="F51" s="40" t="n"/>
      <c r="G51" s="40" t="n"/>
      <c r="H51" s="40" t="n"/>
      <c r="I51" s="36">
        <f>IF(AND(C51="",OR(E51="",E51=0)),"",(IF(E51=1,30,IF(E51=2,20,IF(E51=3,10,IF(E51&lt;&gt;"",1,0))))+IF(F51=1,30,IF(F51=2,20,IF(F51=3,10,IF(F51&lt;&gt;"",1,0))))+IF(G51=1,30,IF(G51=2,20,IF(G51=3,10,IF(G51&lt;&gt;"",1,0))))+IF(H51=1,30,IF(H51=2,20,IF(H51=3,10,IF(H51&lt;&gt;"",1,0))))))</f>
        <v/>
      </c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9.5" customHeight="1" s="143">
      <c r="A52" s="1" t="n"/>
      <c r="B52" s="32">
        <f>'👥 Участники'!B52</f>
        <v/>
      </c>
      <c r="C52" s="33">
        <f>'👥 Участники'!C52</f>
        <v/>
      </c>
      <c r="D52" s="34">
        <f>'👥 Участники'!D52</f>
        <v/>
      </c>
      <c r="E52" s="40" t="n"/>
      <c r="F52" s="40" t="n"/>
      <c r="G52" s="40" t="n"/>
      <c r="H52" s="40" t="n"/>
      <c r="I52" s="36">
        <f>IF(AND(C52="",OR(E52="",E52=0)),"",(IF(E52=1,30,IF(E52=2,20,IF(E52=3,10,IF(E52&lt;&gt;"",1,0))))+IF(F52=1,30,IF(F52=2,20,IF(F52=3,10,IF(F52&lt;&gt;"",1,0))))+IF(G52=1,30,IF(G52=2,20,IF(G52=3,10,IF(G52&lt;&gt;"",1,0))))+IF(H52=1,30,IF(H52=2,20,IF(H52=3,10,IF(H52&lt;&gt;"",1,0))))))</f>
        <v/>
      </c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9.5" customHeight="1" s="143">
      <c r="A53" s="1" t="n"/>
      <c r="B53" s="37">
        <f>'👥 Участники'!B53</f>
        <v/>
      </c>
      <c r="C53" s="38">
        <f>'👥 Участники'!C53</f>
        <v/>
      </c>
      <c r="D53" s="39">
        <f>'👥 Участники'!D53</f>
        <v/>
      </c>
      <c r="E53" s="40" t="n"/>
      <c r="F53" s="40" t="n"/>
      <c r="G53" s="40" t="n"/>
      <c r="H53" s="40" t="n"/>
      <c r="I53" s="36">
        <f>IF(AND(C53="",OR(E53="",E53=0)),"",(IF(E53=1,30,IF(E53=2,20,IF(E53=3,10,IF(E53&lt;&gt;"",1,0))))+IF(F53=1,30,IF(F53=2,20,IF(F53=3,10,IF(F53&lt;&gt;"",1,0))))+IF(G53=1,30,IF(G53=2,20,IF(G53=3,10,IF(G53&lt;&gt;"",1,0))))+IF(H53=1,30,IF(H53=2,20,IF(H53=3,10,IF(H53&lt;&gt;"",1,0)))))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9.5" customHeight="1" s="143">
      <c r="A54" s="1" t="n"/>
      <c r="B54" s="32">
        <f>'👥 Участники'!B54</f>
        <v/>
      </c>
      <c r="C54" s="33">
        <f>'👥 Участники'!C54</f>
        <v/>
      </c>
      <c r="D54" s="34">
        <f>'👥 Участники'!D54</f>
        <v/>
      </c>
      <c r="E54" s="40" t="n"/>
      <c r="F54" s="40" t="n"/>
      <c r="G54" s="40" t="n"/>
      <c r="H54" s="40" t="n"/>
      <c r="I54" s="36">
        <f>IF(AND(C54="",OR(E54="",E54=0)),"",(IF(E54=1,30,IF(E54=2,20,IF(E54=3,10,IF(E54&lt;&gt;"",1,0))))+IF(F54=1,30,IF(F54=2,20,IF(F54=3,10,IF(F54&lt;&gt;"",1,0))))+IF(G54=1,30,IF(G54=2,20,IF(G54=3,10,IF(G54&lt;&gt;"",1,0))))+IF(H54=1,30,IF(H54=2,20,IF(H54=3,10,IF(H54&lt;&gt;"",1,0))))))</f>
        <v/>
      </c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9.5" customHeight="1" s="143">
      <c r="A55" s="1" t="n"/>
      <c r="B55" s="37">
        <f>'👥 Участники'!B55</f>
        <v/>
      </c>
      <c r="C55" s="38">
        <f>'👥 Участники'!C55</f>
        <v/>
      </c>
      <c r="D55" s="39">
        <f>'👥 Участники'!D55</f>
        <v/>
      </c>
      <c r="E55" s="40" t="n"/>
      <c r="F55" s="40" t="n"/>
      <c r="G55" s="40" t="n"/>
      <c r="H55" s="40" t="n"/>
      <c r="I55" s="36">
        <f>IF(AND(C55="",OR(E55="",E55=0)),"",(IF(E55=1,30,IF(E55=2,20,IF(E55=3,10,IF(E55&lt;&gt;"",1,0))))+IF(F55=1,30,IF(F55=2,20,IF(F55=3,10,IF(F55&lt;&gt;"",1,0))))+IF(G55=1,30,IF(G55=2,20,IF(G55=3,10,IF(G55&lt;&gt;"",1,0))))+IF(H55=1,30,IF(H55=2,20,IF(H55=3,10,IF(H55&lt;&gt;"",1,0))))))</f>
        <v/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9.5" customHeight="1" s="143">
      <c r="A56" s="1" t="n"/>
      <c r="B56" s="32">
        <f>'👥 Участники'!B56</f>
        <v/>
      </c>
      <c r="C56" s="33">
        <f>'👥 Участники'!C56</f>
        <v/>
      </c>
      <c r="D56" s="34">
        <f>'👥 Участники'!D56</f>
        <v/>
      </c>
      <c r="E56" s="40" t="n"/>
      <c r="F56" s="40" t="n"/>
      <c r="G56" s="40" t="n"/>
      <c r="H56" s="40" t="n"/>
      <c r="I56" s="36">
        <f>IF(AND(C56="",OR(E56="",E56=0)),"",(IF(E56=1,30,IF(E56=2,20,IF(E56=3,10,IF(E56&lt;&gt;"",1,0))))+IF(F56=1,30,IF(F56=2,20,IF(F56=3,10,IF(F56&lt;&gt;"",1,0))))+IF(G56=1,30,IF(G56=2,20,IF(G56=3,10,IF(G56&lt;&gt;"",1,0))))+IF(H56=1,30,IF(H56=2,20,IF(H56=3,10,IF(H56&lt;&gt;"",1,0))))))</f>
        <v/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9.5" customHeight="1" s="143">
      <c r="A57" s="1" t="n"/>
      <c r="B57" s="37">
        <f>'👥 Участники'!B57</f>
        <v/>
      </c>
      <c r="C57" s="38">
        <f>'👥 Участники'!C57</f>
        <v/>
      </c>
      <c r="D57" s="39">
        <f>'👥 Участники'!D57</f>
        <v/>
      </c>
      <c r="E57" s="40" t="n"/>
      <c r="F57" s="40" t="n"/>
      <c r="G57" s="40" t="n"/>
      <c r="H57" s="40" t="n"/>
      <c r="I57" s="36">
        <f>IF(AND(C57="",OR(E57="",E57=0)),"",(IF(E57=1,30,IF(E57=2,20,IF(E57=3,10,IF(E57&lt;&gt;"",1,0))))+IF(F57=1,30,IF(F57=2,20,IF(F57=3,10,IF(F57&lt;&gt;"",1,0))))+IF(G57=1,30,IF(G57=2,20,IF(G57=3,10,IF(G57&lt;&gt;"",1,0))))+IF(H57=1,30,IF(H57=2,20,IF(H57=3,10,IF(H57&lt;&gt;"",1,0)))))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9.5" customHeight="1" s="143">
      <c r="A58" s="1" t="n"/>
      <c r="B58" s="32">
        <f>'👥 Участники'!B58</f>
        <v/>
      </c>
      <c r="C58" s="33">
        <f>'👥 Участники'!C58</f>
        <v/>
      </c>
      <c r="D58" s="34">
        <f>'👥 Участники'!D58</f>
        <v/>
      </c>
      <c r="E58" s="40" t="n"/>
      <c r="F58" s="40" t="n"/>
      <c r="G58" s="40" t="n"/>
      <c r="H58" s="40" t="n"/>
      <c r="I58" s="36">
        <f>IF(AND(C58="",OR(E58="",E58=0)),"",(IF(E58=1,30,IF(E58=2,20,IF(E58=3,10,IF(E58&lt;&gt;"",1,0))))+IF(F58=1,30,IF(F58=2,20,IF(F58=3,10,IF(F58&lt;&gt;"",1,0))))+IF(G58=1,30,IF(G58=2,20,IF(G58=3,10,IF(G58&lt;&gt;"",1,0))))+IF(H58=1,30,IF(H58=2,20,IF(H58=3,10,IF(H58&lt;&gt;"",1,0)))))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9.5" customHeight="1" s="143">
      <c r="A59" s="1" t="n"/>
      <c r="B59" s="37">
        <f>'👥 Участники'!B59</f>
        <v/>
      </c>
      <c r="C59" s="38">
        <f>'👥 Участники'!C59</f>
        <v/>
      </c>
      <c r="D59" s="39">
        <f>'👥 Участники'!D59</f>
        <v/>
      </c>
      <c r="E59" s="40" t="n"/>
      <c r="F59" s="40" t="n"/>
      <c r="G59" s="40" t="n"/>
      <c r="H59" s="40" t="n"/>
      <c r="I59" s="36">
        <f>IF(AND(C59="",OR(E59="",E59=0)),"",(IF(E59=1,30,IF(E59=2,20,IF(E59=3,10,IF(E59&lt;&gt;"",1,0))))+IF(F59=1,30,IF(F59=2,20,IF(F59=3,10,IF(F59&lt;&gt;"",1,0))))+IF(G59=1,30,IF(G59=2,20,IF(G59=3,10,IF(G59&lt;&gt;"",1,0))))+IF(H59=1,30,IF(H59=2,20,IF(H59=3,10,IF(H59&lt;&gt;"",1,0))))))</f>
        <v/>
      </c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9.5" customHeight="1" s="143">
      <c r="A60" s="1" t="n"/>
      <c r="B60" s="32">
        <f>'👥 Участники'!B60</f>
        <v/>
      </c>
      <c r="C60" s="33">
        <f>'👥 Участники'!C60</f>
        <v/>
      </c>
      <c r="D60" s="34">
        <f>'👥 Участники'!D60</f>
        <v/>
      </c>
      <c r="E60" s="40" t="n"/>
      <c r="F60" s="40" t="n"/>
      <c r="G60" s="40" t="n"/>
      <c r="H60" s="40" t="n"/>
      <c r="I60" s="36">
        <f>IF(AND(C60="",OR(E60="",E60=0)),"",(IF(E60=1,30,IF(E60=2,20,IF(E60=3,10,IF(E60&lt;&gt;"",1,0))))+IF(F60=1,30,IF(F60=2,20,IF(F60=3,10,IF(F60&lt;&gt;"",1,0))))+IF(G60=1,30,IF(G60=2,20,IF(G60=3,10,IF(G60&lt;&gt;"",1,0))))+IF(H60=1,30,IF(H60=2,20,IF(H60=3,10,IF(H60&lt;&gt;"",1,0))))))</f>
        <v/>
      </c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143">
      <c r="A61" s="1" t="n"/>
      <c r="B61" s="37">
        <f>'👥 Участники'!B61</f>
        <v/>
      </c>
      <c r="C61" s="38">
        <f>'👥 Участники'!C61</f>
        <v/>
      </c>
      <c r="D61" s="39">
        <f>'👥 Участники'!D61</f>
        <v/>
      </c>
      <c r="E61" s="40" t="n"/>
      <c r="F61" s="40" t="n"/>
      <c r="G61" s="40" t="n"/>
      <c r="H61" s="40" t="n"/>
      <c r="I61" s="36">
        <f>IF(AND(C61="",OR(E61="",E61=0)),"",(IF(E61=1,30,IF(E61=2,20,IF(E61=3,10,IF(E61&lt;&gt;"",1,0))))+IF(F61=1,30,IF(F61=2,20,IF(F61=3,10,IF(F61&lt;&gt;"",1,0))))+IF(G61=1,30,IF(G61=2,20,IF(G61=3,10,IF(G61&lt;&gt;"",1,0))))+IF(H61=1,30,IF(H61=2,20,IF(H61=3,10,IF(H61&lt;&gt;"",1,0))))))</f>
        <v/>
      </c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9.5" customHeight="1" s="143">
      <c r="A62" s="1" t="n"/>
      <c r="B62" s="32">
        <f>'👥 Участники'!B62</f>
        <v/>
      </c>
      <c r="C62" s="33">
        <f>'👥 Участники'!C62</f>
        <v/>
      </c>
      <c r="D62" s="34">
        <f>'👥 Участники'!D62</f>
        <v/>
      </c>
      <c r="E62" s="40" t="n"/>
      <c r="F62" s="40" t="n"/>
      <c r="G62" s="40" t="n"/>
      <c r="H62" s="40" t="n"/>
      <c r="I62" s="36">
        <f>IF(AND(C62="",OR(E62="",E62=0)),"",(IF(E62=1,30,IF(E62=2,20,IF(E62=3,10,IF(E62&lt;&gt;"",1,0))))+IF(F62=1,30,IF(F62=2,20,IF(F62=3,10,IF(F62&lt;&gt;"",1,0))))+IF(G62=1,30,IF(G62=2,20,IF(G62=3,10,IF(G62&lt;&gt;"",1,0))))+IF(H62=1,30,IF(H62=2,20,IF(H62=3,10,IF(H62&lt;&gt;"",1,0)))))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9.5" customHeight="1" s="143">
      <c r="A63" s="1" t="n"/>
      <c r="B63" s="37">
        <f>'👥 Участники'!B63</f>
        <v/>
      </c>
      <c r="C63" s="38">
        <f>'👥 Участники'!C63</f>
        <v/>
      </c>
      <c r="D63" s="39">
        <f>'👥 Участники'!D63</f>
        <v/>
      </c>
      <c r="E63" s="40" t="n"/>
      <c r="F63" s="40" t="n"/>
      <c r="G63" s="40" t="n"/>
      <c r="H63" s="40" t="n"/>
      <c r="I63" s="36">
        <f>IF(AND(C63="",OR(E63="",E63=0)),"",(IF(E63=1,30,IF(E63=2,20,IF(E63=3,10,IF(E63&lt;&gt;"",1,0))))+IF(F63=1,30,IF(F63=2,20,IF(F63=3,10,IF(F63&lt;&gt;"",1,0))))+IF(G63=1,30,IF(G63=2,20,IF(G63=3,10,IF(G63&lt;&gt;"",1,0))))+IF(H63=1,30,IF(H63=2,20,IF(H63=3,10,IF(H63&lt;&gt;"",1,0))))))</f>
        <v/>
      </c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9.5" customHeight="1" s="143">
      <c r="A64" s="1" t="n"/>
      <c r="B64" s="32">
        <f>'👥 Участники'!B64</f>
        <v/>
      </c>
      <c r="C64" s="33">
        <f>'👥 Участники'!C64</f>
        <v/>
      </c>
      <c r="D64" s="34">
        <f>'👥 Участники'!D64</f>
        <v/>
      </c>
      <c r="E64" s="40" t="n"/>
      <c r="F64" s="40" t="n"/>
      <c r="G64" s="40" t="n"/>
      <c r="H64" s="40" t="n"/>
      <c r="I64" s="36">
        <f>IF(AND(C64="",OR(E64="",E64=0)),"",(IF(E64=1,30,IF(E64=2,20,IF(E64=3,10,IF(E64&lt;&gt;"",1,0))))+IF(F64=1,30,IF(F64=2,20,IF(F64=3,10,IF(F64&lt;&gt;"",1,0))))+IF(G64=1,30,IF(G64=2,20,IF(G64=3,10,IF(G64&lt;&gt;"",1,0))))+IF(H64=1,30,IF(H64=2,20,IF(H64=3,10,IF(H64&lt;&gt;"",1,0))))))</f>
        <v/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9.5" customHeight="1" s="143">
      <c r="A65" s="1" t="n"/>
      <c r="B65" s="37">
        <f>'👥 Участники'!B65</f>
        <v/>
      </c>
      <c r="C65" s="38">
        <f>'👥 Участники'!C65</f>
        <v/>
      </c>
      <c r="D65" s="39">
        <f>'👥 Участники'!D65</f>
        <v/>
      </c>
      <c r="E65" s="40" t="n"/>
      <c r="F65" s="40" t="n"/>
      <c r="G65" s="40" t="n"/>
      <c r="H65" s="40" t="n"/>
      <c r="I65" s="36">
        <f>IF(AND(C65="",OR(E65="",E65=0)),"",(IF(E65=1,30,IF(E65=2,20,IF(E65=3,10,IF(E65&lt;&gt;"",1,0))))+IF(F65=1,30,IF(F65=2,20,IF(F65=3,10,IF(F65&lt;&gt;"",1,0))))+IF(G65=1,30,IF(G65=2,20,IF(G65=3,10,IF(G65&lt;&gt;"",1,0))))+IF(H65=1,30,IF(H65=2,20,IF(H65=3,10,IF(H65&lt;&gt;"",1,0))))))</f>
        <v/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9.5" customHeight="1" s="143">
      <c r="A66" s="1" t="n"/>
      <c r="B66" s="32">
        <f>'👥 Участники'!B66</f>
        <v/>
      </c>
      <c r="C66" s="33">
        <f>'👥 Участники'!C66</f>
        <v/>
      </c>
      <c r="D66" s="34">
        <f>'👥 Участники'!D66</f>
        <v/>
      </c>
      <c r="E66" s="40" t="n"/>
      <c r="F66" s="40" t="n"/>
      <c r="G66" s="40" t="n"/>
      <c r="H66" s="40" t="n"/>
      <c r="I66" s="36">
        <f>IF(AND(C66="",OR(E66="",E66=0)),"",(IF(E66=1,30,IF(E66=2,20,IF(E66=3,10,IF(E66&lt;&gt;"",1,0))))+IF(F66=1,30,IF(F66=2,20,IF(F66=3,10,IF(F66&lt;&gt;"",1,0))))+IF(G66=1,30,IF(G66=2,20,IF(G66=3,10,IF(G66&lt;&gt;"",1,0))))+IF(H66=1,30,IF(H66=2,20,IF(H66=3,10,IF(H66&lt;&gt;"",1,0)))))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9.5" customHeight="1" s="143">
      <c r="A67" s="1" t="n"/>
      <c r="B67" s="37">
        <f>'👥 Участники'!B67</f>
        <v/>
      </c>
      <c r="C67" s="38">
        <f>'👥 Участники'!C67</f>
        <v/>
      </c>
      <c r="D67" s="39">
        <f>'👥 Участники'!D67</f>
        <v/>
      </c>
      <c r="E67" s="40" t="n"/>
      <c r="F67" s="40" t="n"/>
      <c r="G67" s="40" t="n"/>
      <c r="H67" s="40" t="n"/>
      <c r="I67" s="36">
        <f>IF(AND(C67="",OR(E67="",E67=0)),"",(IF(E67=1,30,IF(E67=2,20,IF(E67=3,10,IF(E67&lt;&gt;"",1,0))))+IF(F67=1,30,IF(F67=2,20,IF(F67=3,10,IF(F67&lt;&gt;"",1,0))))+IF(G67=1,30,IF(G67=2,20,IF(G67=3,10,IF(G67&lt;&gt;"",1,0))))+IF(H67=1,30,IF(H67=2,20,IF(H67=3,10,IF(H67&lt;&gt;"",1,0)))))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9.5" customHeight="1" s="143">
      <c r="A68" s="1" t="n"/>
      <c r="B68" s="32">
        <f>'👥 Участники'!B68</f>
        <v/>
      </c>
      <c r="C68" s="33">
        <f>'👥 Участники'!C68</f>
        <v/>
      </c>
      <c r="D68" s="34">
        <f>'👥 Участники'!D68</f>
        <v/>
      </c>
      <c r="E68" s="40" t="n"/>
      <c r="F68" s="40" t="n"/>
      <c r="G68" s="40" t="n"/>
      <c r="H68" s="40" t="n"/>
      <c r="I68" s="36">
        <f>IF(AND(C68="",OR(E68="",E68=0)),"",(IF(E68=1,30,IF(E68=2,20,IF(E68=3,10,IF(E68&lt;&gt;"",1,0))))+IF(F68=1,30,IF(F68=2,20,IF(F68=3,10,IF(F68&lt;&gt;"",1,0))))+IF(G68=1,30,IF(G68=2,20,IF(G68=3,10,IF(G68&lt;&gt;"",1,0))))+IF(H68=1,30,IF(H68=2,20,IF(H68=3,10,IF(H68&lt;&gt;"",1,0))))))</f>
        <v/>
      </c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9.5" customHeight="1" s="143">
      <c r="A69" s="1" t="n"/>
      <c r="B69" s="37">
        <f>'👥 Участники'!B69</f>
        <v/>
      </c>
      <c r="C69" s="38">
        <f>'👥 Участники'!C69</f>
        <v/>
      </c>
      <c r="D69" s="39">
        <f>'👥 Участники'!D69</f>
        <v/>
      </c>
      <c r="E69" s="40" t="n"/>
      <c r="F69" s="40" t="n"/>
      <c r="G69" s="40" t="n"/>
      <c r="H69" s="40" t="n"/>
      <c r="I69" s="36">
        <f>IF(AND(C69="",OR(E69="",E69=0)),"",(IF(E69=1,30,IF(E69=2,20,IF(E69=3,10,IF(E69&lt;&gt;"",1,0))))+IF(F69=1,30,IF(F69=2,20,IF(F69=3,10,IF(F69&lt;&gt;"",1,0))))+IF(G69=1,30,IF(G69=2,20,IF(G69=3,10,IF(G69&lt;&gt;"",1,0))))+IF(H69=1,30,IF(H69=2,20,IF(H69=3,10,IF(H69&lt;&gt;"",1,0))))))</f>
        <v/>
      </c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9.5" customHeight="1" s="143">
      <c r="A70" s="1" t="n"/>
      <c r="B70" s="32">
        <f>'👥 Участники'!B70</f>
        <v/>
      </c>
      <c r="C70" s="33">
        <f>'👥 Участники'!C70</f>
        <v/>
      </c>
      <c r="D70" s="34">
        <f>'👥 Участники'!D70</f>
        <v/>
      </c>
      <c r="E70" s="40" t="n"/>
      <c r="F70" s="40" t="n"/>
      <c r="G70" s="40" t="n"/>
      <c r="H70" s="40" t="n"/>
      <c r="I70" s="36">
        <f>IF(AND(C70="",OR(E70="",E70=0)),"",(IF(E70=1,30,IF(E70=2,20,IF(E70=3,10,IF(E70&lt;&gt;"",1,0))))+IF(F70=1,30,IF(F70=2,20,IF(F70=3,10,IF(F70&lt;&gt;"",1,0))))+IF(G70=1,30,IF(G70=2,20,IF(G70=3,10,IF(G70&lt;&gt;"",1,0))))+IF(H70=1,30,IF(H70=2,20,IF(H70=3,10,IF(H70&lt;&gt;"",1,0))))))</f>
        <v/>
      </c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9.5" customHeight="1" s="143">
      <c r="A71" s="1" t="n"/>
      <c r="B71" s="37">
        <f>'👥 Участники'!B71</f>
        <v/>
      </c>
      <c r="C71" s="38">
        <f>'👥 Участники'!C71</f>
        <v/>
      </c>
      <c r="D71" s="39">
        <f>'👥 Участники'!D71</f>
        <v/>
      </c>
      <c r="E71" s="40" t="n"/>
      <c r="F71" s="40" t="n"/>
      <c r="G71" s="40" t="n"/>
      <c r="H71" s="40" t="n"/>
      <c r="I71" s="36">
        <f>IF(AND(C71="",OR(E71="",E71=0)),"",(IF(E71=1,30,IF(E71=2,20,IF(E71=3,10,IF(E71&lt;&gt;"",1,0))))+IF(F71=1,30,IF(F71=2,20,IF(F71=3,10,IF(F71&lt;&gt;"",1,0))))+IF(G71=1,30,IF(G71=2,20,IF(G71=3,10,IF(G71&lt;&gt;"",1,0))))+IF(H71=1,30,IF(H71=2,20,IF(H71=3,10,IF(H71&lt;&gt;"",1,0)))))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9.5" customHeight="1" s="143">
      <c r="A72" s="1" t="n"/>
      <c r="B72" s="32">
        <f>'👥 Участники'!B72</f>
        <v/>
      </c>
      <c r="C72" s="33">
        <f>'👥 Участники'!C72</f>
        <v/>
      </c>
      <c r="D72" s="34">
        <f>'👥 Участники'!D72</f>
        <v/>
      </c>
      <c r="E72" s="40" t="n"/>
      <c r="F72" s="40" t="n"/>
      <c r="G72" s="40" t="n"/>
      <c r="H72" s="40" t="n"/>
      <c r="I72" s="36">
        <f>IF(AND(C72="",OR(E72="",E72=0)),"",(IF(E72=1,30,IF(E72=2,20,IF(E72=3,10,IF(E72&lt;&gt;"",1,0))))+IF(F72=1,30,IF(F72=2,20,IF(F72=3,10,IF(F72&lt;&gt;"",1,0))))+IF(G72=1,30,IF(G72=2,20,IF(G72=3,10,IF(G72&lt;&gt;"",1,0))))+IF(H72=1,30,IF(H72=2,20,IF(H72=3,10,IF(H72&lt;&gt;"",1,0))))))</f>
        <v/>
      </c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9.5" customHeight="1" s="143">
      <c r="A73" s="1" t="n"/>
      <c r="B73" s="37">
        <f>'👥 Участники'!B73</f>
        <v/>
      </c>
      <c r="C73" s="38">
        <f>'👥 Участники'!C73</f>
        <v/>
      </c>
      <c r="D73" s="39">
        <f>'👥 Участники'!D73</f>
        <v/>
      </c>
      <c r="E73" s="40" t="n"/>
      <c r="F73" s="40" t="n"/>
      <c r="G73" s="40" t="n"/>
      <c r="H73" s="40" t="n"/>
      <c r="I73" s="36">
        <f>IF(AND(C73="",OR(E73="",E73=0)),"",(IF(E73=1,30,IF(E73=2,20,IF(E73=3,10,IF(E73&lt;&gt;"",1,0))))+IF(F73=1,30,IF(F73=2,20,IF(F73=3,10,IF(F73&lt;&gt;"",1,0))))+IF(G73=1,30,IF(G73=2,20,IF(G73=3,10,IF(G73&lt;&gt;"",1,0))))+IF(H73=1,30,IF(H73=2,20,IF(H73=3,10,IF(H73&lt;&gt;"",1,0))))))</f>
        <v/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9.5" customHeight="1" s="143">
      <c r="A74" s="1" t="n"/>
      <c r="B74" s="32">
        <f>'👥 Участники'!B74</f>
        <v/>
      </c>
      <c r="C74" s="33">
        <f>'👥 Участники'!C74</f>
        <v/>
      </c>
      <c r="D74" s="34">
        <f>'👥 Участники'!D74</f>
        <v/>
      </c>
      <c r="E74" s="40" t="n"/>
      <c r="F74" s="40" t="n"/>
      <c r="G74" s="40" t="n"/>
      <c r="H74" s="40" t="n"/>
      <c r="I74" s="36">
        <f>IF(AND(C74="",OR(E74="",E74=0)),"",(IF(E74=1,30,IF(E74=2,20,IF(E74=3,10,IF(E74&lt;&gt;"",1,0))))+IF(F74=1,30,IF(F74=2,20,IF(F74=3,10,IF(F74&lt;&gt;"",1,0))))+IF(G74=1,30,IF(G74=2,20,IF(G74=3,10,IF(G74&lt;&gt;"",1,0))))+IF(H74=1,30,IF(H74=2,20,IF(H74=3,10,IF(H74&lt;&gt;"",1,0))))))</f>
        <v/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9.5" customHeight="1" s="143">
      <c r="A75" s="1" t="n"/>
      <c r="B75" s="37">
        <f>'👥 Участники'!B75</f>
        <v/>
      </c>
      <c r="C75" s="38">
        <f>'👥 Участники'!C75</f>
        <v/>
      </c>
      <c r="D75" s="39">
        <f>'👥 Участники'!D75</f>
        <v/>
      </c>
      <c r="E75" s="40" t="n"/>
      <c r="F75" s="40" t="n"/>
      <c r="G75" s="40" t="n"/>
      <c r="H75" s="40" t="n"/>
      <c r="I75" s="36">
        <f>IF(AND(C75="",OR(E75="",E75=0)),"",(IF(E75=1,30,IF(E75=2,20,IF(E75=3,10,IF(E75&lt;&gt;"",1,0))))+IF(F75=1,30,IF(F75=2,20,IF(F75=3,10,IF(F75&lt;&gt;"",1,0))))+IF(G75=1,30,IF(G75=2,20,IF(G75=3,10,IF(G75&lt;&gt;"",1,0))))+IF(H75=1,30,IF(H75=2,20,IF(H75=3,10,IF(H75&lt;&gt;"",1,0)))))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143">
      <c r="A76" s="1" t="n"/>
      <c r="B76" s="32">
        <f>'👥 Участники'!B76</f>
        <v/>
      </c>
      <c r="C76" s="33">
        <f>'👥 Участники'!C76</f>
        <v/>
      </c>
      <c r="D76" s="34">
        <f>'👥 Участники'!D76</f>
        <v/>
      </c>
      <c r="E76" s="40" t="n"/>
      <c r="F76" s="40" t="n"/>
      <c r="G76" s="40" t="n"/>
      <c r="H76" s="40" t="n"/>
      <c r="I76" s="36">
        <f>IF(AND(C76="",OR(E76="",E76=0)),"",(IF(E76=1,30,IF(E76=2,20,IF(E76=3,10,IF(E76&lt;&gt;"",1,0))))+IF(F76=1,30,IF(F76=2,20,IF(F76=3,10,IF(F76&lt;&gt;"",1,0))))+IF(G76=1,30,IF(G76=2,20,IF(G76=3,10,IF(G76&lt;&gt;"",1,0))))+IF(H76=1,30,IF(H76=2,20,IF(H76=3,10,IF(H76&lt;&gt;"",1,0)))))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143">
      <c r="A77" s="1" t="n"/>
      <c r="B77" s="37">
        <f>'👥 Участники'!B77</f>
        <v/>
      </c>
      <c r="C77" s="38">
        <f>'👥 Участники'!C77</f>
        <v/>
      </c>
      <c r="D77" s="39">
        <f>'👥 Участники'!D77</f>
        <v/>
      </c>
      <c r="E77" s="40" t="n"/>
      <c r="F77" s="40" t="n"/>
      <c r="G77" s="40" t="n"/>
      <c r="H77" s="40" t="n"/>
      <c r="I77" s="36">
        <f>IF(AND(C77="",OR(E77="",E77=0)),"",(IF(E77=1,30,IF(E77=2,20,IF(E77=3,10,IF(E77&lt;&gt;"",1,0))))+IF(F77=1,30,IF(F77=2,20,IF(F77=3,10,IF(F77&lt;&gt;"",1,0))))+IF(G77=1,30,IF(G77=2,20,IF(G77=3,10,IF(G77&lt;&gt;"",1,0))))+IF(H77=1,30,IF(H77=2,20,IF(H77=3,10,IF(H77&lt;&gt;"",1,0)))))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143">
      <c r="A78" s="1" t="n"/>
      <c r="B78" s="32">
        <f>'👥 Участники'!B78</f>
        <v/>
      </c>
      <c r="C78" s="33">
        <f>'👥 Участники'!C78</f>
        <v/>
      </c>
      <c r="D78" s="34">
        <f>'👥 Участники'!D78</f>
        <v/>
      </c>
      <c r="E78" s="40" t="n"/>
      <c r="F78" s="40" t="n"/>
      <c r="G78" s="40" t="n"/>
      <c r="H78" s="40" t="n"/>
      <c r="I78" s="36">
        <f>IF(AND(C78="",OR(E78="",E78=0)),"",(IF(E78=1,30,IF(E78=2,20,IF(E78=3,10,IF(E78&lt;&gt;"",1,0))))+IF(F78=1,30,IF(F78=2,20,IF(F78=3,10,IF(F78&lt;&gt;"",1,0))))+IF(G78=1,30,IF(G78=2,20,IF(G78=3,10,IF(G78&lt;&gt;"",1,0))))+IF(H78=1,30,IF(H78=2,20,IF(H78=3,10,IF(H78&lt;&gt;"",1,0)))))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143">
      <c r="A79" s="1" t="n"/>
      <c r="B79" s="37">
        <f>'👥 Участники'!B79</f>
        <v/>
      </c>
      <c r="C79" s="38">
        <f>'👥 Участники'!C79</f>
        <v/>
      </c>
      <c r="D79" s="39">
        <f>'👥 Участники'!D79</f>
        <v/>
      </c>
      <c r="E79" s="40" t="n"/>
      <c r="F79" s="40" t="n"/>
      <c r="G79" s="40" t="n"/>
      <c r="H79" s="40" t="n"/>
      <c r="I79" s="36">
        <f>IF(AND(C79="",OR(E79="",E79=0)),"",(IF(E79=1,30,IF(E79=2,20,IF(E79=3,10,IF(E79&lt;&gt;"",1,0))))+IF(F79=1,30,IF(F79=2,20,IF(F79=3,10,IF(F79&lt;&gt;"",1,0))))+IF(G79=1,30,IF(G79=2,20,IF(G79=3,10,IF(G79&lt;&gt;"",1,0))))+IF(H79=1,30,IF(H79=2,20,IF(H79=3,10,IF(H79&lt;&gt;"",1,0)))))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143">
      <c r="A80" s="1" t="n"/>
      <c r="B80" s="32">
        <f>'👥 Участники'!B80</f>
        <v/>
      </c>
      <c r="C80" s="33">
        <f>'👥 Участники'!C80</f>
        <v/>
      </c>
      <c r="D80" s="34">
        <f>'👥 Участники'!D80</f>
        <v/>
      </c>
      <c r="E80" s="40" t="n"/>
      <c r="F80" s="40" t="n"/>
      <c r="G80" s="40" t="n"/>
      <c r="H80" s="40" t="n"/>
      <c r="I80" s="36">
        <f>IF(AND(C80="",OR(E80="",E80=0)),"",(IF(E80=1,30,IF(E80=2,20,IF(E80=3,10,IF(E80&lt;&gt;"",1,0))))+IF(F80=1,30,IF(F80=2,20,IF(F80=3,10,IF(F80&lt;&gt;"",1,0))))+IF(G80=1,30,IF(G80=2,20,IF(G80=3,10,IF(G80&lt;&gt;"",1,0))))+IF(H80=1,30,IF(H80=2,20,IF(H80=3,10,IF(H80&lt;&gt;"",1,0))))))</f>
        <v/>
      </c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143">
      <c r="A81" s="1" t="n"/>
      <c r="B81" s="37">
        <f>'👥 Участники'!B81</f>
        <v/>
      </c>
      <c r="C81" s="38">
        <f>'👥 Участники'!C81</f>
        <v/>
      </c>
      <c r="D81" s="39">
        <f>'👥 Участники'!D81</f>
        <v/>
      </c>
      <c r="E81" s="40" t="n"/>
      <c r="F81" s="40" t="n"/>
      <c r="G81" s="40" t="n"/>
      <c r="H81" s="40" t="n"/>
      <c r="I81" s="36">
        <f>IF(AND(C81="",OR(E81="",E81=0)),"",(IF(E81=1,30,IF(E81=2,20,IF(E81=3,10,IF(E81&lt;&gt;"",1,0))))+IF(F81=1,30,IF(F81=2,20,IF(F81=3,10,IF(F81&lt;&gt;"",1,0))))+IF(G81=1,30,IF(G81=2,20,IF(G81=3,10,IF(G81&lt;&gt;"",1,0))))+IF(H81=1,30,IF(H81=2,20,IF(H81=3,10,IF(H81&lt;&gt;"",1,0))))))</f>
        <v/>
      </c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9.5" customHeight="1" s="143">
      <c r="A82" s="1" t="n"/>
      <c r="B82" s="32">
        <f>'👥 Участники'!B82</f>
        <v/>
      </c>
      <c r="C82" s="33">
        <f>'👥 Участники'!C82</f>
        <v/>
      </c>
      <c r="D82" s="34">
        <f>'👥 Участники'!D82</f>
        <v/>
      </c>
      <c r="E82" s="40" t="n"/>
      <c r="F82" s="40" t="n"/>
      <c r="G82" s="40" t="n"/>
      <c r="H82" s="40" t="n"/>
      <c r="I82" s="36">
        <f>IF(AND(C82="",OR(E82="",E82=0)),"",(IF(E82=1,30,IF(E82=2,20,IF(E82=3,10,IF(E82&lt;&gt;"",1,0))))+IF(F82=1,30,IF(F82=2,20,IF(F82=3,10,IF(F82&lt;&gt;"",1,0))))+IF(G82=1,30,IF(G82=2,20,IF(G82=3,10,IF(G82&lt;&gt;"",1,0))))+IF(H82=1,30,IF(H82=2,20,IF(H82=3,10,IF(H82&lt;&gt;"",1,0))))))</f>
        <v/>
      </c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143">
      <c r="A83" s="1" t="n"/>
      <c r="B83" s="37">
        <f>'👥 Участники'!B83</f>
        <v/>
      </c>
      <c r="C83" s="38">
        <f>'👥 Участники'!C83</f>
        <v/>
      </c>
      <c r="D83" s="39">
        <f>'👥 Участники'!D83</f>
        <v/>
      </c>
      <c r="E83" s="40" t="n"/>
      <c r="F83" s="40" t="n"/>
      <c r="G83" s="40" t="n"/>
      <c r="H83" s="40" t="n"/>
      <c r="I83" s="36">
        <f>IF(AND(C83="",OR(E83="",E83=0)),"",(IF(E83=1,30,IF(E83=2,20,IF(E83=3,10,IF(E83&lt;&gt;"",1,0))))+IF(F83=1,30,IF(F83=2,20,IF(F83=3,10,IF(F83&lt;&gt;"",1,0))))+IF(G83=1,30,IF(G83=2,20,IF(G83=3,10,IF(G83&lt;&gt;"",1,0))))+IF(H83=1,30,IF(H83=2,20,IF(H83=3,10,IF(H83&lt;&gt;"",1,0))))))</f>
        <v/>
      </c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143">
      <c r="A84" s="1" t="n"/>
      <c r="B84" s="32">
        <f>'👥 Участники'!B84</f>
        <v/>
      </c>
      <c r="C84" s="33">
        <f>'👥 Участники'!C84</f>
        <v/>
      </c>
      <c r="D84" s="34">
        <f>'👥 Участники'!D84</f>
        <v/>
      </c>
      <c r="E84" s="40" t="n"/>
      <c r="F84" s="40" t="n"/>
      <c r="G84" s="40" t="n"/>
      <c r="H84" s="40" t="n"/>
      <c r="I84" s="36">
        <f>IF(AND(C84="",OR(E84="",E84=0)),"",(IF(E84=1,30,IF(E84=2,20,IF(E84=3,10,IF(E84&lt;&gt;"",1,0))))+IF(F84=1,30,IF(F84=2,20,IF(F84=3,10,IF(F84&lt;&gt;"",1,0))))+IF(G84=1,30,IF(G84=2,20,IF(G84=3,10,IF(G84&lt;&gt;"",1,0))))+IF(H84=1,30,IF(H84=2,20,IF(H84=3,10,IF(H84&lt;&gt;"",1,0))))))</f>
        <v/>
      </c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9.5" customHeight="1" s="143">
      <c r="A85" s="1" t="n"/>
      <c r="B85" s="37">
        <f>'👥 Участники'!B85</f>
        <v/>
      </c>
      <c r="C85" s="38">
        <f>'👥 Участники'!C85</f>
        <v/>
      </c>
      <c r="D85" s="39">
        <f>'👥 Участники'!D85</f>
        <v/>
      </c>
      <c r="E85" s="40" t="n"/>
      <c r="F85" s="40" t="n"/>
      <c r="G85" s="40" t="n"/>
      <c r="H85" s="40" t="n"/>
      <c r="I85" s="36">
        <f>IF(AND(C85="",OR(E85="",E85=0)),"",(IF(E85=1,30,IF(E85=2,20,IF(E85=3,10,IF(E85&lt;&gt;"",1,0))))+IF(F85=1,30,IF(F85=2,20,IF(F85=3,10,IF(F85&lt;&gt;"",1,0))))+IF(G85=1,30,IF(G85=2,20,IF(G85=3,10,IF(G85&lt;&gt;"",1,0))))+IF(H85=1,30,IF(H85=2,20,IF(H85=3,10,IF(H85&lt;&gt;"",1,0)))))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9.5" customHeight="1" s="143">
      <c r="A86" s="1" t="n"/>
      <c r="B86" s="32">
        <f>'👥 Участники'!B86</f>
        <v/>
      </c>
      <c r="C86" s="33">
        <f>'👥 Участники'!C86</f>
        <v/>
      </c>
      <c r="D86" s="34">
        <f>'👥 Участники'!D86</f>
        <v/>
      </c>
      <c r="E86" s="40" t="n"/>
      <c r="F86" s="40" t="n"/>
      <c r="G86" s="40" t="n"/>
      <c r="H86" s="40" t="n"/>
      <c r="I86" s="36">
        <f>IF(AND(C86="",OR(E86="",E86=0)),"",(IF(E86=1,30,IF(E86=2,20,IF(E86=3,10,IF(E86&lt;&gt;"",1,0))))+IF(F86=1,30,IF(F86=2,20,IF(F86=3,10,IF(F86&lt;&gt;"",1,0))))+IF(G86=1,30,IF(G86=2,20,IF(G86=3,10,IF(G86&lt;&gt;"",1,0))))+IF(H86=1,30,IF(H86=2,20,IF(H86=3,10,IF(H86&lt;&gt;"",1,0))))))</f>
        <v/>
      </c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9.5" customHeight="1" s="143">
      <c r="A87" s="1" t="n"/>
      <c r="B87" s="37">
        <f>'👥 Участники'!B87</f>
        <v/>
      </c>
      <c r="C87" s="38">
        <f>'👥 Участники'!C87</f>
        <v/>
      </c>
      <c r="D87" s="39">
        <f>'👥 Участники'!D87</f>
        <v/>
      </c>
      <c r="E87" s="40" t="n"/>
      <c r="F87" s="40" t="n"/>
      <c r="G87" s="40" t="n"/>
      <c r="H87" s="40" t="n"/>
      <c r="I87" s="36">
        <f>IF(AND(C87="",OR(E87="",E87=0)),"",(IF(E87=1,30,IF(E87=2,20,IF(E87=3,10,IF(E87&lt;&gt;"",1,0))))+IF(F87=1,30,IF(F87=2,20,IF(F87=3,10,IF(F87&lt;&gt;"",1,0))))+IF(G87=1,30,IF(G87=2,20,IF(G87=3,10,IF(G87&lt;&gt;"",1,0))))+IF(H87=1,30,IF(H87=2,20,IF(H87=3,10,IF(H87&lt;&gt;"",1,0))))))</f>
        <v/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9.5" customHeight="1" s="143">
      <c r="A88" s="1" t="n"/>
      <c r="B88" s="32">
        <f>'👥 Участники'!B88</f>
        <v/>
      </c>
      <c r="C88" s="33">
        <f>'👥 Участники'!C88</f>
        <v/>
      </c>
      <c r="D88" s="34">
        <f>'👥 Участники'!D88</f>
        <v/>
      </c>
      <c r="E88" s="40" t="n"/>
      <c r="F88" s="40" t="n"/>
      <c r="G88" s="40" t="n"/>
      <c r="H88" s="40" t="n"/>
      <c r="I88" s="36">
        <f>IF(AND(C88="",OR(E88="",E88=0)),"",(IF(E88=1,30,IF(E88=2,20,IF(E88=3,10,IF(E88&lt;&gt;"",1,0))))+IF(F88=1,30,IF(F88=2,20,IF(F88=3,10,IF(F88&lt;&gt;"",1,0))))+IF(G88=1,30,IF(G88=2,20,IF(G88=3,10,IF(G88&lt;&gt;"",1,0))))+IF(H88=1,30,IF(H88=2,20,IF(H88=3,10,IF(H88&lt;&gt;"",1,0))))))</f>
        <v/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9.5" customHeight="1" s="143">
      <c r="A89" s="1" t="n"/>
      <c r="B89" s="37">
        <f>'👥 Участники'!B89</f>
        <v/>
      </c>
      <c r="C89" s="38">
        <f>'👥 Участники'!C89</f>
        <v/>
      </c>
      <c r="D89" s="39">
        <f>'👥 Участники'!D89</f>
        <v/>
      </c>
      <c r="E89" s="40" t="n"/>
      <c r="F89" s="40" t="n"/>
      <c r="G89" s="40" t="n"/>
      <c r="H89" s="40" t="n"/>
      <c r="I89" s="36">
        <f>IF(AND(C89="",OR(E89="",E89=0)),"",(IF(E89=1,30,IF(E89=2,20,IF(E89=3,10,IF(E89&lt;&gt;"",1,0))))+IF(F89=1,30,IF(F89=2,20,IF(F89=3,10,IF(F89&lt;&gt;"",1,0))))+IF(G89=1,30,IF(G89=2,20,IF(G89=3,10,IF(G89&lt;&gt;"",1,0))))+IF(H89=1,30,IF(H89=2,20,IF(H89=3,10,IF(H89&lt;&gt;"",1,0)))))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9.5" customHeight="1" s="143">
      <c r="A90" s="1" t="n"/>
      <c r="B90" s="32">
        <f>'👥 Участники'!B90</f>
        <v/>
      </c>
      <c r="C90" s="33">
        <f>'👥 Участники'!C90</f>
        <v/>
      </c>
      <c r="D90" s="34">
        <f>'👥 Участники'!D90</f>
        <v/>
      </c>
      <c r="E90" s="40" t="n"/>
      <c r="F90" s="40" t="n"/>
      <c r="G90" s="40" t="n"/>
      <c r="H90" s="40" t="n"/>
      <c r="I90" s="36">
        <f>IF(AND(C90="",OR(E90="",E90=0)),"",(IF(E90=1,30,IF(E90=2,20,IF(E90=3,10,IF(E90&lt;&gt;"",1,0))))+IF(F90=1,30,IF(F90=2,20,IF(F90=3,10,IF(F90&lt;&gt;"",1,0))))+IF(G90=1,30,IF(G90=2,20,IF(G90=3,10,IF(G90&lt;&gt;"",1,0))))+IF(H90=1,30,IF(H90=2,20,IF(H90=3,10,IF(H90&lt;&gt;"",1,0))))))</f>
        <v/>
      </c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9.5" customHeight="1" s="143">
      <c r="A91" s="1" t="n"/>
      <c r="B91" s="37">
        <f>'👥 Участники'!B91</f>
        <v/>
      </c>
      <c r="C91" s="38">
        <f>'👥 Участники'!C91</f>
        <v/>
      </c>
      <c r="D91" s="39">
        <f>'👥 Участники'!D91</f>
        <v/>
      </c>
      <c r="E91" s="40" t="n"/>
      <c r="F91" s="40" t="n"/>
      <c r="G91" s="40" t="n"/>
      <c r="H91" s="40" t="n"/>
      <c r="I91" s="36">
        <f>IF(AND(C91="",OR(E91="",E91=0)),"",(IF(E91=1,30,IF(E91=2,20,IF(E91=3,10,IF(E91&lt;&gt;"",1,0))))+IF(F91=1,30,IF(F91=2,20,IF(F91=3,10,IF(F91&lt;&gt;"",1,0))))+IF(G91=1,30,IF(G91=2,20,IF(G91=3,10,IF(G91&lt;&gt;"",1,0))))+IF(H91=1,30,IF(H91=2,20,IF(H91=3,10,IF(H91&lt;&gt;"",1,0))))))</f>
        <v/>
      </c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9.5" customHeight="1" s="143">
      <c r="A92" s="1" t="n"/>
      <c r="B92" s="32">
        <f>'👥 Участники'!B92</f>
        <v/>
      </c>
      <c r="C92" s="33">
        <f>'👥 Участники'!C92</f>
        <v/>
      </c>
      <c r="D92" s="34">
        <f>'👥 Участники'!D92</f>
        <v/>
      </c>
      <c r="E92" s="40" t="n"/>
      <c r="F92" s="40" t="n"/>
      <c r="G92" s="40" t="n"/>
      <c r="H92" s="40" t="n"/>
      <c r="I92" s="36">
        <f>IF(AND(C92="",OR(E92="",E92=0)),"",(IF(E92=1,30,IF(E92=2,20,IF(E92=3,10,IF(E92&lt;&gt;"",1,0))))+IF(F92=1,30,IF(F92=2,20,IF(F92=3,10,IF(F92&lt;&gt;"",1,0))))+IF(G92=1,30,IF(G92=2,20,IF(G92=3,10,IF(G92&lt;&gt;"",1,0))))+IF(H92=1,30,IF(H92=2,20,IF(H92=3,10,IF(H92&lt;&gt;"",1,0))))))</f>
        <v/>
      </c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9.5" customHeight="1" s="143">
      <c r="A93" s="1" t="n"/>
      <c r="B93" s="37">
        <f>'👥 Участники'!B93</f>
        <v/>
      </c>
      <c r="C93" s="38">
        <f>'👥 Участники'!C93</f>
        <v/>
      </c>
      <c r="D93" s="39">
        <f>'👥 Участники'!D93</f>
        <v/>
      </c>
      <c r="E93" s="40" t="n"/>
      <c r="F93" s="40" t="n"/>
      <c r="G93" s="40" t="n"/>
      <c r="H93" s="40" t="n"/>
      <c r="I93" s="36">
        <f>IF(AND(C93="",OR(E93="",E93=0)),"",(IF(E93=1,30,IF(E93=2,20,IF(E93=3,10,IF(E93&lt;&gt;"",1,0))))+IF(F93=1,30,IF(F93=2,20,IF(F93=3,10,IF(F93&lt;&gt;"",1,0))))+IF(G93=1,30,IF(G93=2,20,IF(G93=3,10,IF(G93&lt;&gt;"",1,0))))+IF(H93=1,30,IF(H93=2,20,IF(H93=3,10,IF(H93&lt;&gt;"",1,0))))))</f>
        <v/>
      </c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9.5" customHeight="1" s="143">
      <c r="A94" s="1" t="n"/>
      <c r="B94" s="32">
        <f>'👥 Участники'!B94</f>
        <v/>
      </c>
      <c r="C94" s="33">
        <f>'👥 Участники'!C94</f>
        <v/>
      </c>
      <c r="D94" s="34">
        <f>'👥 Участники'!D94</f>
        <v/>
      </c>
      <c r="E94" s="40" t="n"/>
      <c r="F94" s="40" t="n"/>
      <c r="G94" s="40" t="n"/>
      <c r="H94" s="40" t="n"/>
      <c r="I94" s="36">
        <f>IF(AND(C94="",OR(E94="",E94=0)),"",(IF(E94=1,30,IF(E94=2,20,IF(E94=3,10,IF(E94&lt;&gt;"",1,0))))+IF(F94=1,30,IF(F94=2,20,IF(F94=3,10,IF(F94&lt;&gt;"",1,0))))+IF(G94=1,30,IF(G94=2,20,IF(G94=3,10,IF(G94&lt;&gt;"",1,0))))+IF(H94=1,30,IF(H94=2,20,IF(H94=3,10,IF(H94&lt;&gt;"",1,0)))))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9.5" customHeight="1" s="143">
      <c r="A95" s="1" t="n"/>
      <c r="B95" s="37">
        <f>'👥 Участники'!B95</f>
        <v/>
      </c>
      <c r="C95" s="38">
        <f>'👥 Участники'!C95</f>
        <v/>
      </c>
      <c r="D95" s="39">
        <f>'👥 Участники'!D95</f>
        <v/>
      </c>
      <c r="E95" s="40" t="n"/>
      <c r="F95" s="40" t="n"/>
      <c r="G95" s="40" t="n"/>
      <c r="H95" s="40" t="n"/>
      <c r="I95" s="36">
        <f>IF(AND(C95="",OR(E95="",E95=0)),"",(IF(E95=1,30,IF(E95=2,20,IF(E95=3,10,IF(E95&lt;&gt;"",1,0))))+IF(F95=1,30,IF(F95=2,20,IF(F95=3,10,IF(F95&lt;&gt;"",1,0))))+IF(G95=1,30,IF(G95=2,20,IF(G95=3,10,IF(G95&lt;&gt;"",1,0))))+IF(H95=1,30,IF(H95=2,20,IF(H95=3,10,IF(H95&lt;&gt;"",1,0))))))</f>
        <v/>
      </c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9.5" customHeight="1" s="143">
      <c r="A96" s="1" t="n"/>
      <c r="B96" s="32">
        <f>'👥 Участники'!B96</f>
        <v/>
      </c>
      <c r="C96" s="33">
        <f>'👥 Участники'!C96</f>
        <v/>
      </c>
      <c r="D96" s="34">
        <f>'👥 Участники'!D96</f>
        <v/>
      </c>
      <c r="E96" s="40" t="n"/>
      <c r="F96" s="40" t="n"/>
      <c r="G96" s="40" t="n"/>
      <c r="H96" s="40" t="n"/>
      <c r="I96" s="36">
        <f>IF(AND(C96="",OR(E96="",E96=0)),"",(IF(E96=1,30,IF(E96=2,20,IF(E96=3,10,IF(E96&lt;&gt;"",1,0))))+IF(F96=1,30,IF(F96=2,20,IF(F96=3,10,IF(F96&lt;&gt;"",1,0))))+IF(G96=1,30,IF(G96=2,20,IF(G96=3,10,IF(G96&lt;&gt;"",1,0))))+IF(H96=1,30,IF(H96=2,20,IF(H96=3,10,IF(H96&lt;&gt;"",1,0))))))</f>
        <v/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9.5" customHeight="1" s="143">
      <c r="A97" s="1" t="n"/>
      <c r="B97" s="37">
        <f>'👥 Участники'!B97</f>
        <v/>
      </c>
      <c r="C97" s="38">
        <f>'👥 Участники'!C97</f>
        <v/>
      </c>
      <c r="D97" s="39">
        <f>'👥 Участники'!D97</f>
        <v/>
      </c>
      <c r="E97" s="40" t="n"/>
      <c r="F97" s="40" t="n"/>
      <c r="G97" s="40" t="n"/>
      <c r="H97" s="40" t="n"/>
      <c r="I97" s="36">
        <f>IF(AND(C97="",OR(E97="",E97=0)),"",(IF(E97=1,30,IF(E97=2,20,IF(E97=3,10,IF(E97&lt;&gt;"",1,0))))+IF(F97=1,30,IF(F97=2,20,IF(F97=3,10,IF(F97&lt;&gt;"",1,0))))+IF(G97=1,30,IF(G97=2,20,IF(G97=3,10,IF(G97&lt;&gt;"",1,0))))+IF(H97=1,30,IF(H97=2,20,IF(H97=3,10,IF(H97&lt;&gt;"",1,0))))))</f>
        <v/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9.5" customHeight="1" s="143">
      <c r="A98" s="1" t="n"/>
      <c r="B98" s="32">
        <f>'👥 Участники'!B98</f>
        <v/>
      </c>
      <c r="C98" s="33">
        <f>'👥 Участники'!C98</f>
        <v/>
      </c>
      <c r="D98" s="34">
        <f>'👥 Участники'!D98</f>
        <v/>
      </c>
      <c r="E98" s="40" t="n"/>
      <c r="F98" s="40" t="n"/>
      <c r="G98" s="40" t="n"/>
      <c r="H98" s="40" t="n"/>
      <c r="I98" s="36">
        <f>IF(AND(C98="",OR(E98="",E98=0)),"",(IF(E98=1,30,IF(E98=2,20,IF(E98=3,10,IF(E98&lt;&gt;"",1,0))))+IF(F98=1,30,IF(F98=2,20,IF(F98=3,10,IF(F98&lt;&gt;"",1,0))))+IF(G98=1,30,IF(G98=2,20,IF(G98=3,10,IF(G98&lt;&gt;"",1,0))))+IF(H98=1,30,IF(H98=2,20,IF(H98=3,10,IF(H98&lt;&gt;"",1,0))))))</f>
        <v/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9.5" customHeight="1" s="143">
      <c r="A99" s="1" t="n"/>
      <c r="B99" s="37">
        <f>'👥 Участники'!B99</f>
        <v/>
      </c>
      <c r="C99" s="38">
        <f>'👥 Участники'!C99</f>
        <v/>
      </c>
      <c r="D99" s="39">
        <f>'👥 Участники'!D99</f>
        <v/>
      </c>
      <c r="E99" s="40" t="n"/>
      <c r="F99" s="40" t="n"/>
      <c r="G99" s="40" t="n"/>
      <c r="H99" s="40" t="n"/>
      <c r="I99" s="36">
        <f>IF(AND(C99="",OR(E99="",E99=0)),"",(IF(E99=1,30,IF(E99=2,20,IF(E99=3,10,IF(E99&lt;&gt;"",1,0))))+IF(F99=1,30,IF(F99=2,20,IF(F99=3,10,IF(F99&lt;&gt;"",1,0))))+IF(G99=1,30,IF(G99=2,20,IF(G99=3,10,IF(G99&lt;&gt;"",1,0))))+IF(H99=1,30,IF(H99=2,20,IF(H99=3,10,IF(H99&lt;&gt;"",1,0)))))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9.5" customHeight="1" s="143">
      <c r="A100" s="1" t="n"/>
      <c r="B100" s="32">
        <f>'👥 Участники'!B100</f>
        <v/>
      </c>
      <c r="C100" s="33">
        <f>'👥 Участники'!C100</f>
        <v/>
      </c>
      <c r="D100" s="34">
        <f>'👥 Участники'!D100</f>
        <v/>
      </c>
      <c r="E100" s="40" t="n"/>
      <c r="F100" s="40" t="n"/>
      <c r="G100" s="40" t="n"/>
      <c r="H100" s="40" t="n"/>
      <c r="I100" s="36">
        <f>IF(AND(C100="",OR(E100="",E100=0)),"",(IF(E100=1,30,IF(E100=2,20,IF(E100=3,10,IF(E100&lt;&gt;"",1,0))))+IF(F100=1,30,IF(F100=2,20,IF(F100=3,10,IF(F100&lt;&gt;"",1,0))))+IF(G100=1,30,IF(G100=2,20,IF(G100=3,10,IF(G100&lt;&gt;"",1,0))))+IF(H100=1,30,IF(H100=2,20,IF(H100=3,10,IF(H100&lt;&gt;"",1,0)))))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9.5" customHeight="1" s="143">
      <c r="A101" s="1" t="n"/>
      <c r="B101" s="37">
        <f>'👥 Участники'!B101</f>
        <v/>
      </c>
      <c r="C101" s="38">
        <f>'👥 Участники'!C101</f>
        <v/>
      </c>
      <c r="D101" s="39">
        <f>'👥 Участники'!D101</f>
        <v/>
      </c>
      <c r="E101" s="40" t="n"/>
      <c r="F101" s="40" t="n"/>
      <c r="G101" s="40" t="n"/>
      <c r="H101" s="40" t="n"/>
      <c r="I101" s="36">
        <f>IF(AND(C101="",OR(E101="",E101=0)),"",(IF(E101=1,30,IF(E101=2,20,IF(E101=3,10,IF(E101&lt;&gt;"",1,0))))+IF(F101=1,30,IF(F101=2,20,IF(F101=3,10,IF(F101&lt;&gt;"",1,0))))+IF(G101=1,30,IF(G101=2,20,IF(G101=3,10,IF(G101&lt;&gt;"",1,0))))+IF(H101=1,30,IF(H101=2,20,IF(H101=3,10,IF(H101&lt;&gt;"",1,0))))))</f>
        <v/>
      </c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9.5" customHeight="1" s="143">
      <c r="A102" s="1" t="n"/>
      <c r="B102" s="32">
        <f>'👥 Участники'!B102</f>
        <v/>
      </c>
      <c r="C102" s="33">
        <f>'👥 Участники'!C102</f>
        <v/>
      </c>
      <c r="D102" s="34">
        <f>'👥 Участники'!D102</f>
        <v/>
      </c>
      <c r="E102" s="40" t="n"/>
      <c r="F102" s="40" t="n"/>
      <c r="G102" s="40" t="n"/>
      <c r="H102" s="40" t="n"/>
      <c r="I102" s="36">
        <f>IF(AND(C102="",OR(E102="",E102=0)),"",(IF(E102=1,30,IF(E102=2,20,IF(E102=3,10,IF(E102&lt;&gt;"",1,0))))+IF(F102=1,30,IF(F102=2,20,IF(F102=3,10,IF(F102&lt;&gt;"",1,0))))+IF(G102=1,30,IF(G102=2,20,IF(G102=3,10,IF(G102&lt;&gt;"",1,0))))+IF(H102=1,30,IF(H102=2,20,IF(H102=3,10,IF(H102&lt;&gt;"",1,0))))))</f>
        <v/>
      </c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9.5" customHeight="1" s="143">
      <c r="A103" s="1" t="n"/>
      <c r="B103" s="37">
        <f>'👥 Участники'!B103</f>
        <v/>
      </c>
      <c r="C103" s="38">
        <f>'👥 Участники'!C103</f>
        <v/>
      </c>
      <c r="D103" s="39">
        <f>'👥 Участники'!D103</f>
        <v/>
      </c>
      <c r="E103" s="40" t="n"/>
      <c r="F103" s="40" t="n"/>
      <c r="G103" s="40" t="n"/>
      <c r="H103" s="40" t="n"/>
      <c r="I103" s="36">
        <f>IF(AND(C103="",OR(E103="",E103=0)),"",(IF(E103=1,30,IF(E103=2,20,IF(E103=3,10,IF(E103&lt;&gt;"",1,0))))+IF(F103=1,30,IF(F103=2,20,IF(F103=3,10,IF(F103&lt;&gt;"",1,0))))+IF(G103=1,30,IF(G103=2,20,IF(G103=3,10,IF(G103&lt;&gt;"",1,0))))+IF(H103=1,30,IF(H103=2,20,IF(H103=3,10,IF(H103&lt;&gt;"",1,0)))))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>
        <f>IF(AND(C104="",OR(E104="",E104=0)),"",(IF(E104=1,30,IF(E104=2,20,IF(E104=3,10,IF(E104&lt;&gt;"",1,0))))+IF(F104=1,30,IF(F104=2,20,IF(F104=3,10,IF(F104&lt;&gt;"",1,0))))+IF(G104=1,30,IF(G104=2,20,IF(G104=3,10,IF(G104&lt;&gt;"",1,0))))+IF(H104=1,30,IF(H104=2,20,IF(H104=3,10,IF(H104&lt;&gt;"",1,0))))))</f>
        <v/>
      </c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>
        <f>IF(AND(C105="",OR(E105="",E105=0)),"",(IF(E105=1,30,IF(E105=2,20,IF(E105=3,10,IF(E105&lt;&gt;"",1,0))))+IF(F105=1,30,IF(F105=2,20,IF(F105=3,10,IF(F105&lt;&gt;"",1,0))))+IF(G105=1,30,IF(G105=2,20,IF(G105=3,10,IF(G105&lt;&gt;"",1,0))))+IF(H105=1,30,IF(H105=2,20,IF(H105=3,10,IF(H105&lt;&gt;"",1,0))))))</f>
        <v/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>
        <f>IF(AND(C106="",OR(E106="",E106=0)),"",(IF(E106=1,30,IF(E106=2,20,IF(E106=3,10,IF(E106&lt;&gt;"",1,0))))+IF(F106=1,30,IF(F106=2,20,IF(F106=3,10,IF(F106&lt;&gt;"",1,0))))+IF(G106=1,30,IF(G106=2,20,IF(G106=3,10,IF(G106&lt;&gt;"",1,0))))+IF(H106=1,30,IF(H106=2,20,IF(H106=3,10,IF(H106&lt;&gt;"",1,0))))))</f>
        <v/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>
        <f>IF(AND(C107="",OR(E107="",E107=0)),"",(IF(E107=1,30,IF(E107=2,20,IF(E107=3,10,IF(E107&lt;&gt;"",1,0))))+IF(F107=1,30,IF(F107=2,20,IF(F107=3,10,IF(F107&lt;&gt;"",1,0))))+IF(G107=1,30,IF(G107=2,20,IF(G107=3,10,IF(G107&lt;&gt;"",1,0))))+IF(H107=1,30,IF(H107=2,20,IF(H107=3,10,IF(H107&lt;&gt;"",1,0)))))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>
        <f>IF(AND(C108="",OR(E108="",E108=0)),"",(IF(E108=1,30,IF(E108=2,20,IF(E108=3,10,IF(E108&lt;&gt;"",1,0))))+IF(F108=1,30,IF(F108=2,20,IF(F108=3,10,IF(F108&lt;&gt;"",1,0))))+IF(G108=1,30,IF(G108=2,20,IF(G108=3,10,IF(G108&lt;&gt;"",1,0))))+IF(H108=1,30,IF(H108=2,20,IF(H108=3,10,IF(H108&lt;&gt;"",1,0)))))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>
        <f>IF(AND(C109="",OR(E109="",E109=0)),"",(IF(E109=1,30,IF(E109=2,20,IF(E109=3,10,IF(E109&lt;&gt;"",1,0))))+IF(F109=1,30,IF(F109=2,20,IF(F109=3,10,IF(F109&lt;&gt;"",1,0))))+IF(G109=1,30,IF(G109=2,20,IF(G109=3,10,IF(G109&lt;&gt;"",1,0))))+IF(H109=1,30,IF(H109=2,20,IF(H109=3,10,IF(H109&lt;&gt;"",1,0))))))</f>
        <v/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>
        <f>IF(AND(C110="",OR(E110="",E110=0)),"",(IF(E110=1,30,IF(E110=2,20,IF(E110=3,10,IF(E110&lt;&gt;"",1,0))))+IF(F110=1,30,IF(F110=2,20,IF(F110=3,10,IF(F110&lt;&gt;"",1,0))))+IF(G110=1,30,IF(G110=2,20,IF(G110=3,10,IF(G110&lt;&gt;"",1,0))))+IF(H110=1,30,IF(H110=2,20,IF(H110=3,10,IF(H110&lt;&gt;"",1,0))))))</f>
        <v/>
      </c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>
        <f>IF(AND(C111="",OR(E111="",E111=0)),"",(IF(E111=1,30,IF(E111=2,20,IF(E111=3,10,IF(E111&lt;&gt;"",1,0))))+IF(F111=1,30,IF(F111=2,20,IF(F111=3,10,IF(F111&lt;&gt;"",1,0))))+IF(G111=1,30,IF(G111=2,20,IF(G111=3,10,IF(G111&lt;&gt;"",1,0))))+IF(H111=1,30,IF(H111=2,20,IF(H111=3,10,IF(H111&lt;&gt;"",1,0))))))</f>
        <v/>
      </c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>
        <f>IF(AND(C112="",OR(E112="",E112=0)),"",(IF(E112=1,30,IF(E112=2,20,IF(E112=3,10,IF(E112&lt;&gt;"",1,0))))+IF(F112=1,30,IF(F112=2,20,IF(F112=3,10,IF(F112&lt;&gt;"",1,0))))+IF(G112=1,30,IF(G112=2,20,IF(G112=3,10,IF(G112&lt;&gt;"",1,0))))+IF(H112=1,30,IF(H112=2,20,IF(H112=3,10,IF(H112&lt;&gt;"",1,0)))))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>
        <f>IF(AND(C113="",OR(E113="",E113=0)),"",(IF(E113=1,30,IF(E113=2,20,IF(E113=3,10,IF(E113&lt;&gt;"",1,0))))+IF(F113=1,30,IF(F113=2,20,IF(F113=3,10,IF(F113&lt;&gt;"",1,0))))+IF(G113=1,30,IF(G113=2,20,IF(G113=3,10,IF(G113&lt;&gt;"",1,0))))+IF(H113=1,30,IF(H113=2,20,IF(H113=3,10,IF(H113&lt;&gt;"",1,0))))))</f>
        <v/>
      </c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>
        <f>IF(AND(C114="",OR(E114="",E114=0)),"",(IF(E114=1,30,IF(E114=2,20,IF(E114=3,10,IF(E114&lt;&gt;"",1,0))))+IF(F114=1,30,IF(F114=2,20,IF(F114=3,10,IF(F114&lt;&gt;"",1,0))))+IF(G114=1,30,IF(G114=2,20,IF(G114=3,10,IF(G114&lt;&gt;"",1,0))))+IF(H114=1,30,IF(H114=2,20,IF(H114=3,10,IF(H114&lt;&gt;"",1,0))))))</f>
        <v/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>
        <f>IF(AND(C115="",OR(E115="",E115=0)),"",(IF(E115=1,30,IF(E115=2,20,IF(E115=3,10,IF(E115&lt;&gt;"",1,0))))+IF(F115=1,30,IF(F115=2,20,IF(F115=3,10,IF(F115&lt;&gt;"",1,0))))+IF(G115=1,30,IF(G115=2,20,IF(G115=3,10,IF(G115&lt;&gt;"",1,0))))+IF(H115=1,30,IF(H115=2,20,IF(H115=3,10,IF(H115&lt;&gt;"",1,0))))))</f>
        <v/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>
        <f>IF(AND(C116="",OR(E116="",E116=0)),"",(IF(E116=1,30,IF(E116=2,20,IF(E116=3,10,IF(E116&lt;&gt;"",1,0))))+IF(F116=1,30,IF(F116=2,20,IF(F116=3,10,IF(F116&lt;&gt;"",1,0))))+IF(G116=1,30,IF(G116=2,20,IF(G116=3,10,IF(G116&lt;&gt;"",1,0))))+IF(H116=1,30,IF(H116=2,20,IF(H116=3,10,IF(H116&lt;&gt;"",1,0)))))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>
        <f>IF(AND(C117="",OR(E117="",E117=0)),"",(IF(E117=1,30,IF(E117=2,20,IF(E117=3,10,IF(E117&lt;&gt;"",1,0))))+IF(F117=1,30,IF(F117=2,20,IF(F117=3,10,IF(F117&lt;&gt;"",1,0))))+IF(G117=1,30,IF(G117=2,20,IF(G117=3,10,IF(G117&lt;&gt;"",1,0))))+IF(H117=1,30,IF(H117=2,20,IF(H117=3,10,IF(H117&lt;&gt;"",1,0)))))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>
        <f>IF(AND(C118="",OR(E118="",E118=0)),"",(IF(E118=1,30,IF(E118=2,20,IF(E118=3,10,IF(E118&lt;&gt;"",1,0))))+IF(F118=1,30,IF(F118=2,20,IF(F118=3,10,IF(F118&lt;&gt;"",1,0))))+IF(G118=1,30,IF(G118=2,20,IF(G118=3,10,IF(G118&lt;&gt;"",1,0))))+IF(H118=1,30,IF(H118=2,20,IF(H118=3,10,IF(H118&lt;&gt;"",1,0))))))</f>
        <v/>
      </c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>
        <f>IF(AND(C119="",OR(E119="",E119=0)),"",(IF(E119=1,30,IF(E119=2,20,IF(E119=3,10,IF(E119&lt;&gt;"",1,0))))+IF(F119=1,30,IF(F119=2,20,IF(F119=3,10,IF(F119&lt;&gt;"",1,0))))+IF(G119=1,30,IF(G119=2,20,IF(G119=3,10,IF(G119&lt;&gt;"",1,0))))+IF(H119=1,30,IF(H119=2,20,IF(H119=3,10,IF(H119&lt;&gt;"",1,0))))))</f>
        <v/>
      </c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>
        <f>IF(AND(C120="",OR(E120="",E120=0)),"",(IF(E120=1,30,IF(E120=2,20,IF(E120=3,10,IF(E120&lt;&gt;"",1,0))))+IF(F120=1,30,IF(F120=2,20,IF(F120=3,10,IF(F120&lt;&gt;"",1,0))))+IF(G120=1,30,IF(G120=2,20,IF(G120=3,10,IF(G120&lt;&gt;"",1,0))))+IF(H120=1,30,IF(H120=2,20,IF(H120=3,10,IF(H120&lt;&gt;"",1,0))))))</f>
        <v/>
      </c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>
        <f>IF(AND(C121="",OR(E121="",E121=0)),"",(IF(E121=1,30,IF(E121=2,20,IF(E121=3,10,IF(E121&lt;&gt;"",1,0))))+IF(F121=1,30,IF(F121=2,20,IF(F121=3,10,IF(F121&lt;&gt;"",1,0))))+IF(G121=1,30,IF(G121=2,20,IF(G121=3,10,IF(G121&lt;&gt;"",1,0))))+IF(H121=1,30,IF(H121=2,20,IF(H121=3,10,IF(H121&lt;&gt;"",1,0)))))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>
        <f>IF(AND(C122="",OR(E122="",E122=0)),"",(IF(E122=1,30,IF(E122=2,20,IF(E122=3,10,IF(E122&lt;&gt;"",1,0))))+IF(F122=1,30,IF(F122=2,20,IF(F122=3,10,IF(F122&lt;&gt;"",1,0))))+IF(G122=1,30,IF(G122=2,20,IF(G122=3,10,IF(G122&lt;&gt;"",1,0))))+IF(H122=1,30,IF(H122=2,20,IF(H122=3,10,IF(H122&lt;&gt;"",1,0))))))</f>
        <v/>
      </c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>
        <f>IF(AND(C123="",OR(E123="",E123=0)),"",(IF(E123=1,30,IF(E123=2,20,IF(E123=3,10,IF(E123&lt;&gt;"",1,0))))+IF(F123=1,30,IF(F123=2,20,IF(F123=3,10,IF(F123&lt;&gt;"",1,0))))+IF(G123=1,30,IF(G123=2,20,IF(G123=3,10,IF(G123&lt;&gt;"",1,0))))+IF(H123=1,30,IF(H123=2,20,IF(H123=3,10,IF(H123&lt;&gt;"",1,0))))))</f>
        <v/>
      </c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>
        <f>IF(AND(C124="",OR(E124="",E124=0)),"",(IF(E124=1,30,IF(E124=2,20,IF(E124=3,10,IF(E124&lt;&gt;"",1,0))))+IF(F124=1,30,IF(F124=2,20,IF(F124=3,10,IF(F124&lt;&gt;"",1,0))))+IF(G124=1,30,IF(G124=2,20,IF(G124=3,10,IF(G124&lt;&gt;"",1,0))))+IF(H124=1,30,IF(H124=2,20,IF(H124=3,10,IF(H124&lt;&gt;"",1,0))))))</f>
        <v/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>
        <f>IF(AND(C125="",OR(E125="",E125=0)),"",(IF(E125=1,30,IF(E125=2,20,IF(E125=3,10,IF(E125&lt;&gt;"",1,0))))+IF(F125=1,30,IF(F125=2,20,IF(F125=3,10,IF(F125&lt;&gt;"",1,0))))+IF(G125=1,30,IF(G125=2,20,IF(G125=3,10,IF(G125&lt;&gt;"",1,0))))+IF(H125=1,30,IF(H125=2,20,IF(H125=3,10,IF(H125&lt;&gt;"",1,0)))))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>
        <f>IF(AND(C126="",OR(E126="",E126=0)),"",(IF(E126=1,30,IF(E126=2,20,IF(E126=3,10,IF(E126&lt;&gt;"",1,0))))+IF(F126=1,30,IF(F126=2,20,IF(F126=3,10,IF(F126&lt;&gt;"",1,0))))+IF(G126=1,30,IF(G126=2,20,IF(G126=3,10,IF(G126&lt;&gt;"",1,0))))+IF(H126=1,30,IF(H126=2,20,IF(H126=3,10,IF(H126&lt;&gt;"",1,0)))))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>
        <f>IF(AND(C127="",OR(E127="",E127=0)),"",(IF(E127=1,30,IF(E127=2,20,IF(E127=3,10,IF(E127&lt;&gt;"",1,0))))+IF(F127=1,30,IF(F127=2,20,IF(F127=3,10,IF(F127&lt;&gt;"",1,0))))+IF(G127=1,30,IF(G127=2,20,IF(G127=3,10,IF(G127&lt;&gt;"",1,0))))+IF(H127=1,30,IF(H127=2,20,IF(H127=3,10,IF(H127&lt;&gt;"",1,0)))))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>
        <f>IF(AND(C128="",OR(E128="",E128=0)),"",(IF(E128=1,30,IF(E128=2,20,IF(E128=3,10,IF(E128&lt;&gt;"",1,0))))+IF(F128=1,30,IF(F128=2,20,IF(F128=3,10,IF(F128&lt;&gt;"",1,0))))+IF(G128=1,30,IF(G128=2,20,IF(G128=3,10,IF(G128&lt;&gt;"",1,0))))+IF(H128=1,30,IF(H128=2,20,IF(H128=3,10,IF(H128&lt;&gt;"",1,0)))))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>
        <f>IF(AND(C129="",OR(E129="",E129=0)),"",(IF(E129=1,30,IF(E129=2,20,IF(E129=3,10,IF(E129&lt;&gt;"",1,0))))+IF(F129=1,30,IF(F129=2,20,IF(F129=3,10,IF(F129&lt;&gt;"",1,0))))+IF(G129=1,30,IF(G129=2,20,IF(G129=3,10,IF(G129&lt;&gt;"",1,0))))+IF(H129=1,30,IF(H129=2,20,IF(H129=3,10,IF(H129&lt;&gt;"",1,0))))))</f>
        <v/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>
        <f>IF(AND(C130="",OR(E130="",E130=0)),"",(IF(E130=1,30,IF(E130=2,20,IF(E130=3,10,IF(E130&lt;&gt;"",1,0))))+IF(F130=1,30,IF(F130=2,20,IF(F130=3,10,IF(F130&lt;&gt;"",1,0))))+IF(G130=1,30,IF(G130=2,20,IF(G130=3,10,IF(G130&lt;&gt;"",1,0))))+IF(H130=1,30,IF(H130=2,20,IF(H130=3,10,IF(H130&lt;&gt;"",1,0)))))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>
        <f>IF(AND(C131="",OR(E131="",E131=0)),"",(IF(E131=1,30,IF(E131=2,20,IF(E131=3,10,IF(E131&lt;&gt;"",1,0))))+IF(F131=1,30,IF(F131=2,20,IF(F131=3,10,IF(F131&lt;&gt;"",1,0))))+IF(G131=1,30,IF(G131=2,20,IF(G131=3,10,IF(G131&lt;&gt;"",1,0))))+IF(H131=1,30,IF(H131=2,20,IF(H131=3,10,IF(H131&lt;&gt;"",1,0))))))</f>
        <v/>
      </c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>
        <f>IF(AND(C132="",OR(E132="",E132=0)),"",(IF(E132=1,30,IF(E132=2,20,IF(E132=3,10,IF(E132&lt;&gt;"",1,0))))+IF(F132=1,30,IF(F132=2,20,IF(F132=3,10,IF(F132&lt;&gt;"",1,0))))+IF(G132=1,30,IF(G132=2,20,IF(G132=3,10,IF(G132&lt;&gt;"",1,0))))+IF(H132=1,30,IF(H132=2,20,IF(H132=3,10,IF(H132&lt;&gt;"",1,0))))))</f>
        <v/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>
        <f>IF(AND(C133="",OR(E133="",E133=0)),"",(IF(E133=1,30,IF(E133=2,20,IF(E133=3,10,IF(E133&lt;&gt;"",1,0))))+IF(F133=1,30,IF(F133=2,20,IF(F133=3,10,IF(F133&lt;&gt;"",1,0))))+IF(G133=1,30,IF(G133=2,20,IF(G133=3,10,IF(G133&lt;&gt;"",1,0))))+IF(H133=1,30,IF(H133=2,20,IF(H133=3,10,IF(H133&lt;&gt;"",1,0))))))</f>
        <v/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>
        <f>IF(AND(C134="",OR(E134="",E134=0)),"",(IF(E134=1,30,IF(E134=2,20,IF(E134=3,10,IF(E134&lt;&gt;"",1,0))))+IF(F134=1,30,IF(F134=2,20,IF(F134=3,10,IF(F134&lt;&gt;"",1,0))))+IF(G134=1,30,IF(G134=2,20,IF(G134=3,10,IF(G134&lt;&gt;"",1,0))))+IF(H134=1,30,IF(H134=2,20,IF(H134=3,10,IF(H134&lt;&gt;"",1,0)))))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>
        <f>IF(AND(C135="",OR(E135="",E135=0)),"",(IF(E135=1,30,IF(E135=2,20,IF(E135=3,10,IF(E135&lt;&gt;"",1,0))))+IF(F135=1,30,IF(F135=2,20,IF(F135=3,10,IF(F135&lt;&gt;"",1,0))))+IF(G135=1,30,IF(G135=2,20,IF(G135=3,10,IF(G135&lt;&gt;"",1,0))))+IF(H135=1,30,IF(H135=2,20,IF(H135=3,10,IF(H135&lt;&gt;"",1,0))))))</f>
        <v/>
      </c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>
        <f>IF(AND(C136="",OR(E136="",E136=0)),"",(IF(E136=1,30,IF(E136=2,20,IF(E136=3,10,IF(E136&lt;&gt;"",1,0))))+IF(F136=1,30,IF(F136=2,20,IF(F136=3,10,IF(F136&lt;&gt;"",1,0))))+IF(G136=1,30,IF(G136=2,20,IF(G136=3,10,IF(G136&lt;&gt;"",1,0))))+IF(H136=1,30,IF(H136=2,20,IF(H136=3,10,IF(H136&lt;&gt;"",1,0))))))</f>
        <v/>
      </c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>
        <f>IF(AND(C137="",OR(E137="",E137=0)),"",(IF(E137=1,30,IF(E137=2,20,IF(E137=3,10,IF(E137&lt;&gt;"",1,0))))+IF(F137=1,30,IF(F137=2,20,IF(F137=3,10,IF(F137&lt;&gt;"",1,0))))+IF(G137=1,30,IF(G137=2,20,IF(G137=3,10,IF(G137&lt;&gt;"",1,0))))+IF(H137=1,30,IF(H137=2,20,IF(H137=3,10,IF(H137&lt;&gt;"",1,0))))))</f>
        <v/>
      </c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>
        <f>IF(AND(C138="",OR(E138="",E138=0)),"",(IF(E138=1,30,IF(E138=2,20,IF(E138=3,10,IF(E138&lt;&gt;"",1,0))))+IF(F138=1,30,IF(F138=2,20,IF(F138=3,10,IF(F138&lt;&gt;"",1,0))))+IF(G138=1,30,IF(G138=2,20,IF(G138=3,10,IF(G138&lt;&gt;"",1,0))))+IF(H138=1,30,IF(H138=2,20,IF(H138=3,10,IF(H138&lt;&gt;"",1,0))))))</f>
        <v/>
      </c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>
        <f>IF(AND(C139="",OR(E139="",E139=0)),"",(IF(E139=1,30,IF(E139=2,20,IF(E139=3,10,IF(E139&lt;&gt;"",1,0))))+IF(F139=1,30,IF(F139=2,20,IF(F139=3,10,IF(F139&lt;&gt;"",1,0))))+IF(G139=1,30,IF(G139=2,20,IF(G139=3,10,IF(G139&lt;&gt;"",1,0))))+IF(H139=1,30,IF(H139=2,20,IF(H139=3,10,IF(H139&lt;&gt;"",1,0))))))</f>
        <v/>
      </c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>
        <f>IF(AND(C140="",OR(E140="",E140=0)),"",(IF(E140=1,30,IF(E140=2,20,IF(E140=3,10,IF(E140&lt;&gt;"",1,0))))+IF(F140=1,30,IF(F140=2,20,IF(F140=3,10,IF(F140&lt;&gt;"",1,0))))+IF(G140=1,30,IF(G140=2,20,IF(G140=3,10,IF(G140&lt;&gt;"",1,0))))+IF(H140=1,30,IF(H140=2,20,IF(H140=3,10,IF(H140&lt;&gt;"",1,0))))))</f>
        <v/>
      </c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>
        <f>IF(AND(C141="",OR(E141="",E141=0)),"",(IF(E141=1,30,IF(E141=2,20,IF(E141=3,10,IF(E141&lt;&gt;"",1,0))))+IF(F141=1,30,IF(F141=2,20,IF(F141=3,10,IF(F141&lt;&gt;"",1,0))))+IF(G141=1,30,IF(G141=2,20,IF(G141=3,10,IF(G141&lt;&gt;"",1,0))))+IF(H141=1,30,IF(H141=2,20,IF(H141=3,10,IF(H141&lt;&gt;"",1,0))))))</f>
        <v/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>
        <f>IF(AND(C142="",OR(E142="",E142=0)),"",(IF(E142=1,30,IF(E142=2,20,IF(E142=3,10,IF(E142&lt;&gt;"",1,0))))+IF(F142=1,30,IF(F142=2,20,IF(F142=3,10,IF(F142&lt;&gt;"",1,0))))+IF(G142=1,30,IF(G142=2,20,IF(G142=3,10,IF(G142&lt;&gt;"",1,0))))+IF(H142=1,30,IF(H142=2,20,IF(H142=3,10,IF(H142&lt;&gt;"",1,0))))))</f>
        <v/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>
        <f>IF(AND(C143="",OR(E143="",E143=0)),"",(IF(E143=1,30,IF(E143=2,20,IF(E143=3,10,IF(E143&lt;&gt;"",1,0))))+IF(F143=1,30,IF(F143=2,20,IF(F143=3,10,IF(F143&lt;&gt;"",1,0))))+IF(G143=1,30,IF(G143=2,20,IF(G143=3,10,IF(G143&lt;&gt;"",1,0))))+IF(H143=1,30,IF(H143=2,20,IF(H143=3,10,IF(H143&lt;&gt;"",1,0)))))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>
        <f>IF(AND(C144="",OR(E144="",E144=0)),"",(IF(E144=1,30,IF(E144=2,20,IF(E144=3,10,IF(E144&lt;&gt;"",1,0))))+IF(F144=1,30,IF(F144=2,20,IF(F144=3,10,IF(F144&lt;&gt;"",1,0))))+IF(G144=1,30,IF(G144=2,20,IF(G144=3,10,IF(G144&lt;&gt;"",1,0))))+IF(H144=1,30,IF(H144=2,20,IF(H144=3,10,IF(H144&lt;&gt;"",1,0)))))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>
        <f>IF(AND(C145="",OR(E145="",E145=0)),"",(IF(E145=1,30,IF(E145=2,20,IF(E145=3,10,IF(E145&lt;&gt;"",1,0))))+IF(F145=1,30,IF(F145=2,20,IF(F145=3,10,IF(F145&lt;&gt;"",1,0))))+IF(G145=1,30,IF(G145=2,20,IF(G145=3,10,IF(G145&lt;&gt;"",1,0))))+IF(H145=1,30,IF(H145=2,20,IF(H145=3,10,IF(H145&lt;&gt;"",1,0))))))</f>
        <v/>
      </c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>
        <f>IF(AND(C146="",OR(E146="",E146=0)),"",(IF(E146=1,30,IF(E146=2,20,IF(E146=3,10,IF(E146&lt;&gt;"",1,0))))+IF(F146=1,30,IF(F146=2,20,IF(F146=3,10,IF(F146&lt;&gt;"",1,0))))+IF(G146=1,30,IF(G146=2,20,IF(G146=3,10,IF(G146&lt;&gt;"",1,0))))+IF(H146=1,30,IF(H146=2,20,IF(H146=3,10,IF(H146&lt;&gt;"",1,0))))))</f>
        <v/>
      </c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>
        <f>IF(AND(C147="",OR(E147="",E147=0)),"",(IF(E147=1,30,IF(E147=2,20,IF(E147=3,10,IF(E147&lt;&gt;"",1,0))))+IF(F147=1,30,IF(F147=2,20,IF(F147=3,10,IF(F147&lt;&gt;"",1,0))))+IF(G147=1,30,IF(G147=2,20,IF(G147=3,10,IF(G147&lt;&gt;"",1,0))))+IF(H147=1,30,IF(H147=2,20,IF(H147=3,10,IF(H147&lt;&gt;"",1,0))))))</f>
        <v/>
      </c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>
        <f>IF(AND(C148="",OR(E148="",E148=0)),"",(IF(E148=1,30,IF(E148=2,20,IF(E148=3,10,IF(E148&lt;&gt;"",1,0))))+IF(F148=1,30,IF(F148=2,20,IF(F148=3,10,IF(F148&lt;&gt;"",1,0))))+IF(G148=1,30,IF(G148=2,20,IF(G148=3,10,IF(G148&lt;&gt;"",1,0))))+IF(H148=1,30,IF(H148=2,20,IF(H148=3,10,IF(H148&lt;&gt;"",1,0)))))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>
        <f>IF(AND(C149="",OR(E149="",E149=0)),"",(IF(E149=1,30,IF(E149=2,20,IF(E149=3,10,IF(E149&lt;&gt;"",1,0))))+IF(F149=1,30,IF(F149=2,20,IF(F149=3,10,IF(F149&lt;&gt;"",1,0))))+IF(G149=1,30,IF(G149=2,20,IF(G149=3,10,IF(G149&lt;&gt;"",1,0))))+IF(H149=1,30,IF(H149=2,20,IF(H149=3,10,IF(H149&lt;&gt;"",1,0))))))</f>
        <v/>
      </c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>
        <f>IF(AND(C150="",OR(E150="",E150=0)),"",(IF(E150=1,30,IF(E150=2,20,IF(E150=3,10,IF(E150&lt;&gt;"",1,0))))+IF(F150=1,30,IF(F150=2,20,IF(F150=3,10,IF(F150&lt;&gt;"",1,0))))+IF(G150=1,30,IF(G150=2,20,IF(G150=3,10,IF(G150&lt;&gt;"",1,0))))+IF(H150=1,30,IF(H150=2,20,IF(H150=3,10,IF(H150&lt;&gt;"",1,0))))))</f>
        <v/>
      </c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>
        <f>IF(AND(C151="",OR(E151="",E151=0)),"",(IF(E151=1,30,IF(E151=2,20,IF(E151=3,10,IF(E151&lt;&gt;"",1,0))))+IF(F151=1,30,IF(F151=2,20,IF(F151=3,10,IF(F151&lt;&gt;"",1,0))))+IF(G151=1,30,IF(G151=2,20,IF(G151=3,10,IF(G151&lt;&gt;"",1,0))))+IF(H151=1,30,IF(H151=2,20,IF(H151=3,10,IF(H151&lt;&gt;"",1,0))))))</f>
        <v/>
      </c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>
        <f>IF(AND(C152="",OR(E152="",E152=0)),"",(IF(E152=1,30,IF(E152=2,20,IF(E152=3,10,IF(E152&lt;&gt;"",1,0))))+IF(F152=1,30,IF(F152=2,20,IF(F152=3,10,IF(F152&lt;&gt;"",1,0))))+IF(G152=1,30,IF(G152=2,20,IF(G152=3,10,IF(G152&lt;&gt;"",1,0))))+IF(H152=1,30,IF(H152=2,20,IF(H152=3,10,IF(H152&lt;&gt;"",1,0))))))</f>
        <v/>
      </c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>
        <f>IF(AND(C153="",OR(E153="",E153=0)),"",(IF(E153=1,30,IF(E153=2,20,IF(E153=3,10,IF(E153&lt;&gt;"",1,0))))+IF(F153=1,30,IF(F153=2,20,IF(F153=3,10,IF(F153&lt;&gt;"",1,0))))+IF(G153=1,30,IF(G153=2,20,IF(G153=3,10,IF(G153&lt;&gt;"",1,0))))+IF(H153=1,30,IF(H153=2,20,IF(H153=3,10,IF(H153&lt;&gt;"",1,0))))))</f>
        <v/>
      </c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>
        <f>IF(AND(C154="",OR(E154="",E154=0)),"",(IF(E154=1,30,IF(E154=2,20,IF(E154=3,10,IF(E154&lt;&gt;"",1,0))))+IF(F154=1,30,IF(F154=2,20,IF(F154=3,10,IF(F154&lt;&gt;"",1,0))))+IF(G154=1,30,IF(G154=2,20,IF(G154=3,10,IF(G154&lt;&gt;"",1,0))))+IF(H154=1,30,IF(H154=2,20,IF(H154=3,10,IF(H154&lt;&gt;"",1,0))))))</f>
        <v/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>
        <f>IF(AND(C155="",OR(E155="",E155=0)),"",(IF(E155=1,30,IF(E155=2,20,IF(E155=3,10,IF(E155&lt;&gt;"",1,0))))+IF(F155=1,30,IF(F155=2,20,IF(F155=3,10,IF(F155&lt;&gt;"",1,0))))+IF(G155=1,30,IF(G155=2,20,IF(G155=3,10,IF(G155&lt;&gt;"",1,0))))+IF(H155=1,30,IF(H155=2,20,IF(H155=3,10,IF(H155&lt;&gt;"",1,0))))))</f>
        <v/>
      </c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>
        <f>IF(AND(C156="",OR(E156="",E156=0)),"",(IF(E156=1,30,IF(E156=2,20,IF(E156=3,10,IF(E156&lt;&gt;"",1,0))))+IF(F156=1,30,IF(F156=2,20,IF(F156=3,10,IF(F156&lt;&gt;"",1,0))))+IF(G156=1,30,IF(G156=2,20,IF(G156=3,10,IF(G156&lt;&gt;"",1,0))))+IF(H156=1,30,IF(H156=2,20,IF(H156=3,10,IF(H156&lt;&gt;"",1,0))))))</f>
        <v/>
      </c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>
        <f>IF(AND(C157="",OR(E157="",E157=0)),"",(IF(E157=1,30,IF(E157=2,20,IF(E157=3,10,IF(E157&lt;&gt;"",1,0))))+IF(F157=1,30,IF(F157=2,20,IF(F157=3,10,IF(F157&lt;&gt;"",1,0))))+IF(G157=1,30,IF(G157=2,20,IF(G157=3,10,IF(G157&lt;&gt;"",1,0))))+IF(H157=1,30,IF(H157=2,20,IF(H157=3,10,IF(H157&lt;&gt;"",1,0)))))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>
        <f>IF(AND(C158="",OR(E158="",E158=0)),"",(IF(E158=1,30,IF(E158=2,20,IF(E158=3,10,IF(E158&lt;&gt;"",1,0))))+IF(F158=1,30,IF(F158=2,20,IF(F158=3,10,IF(F158&lt;&gt;"",1,0))))+IF(G158=1,30,IF(G158=2,20,IF(G158=3,10,IF(G158&lt;&gt;"",1,0))))+IF(H158=1,30,IF(H158=2,20,IF(H158=3,10,IF(H158&lt;&gt;"",1,0))))))</f>
        <v/>
      </c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>
        <f>IF(AND(C159="",OR(E159="",E159=0)),"",(IF(E159=1,30,IF(E159=2,20,IF(E159=3,10,IF(E159&lt;&gt;"",1,0))))+IF(F159=1,30,IF(F159=2,20,IF(F159=3,10,IF(F159&lt;&gt;"",1,0))))+IF(G159=1,30,IF(G159=2,20,IF(G159=3,10,IF(G159&lt;&gt;"",1,0))))+IF(H159=1,30,IF(H159=2,20,IF(H159=3,10,IF(H159&lt;&gt;"",1,0))))))</f>
        <v/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>
        <f>IF(AND(C160="",OR(E160="",E160=0)),"",(IF(E160=1,30,IF(E160=2,20,IF(E160=3,10,IF(E160&lt;&gt;"",1,0))))+IF(F160=1,30,IF(F160=2,20,IF(F160=3,10,IF(F160&lt;&gt;"",1,0))))+IF(G160=1,30,IF(G160=2,20,IF(G160=3,10,IF(G160&lt;&gt;"",1,0))))+IF(H160=1,30,IF(H160=2,20,IF(H160=3,10,IF(H160&lt;&gt;"",1,0))))))</f>
        <v/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>
        <f>IF(AND(C161="",OR(E161="",E161=0)),"",(IF(E161=1,30,IF(E161=2,20,IF(E161=3,10,IF(E161&lt;&gt;"",1,0))))+IF(F161=1,30,IF(F161=2,20,IF(F161=3,10,IF(F161&lt;&gt;"",1,0))))+IF(G161=1,30,IF(G161=2,20,IF(G161=3,10,IF(G161&lt;&gt;"",1,0))))+IF(H161=1,30,IF(H161=2,20,IF(H161=3,10,IF(H161&lt;&gt;"",1,0)))))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>
        <f>IF(AND(C162="",OR(E162="",E162=0)),"",(IF(E162=1,30,IF(E162=2,20,IF(E162=3,10,IF(E162&lt;&gt;"",1,0))))+IF(F162=1,30,IF(F162=2,20,IF(F162=3,10,IF(F162&lt;&gt;"",1,0))))+IF(G162=1,30,IF(G162=2,20,IF(G162=3,10,IF(G162&lt;&gt;"",1,0))))+IF(H162=1,30,IF(H162=2,20,IF(H162=3,10,IF(H162&lt;&gt;"",1,0))))))</f>
        <v/>
      </c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>
        <f>IF(AND(C163="",OR(E163="",E163=0)),"",(IF(E163=1,30,IF(E163=2,20,IF(E163=3,10,IF(E163&lt;&gt;"",1,0))))+IF(F163=1,30,IF(F163=2,20,IF(F163=3,10,IF(F163&lt;&gt;"",1,0))))+IF(G163=1,30,IF(G163=2,20,IF(G163=3,10,IF(G163&lt;&gt;"",1,0))))+IF(H163=1,30,IF(H163=2,20,IF(H163=3,10,IF(H163&lt;&gt;"",1,0))))))</f>
        <v/>
      </c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>
        <f>IF(AND(C164="",OR(E164="",E164=0)),"",(IF(E164=1,30,IF(E164=2,20,IF(E164=3,10,IF(E164&lt;&gt;"",1,0))))+IF(F164=1,30,IF(F164=2,20,IF(F164=3,10,IF(F164&lt;&gt;"",1,0))))+IF(G164=1,30,IF(G164=2,20,IF(G164=3,10,IF(G164&lt;&gt;"",1,0))))+IF(H164=1,30,IF(H164=2,20,IF(H164=3,10,IF(H164&lt;&gt;"",1,0))))))</f>
        <v/>
      </c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>
        <f>IF(AND(C165="",OR(E165="",E165=0)),"",(IF(E165=1,30,IF(E165=2,20,IF(E165=3,10,IF(E165&lt;&gt;"",1,0))))+IF(F165=1,30,IF(F165=2,20,IF(F165=3,10,IF(F165&lt;&gt;"",1,0))))+IF(G165=1,30,IF(G165=2,20,IF(G165=3,10,IF(G165&lt;&gt;"",1,0))))+IF(H165=1,30,IF(H165=2,20,IF(H165=3,10,IF(H165&lt;&gt;"",1,0))))))</f>
        <v/>
      </c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>
        <f>IF(AND(C166="",OR(E166="",E166=0)),"",(IF(E166=1,30,IF(E166=2,20,IF(E166=3,10,IF(E166&lt;&gt;"",1,0))))+IF(F166=1,30,IF(F166=2,20,IF(F166=3,10,IF(F166&lt;&gt;"",1,0))))+IF(G166=1,30,IF(G166=2,20,IF(G166=3,10,IF(G166&lt;&gt;"",1,0))))+IF(H166=1,30,IF(H166=2,20,IF(H166=3,10,IF(H166&lt;&gt;"",1,0)))))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>
        <f>IF(AND(C167="",OR(E167="",E167=0)),"",(IF(E167=1,30,IF(E167=2,20,IF(E167=3,10,IF(E167&lt;&gt;"",1,0))))+IF(F167=1,30,IF(F167=2,20,IF(F167=3,10,IF(F167&lt;&gt;"",1,0))))+IF(G167=1,30,IF(G167=2,20,IF(G167=3,10,IF(G167&lt;&gt;"",1,0))))+IF(H167=1,30,IF(H167=2,20,IF(H167=3,10,IF(H167&lt;&gt;"",1,0))))))</f>
        <v/>
      </c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>
        <f>IF(AND(C168="",OR(E168="",E168=0)),"",(IF(E168=1,30,IF(E168=2,20,IF(E168=3,10,IF(E168&lt;&gt;"",1,0))))+IF(F168=1,30,IF(F168=2,20,IF(F168=3,10,IF(F168&lt;&gt;"",1,0))))+IF(G168=1,30,IF(G168=2,20,IF(G168=3,10,IF(G168&lt;&gt;"",1,0))))+IF(H168=1,30,IF(H168=2,20,IF(H168=3,10,IF(H168&lt;&gt;"",1,0))))))</f>
        <v/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>
        <f>IF(AND(C169="",OR(E169="",E169=0)),"",(IF(E169=1,30,IF(E169=2,20,IF(E169=3,10,IF(E169&lt;&gt;"",1,0))))+IF(F169=1,30,IF(F169=2,20,IF(F169=3,10,IF(F169&lt;&gt;"",1,0))))+IF(G169=1,30,IF(G169=2,20,IF(G169=3,10,IF(G169&lt;&gt;"",1,0))))+IF(H169=1,30,IF(H169=2,20,IF(H169=3,10,IF(H169&lt;&gt;"",1,0))))))</f>
        <v/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>
        <f>IF(AND(C170="",OR(E170="",E170=0)),"",(IF(E170=1,30,IF(E170=2,20,IF(E170=3,10,IF(E170&lt;&gt;"",1,0))))+IF(F170=1,30,IF(F170=2,20,IF(F170=3,10,IF(F170&lt;&gt;"",1,0))))+IF(G170=1,30,IF(G170=2,20,IF(G170=3,10,IF(G170&lt;&gt;"",1,0))))+IF(H170=1,30,IF(H170=2,20,IF(H170=3,10,IF(H170&lt;&gt;"",1,0)))))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>
        <f>IF(AND(C171="",OR(E171="",E171=0)),"",(IF(E171=1,30,IF(E171=2,20,IF(E171=3,10,IF(E171&lt;&gt;"",1,0))))+IF(F171=1,30,IF(F171=2,20,IF(F171=3,10,IF(F171&lt;&gt;"",1,0))))+IF(G171=1,30,IF(G171=2,20,IF(G171=3,10,IF(G171&lt;&gt;"",1,0))))+IF(H171=1,30,IF(H171=2,20,IF(H171=3,10,IF(H171&lt;&gt;"",1,0))))))</f>
        <v/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>
        <f>IF(AND(C172="",OR(E172="",E172=0)),"",(IF(E172=1,30,IF(E172=2,20,IF(E172=3,10,IF(E172&lt;&gt;"",1,0))))+IF(F172=1,30,IF(F172=2,20,IF(F172=3,10,IF(F172&lt;&gt;"",1,0))))+IF(G172=1,30,IF(G172=2,20,IF(G172=3,10,IF(G172&lt;&gt;"",1,0))))+IF(H172=1,30,IF(H172=2,20,IF(H172=3,10,IF(H172&lt;&gt;"",1,0))))))</f>
        <v/>
      </c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>
        <f>IF(AND(C173="",OR(E173="",E173=0)),"",(IF(E173=1,30,IF(E173=2,20,IF(E173=3,10,IF(E173&lt;&gt;"",1,0))))+IF(F173=1,30,IF(F173=2,20,IF(F173=3,10,IF(F173&lt;&gt;"",1,0))))+IF(G173=1,30,IF(G173=2,20,IF(G173=3,10,IF(G173&lt;&gt;"",1,0))))+IF(H173=1,30,IF(H173=2,20,IF(H173=3,10,IF(H173&lt;&gt;"",1,0))))))</f>
        <v/>
      </c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>
        <f>IF(AND(C174="",OR(E174="",E174=0)),"",(IF(E174=1,30,IF(E174=2,20,IF(E174=3,10,IF(E174&lt;&gt;"",1,0))))+IF(F174=1,30,IF(F174=2,20,IF(F174=3,10,IF(F174&lt;&gt;"",1,0))))+IF(G174=1,30,IF(G174=2,20,IF(G174=3,10,IF(G174&lt;&gt;"",1,0))))+IF(H174=1,30,IF(H174=2,20,IF(H174=3,10,IF(H174&lt;&gt;"",1,0))))))</f>
        <v/>
      </c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>
        <f>IF(AND(C175="",OR(E175="",E175=0)),"",(IF(E175=1,30,IF(E175=2,20,IF(E175=3,10,IF(E175&lt;&gt;"",1,0))))+IF(F175=1,30,IF(F175=2,20,IF(F175=3,10,IF(F175&lt;&gt;"",1,0))))+IF(G175=1,30,IF(G175=2,20,IF(G175=3,10,IF(G175&lt;&gt;"",1,0))))+IF(H175=1,30,IF(H175=2,20,IF(H175=3,10,IF(H175&lt;&gt;"",1,0)))))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>
        <f>IF(AND(C176="",OR(E176="",E176=0)),"",(IF(E176=1,30,IF(E176=2,20,IF(E176=3,10,IF(E176&lt;&gt;"",1,0))))+IF(F176=1,30,IF(F176=2,20,IF(F176=3,10,IF(F176&lt;&gt;"",1,0))))+IF(G176=1,30,IF(G176=2,20,IF(G176=3,10,IF(G176&lt;&gt;"",1,0))))+IF(H176=1,30,IF(H176=2,20,IF(H176=3,10,IF(H176&lt;&gt;"",1,0))))))</f>
        <v/>
      </c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>
        <f>IF(AND(C177="",OR(E177="",E177=0)),"",(IF(E177=1,30,IF(E177=2,20,IF(E177=3,10,IF(E177&lt;&gt;"",1,0))))+IF(F177=1,30,IF(F177=2,20,IF(F177=3,10,IF(F177&lt;&gt;"",1,0))))+IF(G177=1,30,IF(G177=2,20,IF(G177=3,10,IF(G177&lt;&gt;"",1,0))))+IF(H177=1,30,IF(H177=2,20,IF(H177=3,10,IF(H177&lt;&gt;"",1,0))))))</f>
        <v/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>
        <f>IF(AND(C178="",OR(E178="",E178=0)),"",(IF(E178=1,30,IF(E178=2,20,IF(E178=3,10,IF(E178&lt;&gt;"",1,0))))+IF(F178=1,30,IF(F178=2,20,IF(F178=3,10,IF(F178&lt;&gt;"",1,0))))+IF(G178=1,30,IF(G178=2,20,IF(G178=3,10,IF(G178&lt;&gt;"",1,0))))+IF(H178=1,30,IF(H178=2,20,IF(H178=3,10,IF(H178&lt;&gt;"",1,0))))))</f>
        <v/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>
        <f>IF(AND(C179="",OR(E179="",E179=0)),"",(IF(E179=1,30,IF(E179=2,20,IF(E179=3,10,IF(E179&lt;&gt;"",1,0))))+IF(F179=1,30,IF(F179=2,20,IF(F179=3,10,IF(F179&lt;&gt;"",1,0))))+IF(G179=1,30,IF(G179=2,20,IF(G179=3,10,IF(G179&lt;&gt;"",1,0))))+IF(H179=1,30,IF(H179=2,20,IF(H179=3,10,IF(H179&lt;&gt;"",1,0)))))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>
        <f>IF(AND(C180="",OR(E180="",E180=0)),"",(IF(E180=1,30,IF(E180=2,20,IF(E180=3,10,IF(E180&lt;&gt;"",1,0))))+IF(F180=1,30,IF(F180=2,20,IF(F180=3,10,IF(F180&lt;&gt;"",1,0))))+IF(G180=1,30,IF(G180=2,20,IF(G180=3,10,IF(G180&lt;&gt;"",1,0))))+IF(H180=1,30,IF(H180=2,20,IF(H180=3,10,IF(H180&lt;&gt;"",1,0))))))</f>
        <v/>
      </c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>
        <f>IF(AND(C181="",OR(E181="",E181=0)),"",(IF(E181=1,30,IF(E181=2,20,IF(E181=3,10,IF(E181&lt;&gt;"",1,0))))+IF(F181=1,30,IF(F181=2,20,IF(F181=3,10,IF(F181&lt;&gt;"",1,0))))+IF(G181=1,30,IF(G181=2,20,IF(G181=3,10,IF(G181&lt;&gt;"",1,0))))+IF(H181=1,30,IF(H181=2,20,IF(H181=3,10,IF(H181&lt;&gt;"",1,0))))))</f>
        <v/>
      </c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>
        <f>IF(AND(C182="",OR(E182="",E182=0)),"",(IF(E182=1,30,IF(E182=2,20,IF(E182=3,10,IF(E182&lt;&gt;"",1,0))))+IF(F182=1,30,IF(F182=2,20,IF(F182=3,10,IF(F182&lt;&gt;"",1,0))))+IF(G182=1,30,IF(G182=2,20,IF(G182=3,10,IF(G182&lt;&gt;"",1,0))))+IF(H182=1,30,IF(H182=2,20,IF(H182=3,10,IF(H182&lt;&gt;"",1,0))))))</f>
        <v/>
      </c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>
        <f>IF(AND(C183="",OR(E183="",E183=0)),"",(IF(E183=1,30,IF(E183=2,20,IF(E183=3,10,IF(E183&lt;&gt;"",1,0))))+IF(F183=1,30,IF(F183=2,20,IF(F183=3,10,IF(F183&lt;&gt;"",1,0))))+IF(G183=1,30,IF(G183=2,20,IF(G183=3,10,IF(G183&lt;&gt;"",1,0))))+IF(H183=1,30,IF(H183=2,20,IF(H183=3,10,IF(H183&lt;&gt;"",1,0))))))</f>
        <v/>
      </c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>
        <f>IF(AND(C184="",OR(E184="",E184=0)),"",(IF(E184=1,30,IF(E184=2,20,IF(E184=3,10,IF(E184&lt;&gt;"",1,0))))+IF(F184=1,30,IF(F184=2,20,IF(F184=3,10,IF(F184&lt;&gt;"",1,0))))+IF(G184=1,30,IF(G184=2,20,IF(G184=3,10,IF(G184&lt;&gt;"",1,0))))+IF(H184=1,30,IF(H184=2,20,IF(H184=3,10,IF(H184&lt;&gt;"",1,0)))))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>
        <f>IF(AND(C185="",OR(E185="",E185=0)),"",(IF(E185=1,30,IF(E185=2,20,IF(E185=3,10,IF(E185&lt;&gt;"",1,0))))+IF(F185=1,30,IF(F185=2,20,IF(F185=3,10,IF(F185&lt;&gt;"",1,0))))+IF(G185=1,30,IF(G185=2,20,IF(G185=3,10,IF(G185&lt;&gt;"",1,0))))+IF(H185=1,30,IF(H185=2,20,IF(H185=3,10,IF(H185&lt;&gt;"",1,0))))))</f>
        <v/>
      </c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>
        <f>IF(AND(C186="",OR(E186="",E186=0)),"",(IF(E186=1,30,IF(E186=2,20,IF(E186=3,10,IF(E186&lt;&gt;"",1,0))))+IF(F186=1,30,IF(F186=2,20,IF(F186=3,10,IF(F186&lt;&gt;"",1,0))))+IF(G186=1,30,IF(G186=2,20,IF(G186=3,10,IF(G186&lt;&gt;"",1,0))))+IF(H186=1,30,IF(H186=2,20,IF(H186=3,10,IF(H186&lt;&gt;"",1,0))))))</f>
        <v/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>
        <f>IF(AND(C187="",OR(E187="",E187=0)),"",(IF(E187=1,30,IF(E187=2,20,IF(E187=3,10,IF(E187&lt;&gt;"",1,0))))+IF(F187=1,30,IF(F187=2,20,IF(F187=3,10,IF(F187&lt;&gt;"",1,0))))+IF(G187=1,30,IF(G187=2,20,IF(G187=3,10,IF(G187&lt;&gt;"",1,0))))+IF(H187=1,30,IF(H187=2,20,IF(H187=3,10,IF(H187&lt;&gt;"",1,0))))))</f>
        <v/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>
        <f>IF(AND(C188="",OR(E188="",E188=0)),"",(IF(E188=1,30,IF(E188=2,20,IF(E188=3,10,IF(E188&lt;&gt;"",1,0))))+IF(F188=1,30,IF(F188=2,20,IF(F188=3,10,IF(F188&lt;&gt;"",1,0))))+IF(G188=1,30,IF(G188=2,20,IF(G188=3,10,IF(G188&lt;&gt;"",1,0))))+IF(H188=1,30,IF(H188=2,20,IF(H188=3,10,IF(H188&lt;&gt;"",1,0)))))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>
        <f>IF(AND(C189="",OR(E189="",E189=0)),"",(IF(E189=1,30,IF(E189=2,20,IF(E189=3,10,IF(E189&lt;&gt;"",1,0))))+IF(F189=1,30,IF(F189=2,20,IF(F189=3,10,IF(F189&lt;&gt;"",1,0))))+IF(G189=1,30,IF(G189=2,20,IF(G189=3,10,IF(G189&lt;&gt;"",1,0))))+IF(H189=1,30,IF(H189=2,20,IF(H189=3,10,IF(H189&lt;&gt;"",1,0))))))</f>
        <v/>
      </c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>
        <f>IF(AND(C190="",OR(E190="",E190=0)),"",(IF(E190=1,30,IF(E190=2,20,IF(E190=3,10,IF(E190&lt;&gt;"",1,0))))+IF(F190=1,30,IF(F190=2,20,IF(F190=3,10,IF(F190&lt;&gt;"",1,0))))+IF(G190=1,30,IF(G190=2,20,IF(G190=3,10,IF(G190&lt;&gt;"",1,0))))+IF(H190=1,30,IF(H190=2,20,IF(H190=3,10,IF(H190&lt;&gt;"",1,0))))))</f>
        <v/>
      </c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>
        <f>IF(AND(C191="",OR(E191="",E191=0)),"",(IF(E191=1,30,IF(E191=2,20,IF(E191=3,10,IF(E191&lt;&gt;"",1,0))))+IF(F191=1,30,IF(F191=2,20,IF(F191=3,10,IF(F191&lt;&gt;"",1,0))))+IF(G191=1,30,IF(G191=2,20,IF(G191=3,10,IF(G191&lt;&gt;"",1,0))))+IF(H191=1,30,IF(H191=2,20,IF(H191=3,10,IF(H191&lt;&gt;"",1,0))))))</f>
        <v/>
      </c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>
        <f>IF(AND(C192="",OR(E192="",E192=0)),"",(IF(E192=1,30,IF(E192=2,20,IF(E192=3,10,IF(E192&lt;&gt;"",1,0))))+IF(F192=1,30,IF(F192=2,20,IF(F192=3,10,IF(F192&lt;&gt;"",1,0))))+IF(G192=1,30,IF(G192=2,20,IF(G192=3,10,IF(G192&lt;&gt;"",1,0))))+IF(H192=1,30,IF(H192=2,20,IF(H192=3,10,IF(H192&lt;&gt;"",1,0))))))</f>
        <v/>
      </c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>
        <f>IF(AND(C193="",OR(E193="",E193=0)),"",(IF(E193=1,30,IF(E193=2,20,IF(E193=3,10,IF(E193&lt;&gt;"",1,0))))+IF(F193=1,30,IF(F193=2,20,IF(F193=3,10,IF(F193&lt;&gt;"",1,0))))+IF(G193=1,30,IF(G193=2,20,IF(G193=3,10,IF(G193&lt;&gt;"",1,0))))+IF(H193=1,30,IF(H193=2,20,IF(H193=3,10,IF(H193&lt;&gt;"",1,0)))))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>
        <f>IF(AND(C194="",OR(E194="",E194=0)),"",(IF(E194=1,30,IF(E194=2,20,IF(E194=3,10,IF(E194&lt;&gt;"",1,0))))+IF(F194=1,30,IF(F194=2,20,IF(F194=3,10,IF(F194&lt;&gt;"",1,0))))+IF(G194=1,30,IF(G194=2,20,IF(G194=3,10,IF(G194&lt;&gt;"",1,0))))+IF(H194=1,30,IF(H194=2,20,IF(H194=3,10,IF(H194&lt;&gt;"",1,0))))))</f>
        <v/>
      </c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>
        <f>IF(AND(C195="",OR(E195="",E195=0)),"",(IF(E195=1,30,IF(E195=2,20,IF(E195=3,10,IF(E195&lt;&gt;"",1,0))))+IF(F195=1,30,IF(F195=2,20,IF(F195=3,10,IF(F195&lt;&gt;"",1,0))))+IF(G195=1,30,IF(G195=2,20,IF(G195=3,10,IF(G195&lt;&gt;"",1,0))))+IF(H195=1,30,IF(H195=2,20,IF(H195=3,10,IF(H195&lt;&gt;"",1,0))))))</f>
        <v/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>
        <f>IF(AND(C196="",OR(E196="",E196=0)),"",(IF(E196=1,30,IF(E196=2,20,IF(E196=3,10,IF(E196&lt;&gt;"",1,0))))+IF(F196=1,30,IF(F196=2,20,IF(F196=3,10,IF(F196&lt;&gt;"",1,0))))+IF(G196=1,30,IF(G196=2,20,IF(G196=3,10,IF(G196&lt;&gt;"",1,0))))+IF(H196=1,30,IF(H196=2,20,IF(H196=3,10,IF(H196&lt;&gt;"",1,0))))))</f>
        <v/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>
        <f>IF(AND(C197="",OR(E197="",E197=0)),"",(IF(E197=1,30,IF(E197=2,20,IF(E197=3,10,IF(E197&lt;&gt;"",1,0))))+IF(F197=1,30,IF(F197=2,20,IF(F197=3,10,IF(F197&lt;&gt;"",1,0))))+IF(G197=1,30,IF(G197=2,20,IF(G197=3,10,IF(G197&lt;&gt;"",1,0))))+IF(H197=1,30,IF(H197=2,20,IF(H197=3,10,IF(H197&lt;&gt;"",1,0))))))</f>
        <v/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>
        <f>IF(AND(C198="",OR(E198="",E198=0)),"",(IF(E198=1,30,IF(E198=2,20,IF(E198=3,10,IF(E198&lt;&gt;"",1,0))))+IF(F198=1,30,IF(F198=2,20,IF(F198=3,10,IF(F198&lt;&gt;"",1,0))))+IF(G198=1,30,IF(G198=2,20,IF(G198=3,10,IF(G198&lt;&gt;"",1,0))))+IF(H198=1,30,IF(H198=2,20,IF(H198=3,10,IF(H198&lt;&gt;"",1,0))))))</f>
        <v/>
      </c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>
        <f>IF(AND(C199="",OR(E199="",E199=0)),"",(IF(E199=1,30,IF(E199=2,20,IF(E199=3,10,IF(E199&lt;&gt;"",1,0))))+IF(F199=1,30,IF(F199=2,20,IF(F199=3,10,IF(F199&lt;&gt;"",1,0))))+IF(G199=1,30,IF(G199=2,20,IF(G199=3,10,IF(G199&lt;&gt;"",1,0))))+IF(H199=1,30,IF(H199=2,20,IF(H199=3,10,IF(H199&lt;&gt;"",1,0))))))</f>
        <v/>
      </c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>
        <f>IF(AND(C200="",OR(E200="",E200=0)),"",(IF(E200=1,30,IF(E200=2,20,IF(E200=3,10,IF(E200&lt;&gt;"",1,0))))+IF(F200=1,30,IF(F200=2,20,IF(F200=3,10,IF(F200&lt;&gt;"",1,0))))+IF(G200=1,30,IF(G200=2,20,IF(G200=3,10,IF(G200&lt;&gt;"",1,0))))+IF(H200=1,30,IF(H200=2,20,IF(H200=3,10,IF(H200&lt;&gt;"",1,0))))))</f>
        <v/>
      </c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>
        <f>IF(AND(C201="",OR(E201="",E201=0)),"",(IF(E201=1,30,IF(E201=2,20,IF(E201=3,10,IF(E201&lt;&gt;"",1,0))))+IF(F201=1,30,IF(F201=2,20,IF(F201=3,10,IF(F201&lt;&gt;"",1,0))))+IF(G201=1,30,IF(G201=2,20,IF(G201=3,10,IF(G201&lt;&gt;"",1,0))))+IF(H201=1,30,IF(H201=2,20,IF(H201=3,10,IF(H201&lt;&gt;"",1,0))))))</f>
        <v/>
      </c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>
        <f>IF(AND(C202="",OR(E202="",E202=0)),"",(IF(E202=1,30,IF(E202=2,20,IF(E202=3,10,IF(E202&lt;&gt;"",1,0))))+IF(F202=1,30,IF(F202=2,20,IF(F202=3,10,IF(F202&lt;&gt;"",1,0))))+IF(G202=1,30,IF(G202=2,20,IF(G202=3,10,IF(G202&lt;&gt;"",1,0))))+IF(H202=1,30,IF(H202=2,20,IF(H202=3,10,IF(H202&lt;&gt;"",1,0)))))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>
        <f>IF(AND(C203="",OR(E203="",E203=0)),"",(IF(E203=1,30,IF(E203=2,20,IF(E203=3,10,IF(E203&lt;&gt;"",1,0))))+IF(F203=1,30,IF(F203=2,20,IF(F203=3,10,IF(F203&lt;&gt;"",1,0))))+IF(G203=1,30,IF(G203=2,20,IF(G203=3,10,IF(G203&lt;&gt;"",1,0))))+IF(H203=1,30,IF(H203=2,20,IF(H203=3,10,IF(H203&lt;&gt;"",1,0))))))</f>
        <v/>
      </c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>
        <f>IF(AND(C204="",OR(E204="",E204=0)),"",(IF(E204=1,30,IF(E204=2,20,IF(E204=3,10,IF(E204&lt;&gt;"",1,0))))+IF(F204=1,30,IF(F204=2,20,IF(F204=3,10,IF(F204&lt;&gt;"",1,0))))+IF(G204=1,30,IF(G204=2,20,IF(G204=3,10,IF(G204&lt;&gt;"",1,0))))+IF(H204=1,30,IF(H204=2,20,IF(H204=3,10,IF(H204&lt;&gt;"",1,0))))))</f>
        <v/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>
        <f>IF(AND(C205="",OR(E205="",E205=0)),"",(IF(E205=1,30,IF(E205=2,20,IF(E205=3,10,IF(E205&lt;&gt;"",1,0))))+IF(F205=1,30,IF(F205=2,20,IF(F205=3,10,IF(F205&lt;&gt;"",1,0))))+IF(G205=1,30,IF(G205=2,20,IF(G205=3,10,IF(G205&lt;&gt;"",1,0))))+IF(H205=1,30,IF(H205=2,20,IF(H205=3,10,IF(H205&lt;&gt;"",1,0))))))</f>
        <v/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>
        <f>IF(AND(C206="",OR(E206="",E206=0)),"",(IF(E206=1,30,IF(E206=2,20,IF(E206=3,10,IF(E206&lt;&gt;"",1,0))))+IF(F206=1,30,IF(F206=2,20,IF(F206=3,10,IF(F206&lt;&gt;"",1,0))))+IF(G206=1,30,IF(G206=2,20,IF(G206=3,10,IF(G206&lt;&gt;"",1,0))))+IF(H206=1,30,IF(H206=2,20,IF(H206=3,10,IF(H206&lt;&gt;"",1,0)))))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>
        <f>IF(AND(C207="",OR(E207="",E207=0)),"",(IF(E207=1,30,IF(E207=2,20,IF(E207=3,10,IF(E207&lt;&gt;"",1,0))))+IF(F207=1,30,IF(F207=2,20,IF(F207=3,10,IF(F207&lt;&gt;"",1,0))))+IF(G207=1,30,IF(G207=2,20,IF(G207=3,10,IF(G207&lt;&gt;"",1,0))))+IF(H207=1,30,IF(H207=2,20,IF(H207=3,10,IF(H207&lt;&gt;"",1,0)))))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>
        <f>IF(AND(C208="",OR(E208="",E208=0)),"",(IF(E208=1,30,IF(E208=2,20,IF(E208=3,10,IF(E208&lt;&gt;"",1,0))))+IF(F208=1,30,IF(F208=2,20,IF(F208=3,10,IF(F208&lt;&gt;"",1,0))))+IF(G208=1,30,IF(G208=2,20,IF(G208=3,10,IF(G208&lt;&gt;"",1,0))))+IF(H208=1,30,IF(H208=2,20,IF(H208=3,10,IF(H208&lt;&gt;"",1,0))))))</f>
        <v/>
      </c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>
        <f>IF(AND(C209="",OR(E209="",E209=0)),"",(IF(E209=1,30,IF(E209=2,20,IF(E209=3,10,IF(E209&lt;&gt;"",1,0))))+IF(F209=1,30,IF(F209=2,20,IF(F209=3,10,IF(F209&lt;&gt;"",1,0))))+IF(G209=1,30,IF(G209=2,20,IF(G209=3,10,IF(G209&lt;&gt;"",1,0))))+IF(H209=1,30,IF(H209=2,20,IF(H209=3,10,IF(H209&lt;&gt;"",1,0))))))</f>
        <v/>
      </c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>
        <f>IF(AND(C210="",OR(E210="",E210=0)),"",(IF(E210=1,30,IF(E210=2,20,IF(E210=3,10,IF(E210&lt;&gt;"",1,0))))+IF(F210=1,30,IF(F210=2,20,IF(F210=3,10,IF(F210&lt;&gt;"",1,0))))+IF(G210=1,30,IF(G210=2,20,IF(G210=3,10,IF(G210&lt;&gt;"",1,0))))+IF(H210=1,30,IF(H210=2,20,IF(H210=3,10,IF(H210&lt;&gt;"",1,0))))))</f>
        <v/>
      </c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>
        <f>IF(AND(C211="",OR(E211="",E211=0)),"",(IF(E211=1,30,IF(E211=2,20,IF(E211=3,10,IF(E211&lt;&gt;"",1,0))))+IF(F211=1,30,IF(F211=2,20,IF(F211=3,10,IF(F211&lt;&gt;"",1,0))))+IF(G211=1,30,IF(G211=2,20,IF(G211=3,10,IF(G211&lt;&gt;"",1,0))))+IF(H211=1,30,IF(H211=2,20,IF(H211=3,10,IF(H211&lt;&gt;"",1,0)))))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>
        <f>IF(AND(C212="",OR(E212="",E212=0)),"",(IF(E212=1,30,IF(E212=2,20,IF(E212=3,10,IF(E212&lt;&gt;"",1,0))))+IF(F212=1,30,IF(F212=2,20,IF(F212=3,10,IF(F212&lt;&gt;"",1,0))))+IF(G212=1,30,IF(G212=2,20,IF(G212=3,10,IF(G212&lt;&gt;"",1,0))))+IF(H212=1,30,IF(H212=2,20,IF(H212=3,10,IF(H212&lt;&gt;"",1,0))))))</f>
        <v/>
      </c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>
        <f>IF(AND(C213="",OR(E213="",E213=0)),"",(IF(E213=1,30,IF(E213=2,20,IF(E213=3,10,IF(E213&lt;&gt;"",1,0))))+IF(F213=1,30,IF(F213=2,20,IF(F213=3,10,IF(F213&lt;&gt;"",1,0))))+IF(G213=1,30,IF(G213=2,20,IF(G213=3,10,IF(G213&lt;&gt;"",1,0))))+IF(H213=1,30,IF(H213=2,20,IF(H213=3,10,IF(H213&lt;&gt;"",1,0))))))</f>
        <v/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>
        <f>IF(AND(C214="",OR(E214="",E214=0)),"",(IF(E214=1,30,IF(E214=2,20,IF(E214=3,10,IF(E214&lt;&gt;"",1,0))))+IF(F214=1,30,IF(F214=2,20,IF(F214=3,10,IF(F214&lt;&gt;"",1,0))))+IF(G214=1,30,IF(G214=2,20,IF(G214=3,10,IF(G214&lt;&gt;"",1,0))))+IF(H214=1,30,IF(H214=2,20,IF(H214=3,10,IF(H214&lt;&gt;"",1,0))))))</f>
        <v/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>
        <f>IF(AND(C215="",OR(E215="",E215=0)),"",(IF(E215=1,30,IF(E215=2,20,IF(E215=3,10,IF(E215&lt;&gt;"",1,0))))+IF(F215=1,30,IF(F215=2,20,IF(F215=3,10,IF(F215&lt;&gt;"",1,0))))+IF(G215=1,30,IF(G215=2,20,IF(G215=3,10,IF(G215&lt;&gt;"",1,0))))+IF(H215=1,30,IF(H215=2,20,IF(H215=3,10,IF(H215&lt;&gt;"",1,0)))))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>
        <f>IF(AND(C216="",OR(E216="",E216=0)),"",(IF(E216=1,30,IF(E216=2,20,IF(E216=3,10,IF(E216&lt;&gt;"",1,0))))+IF(F216=1,30,IF(F216=2,20,IF(F216=3,10,IF(F216&lt;&gt;"",1,0))))+IF(G216=1,30,IF(G216=2,20,IF(G216=3,10,IF(G216&lt;&gt;"",1,0))))+IF(H216=1,30,IF(H216=2,20,IF(H216=3,10,IF(H216&lt;&gt;"",1,0)))))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>
        <f>IF(AND(C217="",OR(E217="",E217=0)),"",(IF(E217=1,30,IF(E217=2,20,IF(E217=3,10,IF(E217&lt;&gt;"",1,0))))+IF(F217=1,30,IF(F217=2,20,IF(F217=3,10,IF(F217&lt;&gt;"",1,0))))+IF(G217=1,30,IF(G217=2,20,IF(G217=3,10,IF(G217&lt;&gt;"",1,0))))+IF(H217=1,30,IF(H217=2,20,IF(H217=3,10,IF(H217&lt;&gt;"",1,0))))))</f>
        <v/>
      </c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>
        <f>IF(AND(C218="",OR(E218="",E218=0)),"",(IF(E218=1,30,IF(E218=2,20,IF(E218=3,10,IF(E218&lt;&gt;"",1,0))))+IF(F218=1,30,IF(F218=2,20,IF(F218=3,10,IF(F218&lt;&gt;"",1,0))))+IF(G218=1,30,IF(G218=2,20,IF(G218=3,10,IF(G218&lt;&gt;"",1,0))))+IF(H218=1,30,IF(H218=2,20,IF(H218=3,10,IF(H218&lt;&gt;"",1,0))))))</f>
        <v/>
      </c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>
        <f>IF(AND(C219="",OR(E219="",E219=0)),"",(IF(E219=1,30,IF(E219=2,20,IF(E219=3,10,IF(E219&lt;&gt;"",1,0))))+IF(F219=1,30,IF(F219=2,20,IF(F219=3,10,IF(F219&lt;&gt;"",1,0))))+IF(G219=1,30,IF(G219=2,20,IF(G219=3,10,IF(G219&lt;&gt;"",1,0))))+IF(H219=1,30,IF(H219=2,20,IF(H219=3,10,IF(H219&lt;&gt;"",1,0))))))</f>
        <v/>
      </c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>
        <f>IF(AND(C220="",OR(E220="",E220=0)),"",(IF(E220=1,30,IF(E220=2,20,IF(E220=3,10,IF(E220&lt;&gt;"",1,0))))+IF(F220=1,30,IF(F220=2,20,IF(F220=3,10,IF(F220&lt;&gt;"",1,0))))+IF(G220=1,30,IF(G220=2,20,IF(G220=3,10,IF(G220&lt;&gt;"",1,0))))+IF(H220=1,30,IF(H220=2,20,IF(H220=3,10,IF(H220&lt;&gt;"",1,0)))))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>
        <f>IF(AND(C221="",OR(E221="",E221=0)),"",(IF(E221=1,30,IF(E221=2,20,IF(E221=3,10,IF(E221&lt;&gt;"",1,0))))+IF(F221=1,30,IF(F221=2,20,IF(F221=3,10,IF(F221&lt;&gt;"",1,0))))+IF(G221=1,30,IF(G221=2,20,IF(G221=3,10,IF(G221&lt;&gt;"",1,0))))+IF(H221=1,30,IF(H221=2,20,IF(H221=3,10,IF(H221&lt;&gt;"",1,0))))))</f>
        <v/>
      </c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>
        <f>IF(AND(C222="",OR(E222="",E222=0)),"",(IF(E222=1,30,IF(E222=2,20,IF(E222=3,10,IF(E222&lt;&gt;"",1,0))))+IF(F222=1,30,IF(F222=2,20,IF(F222=3,10,IF(F222&lt;&gt;"",1,0))))+IF(G222=1,30,IF(G222=2,20,IF(G222=3,10,IF(G222&lt;&gt;"",1,0))))+IF(H222=1,30,IF(H222=2,20,IF(H222=3,10,IF(H222&lt;&gt;"",1,0))))))</f>
        <v/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>
        <f>IF(AND(C223="",OR(E223="",E223=0)),"",(IF(E223=1,30,IF(E223=2,20,IF(E223=3,10,IF(E223&lt;&gt;"",1,0))))+IF(F223=1,30,IF(F223=2,20,IF(F223=3,10,IF(F223&lt;&gt;"",1,0))))+IF(G223=1,30,IF(G223=2,20,IF(G223=3,10,IF(G223&lt;&gt;"",1,0))))+IF(H223=1,30,IF(H223=2,20,IF(H223=3,10,IF(H223&lt;&gt;"",1,0))))))</f>
        <v/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4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>
        <f>IF(AND(C224="",OR(E224="",E224=0)),"",(IF(E224=1,30,IF(E224=2,20,IF(E224=3,10,IF(E224&lt;&gt;"",1,0))))+IF(F224=1,30,IF(F224=2,20,IF(F224=3,10,IF(F224&lt;&gt;"",1,0))))+IF(G224=1,30,IF(G224=2,20,IF(G224=3,10,IF(G224&lt;&gt;"",1,0))))+IF(H224=1,30,IF(H224=2,20,IF(H224=3,10,IF(H224&lt;&gt;"",1,0)))))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4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>
        <f>IF(AND(C225="",OR(E225="",E225=0)),"",(IF(E225=1,30,IF(E225=2,20,IF(E225=3,10,IF(E225&lt;&gt;"",1,0))))+IF(F225=1,30,IF(F225=2,20,IF(F225=3,10,IF(F225&lt;&gt;"",1,0))))+IF(G225=1,30,IF(G225=2,20,IF(G225=3,10,IF(G225&lt;&gt;"",1,0))))+IF(H225=1,30,IF(H225=2,20,IF(H225=3,10,IF(H225&lt;&gt;"",1,0))))))</f>
        <v/>
      </c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4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>
        <f>IF(AND(C226="",OR(E226="",E226=0)),"",(IF(E226=1,30,IF(E226=2,20,IF(E226=3,10,IF(E226&lt;&gt;"",1,0))))+IF(F226=1,30,IF(F226=2,20,IF(F226=3,10,IF(F226&lt;&gt;"",1,0))))+IF(G226=1,30,IF(G226=2,20,IF(G226=3,10,IF(G226&lt;&gt;"",1,0))))+IF(H226=1,30,IF(H226=2,20,IF(H226=3,10,IF(H226&lt;&gt;"",1,0))))))</f>
        <v/>
      </c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4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>
        <f>IF(AND(C227="",OR(E227="",E227=0)),"",(IF(E227=1,30,IF(E227=2,20,IF(E227=3,10,IF(E227&lt;&gt;"",1,0))))+IF(F227=1,30,IF(F227=2,20,IF(F227=3,10,IF(F227&lt;&gt;"",1,0))))+IF(G227=1,30,IF(G227=2,20,IF(G227=3,10,IF(G227&lt;&gt;"",1,0))))+IF(H227=1,30,IF(H227=2,20,IF(H227=3,10,IF(H227&lt;&gt;"",1,0))))))</f>
        <v/>
      </c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4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>
        <f>IF(AND(C228="",OR(E228="",E228=0)),"",(IF(E228=1,30,IF(E228=2,20,IF(E228=3,10,IF(E228&lt;&gt;"",1,0))))+IF(F228=1,30,IF(F228=2,20,IF(F228=3,10,IF(F228&lt;&gt;"",1,0))))+IF(G228=1,30,IF(G228=2,20,IF(G228=3,10,IF(G228&lt;&gt;"",1,0))))+IF(H228=1,30,IF(H228=2,20,IF(H228=3,10,IF(H228&lt;&gt;"",1,0))))))</f>
        <v/>
      </c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4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>
        <f>IF(AND(C229="",OR(E229="",E229=0)),"",(IF(E229=1,30,IF(E229=2,20,IF(E229=3,10,IF(E229&lt;&gt;"",1,0))))+IF(F229=1,30,IF(F229=2,20,IF(F229=3,10,IF(F229&lt;&gt;"",1,0))))+IF(G229=1,30,IF(G229=2,20,IF(G229=3,10,IF(G229&lt;&gt;"",1,0))))+IF(H229=1,30,IF(H229=2,20,IF(H229=3,10,IF(H229&lt;&gt;"",1,0)))))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4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>
        <f>IF(AND(C230="",OR(E230="",E230=0)),"",(IF(E230=1,30,IF(E230=2,20,IF(E230=3,10,IF(E230&lt;&gt;"",1,0))))+IF(F230=1,30,IF(F230=2,20,IF(F230=3,10,IF(F230&lt;&gt;"",1,0))))+IF(G230=1,30,IF(G230=2,20,IF(G230=3,10,IF(G230&lt;&gt;"",1,0))))+IF(H230=1,30,IF(H230=2,20,IF(H230=3,10,IF(H230&lt;&gt;"",1,0))))))</f>
        <v/>
      </c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4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>
        <f>IF(AND(C231="",OR(E231="",E231=0)),"",(IF(E231=1,30,IF(E231=2,20,IF(E231=3,10,IF(E231&lt;&gt;"",1,0))))+IF(F231=1,30,IF(F231=2,20,IF(F231=3,10,IF(F231&lt;&gt;"",1,0))))+IF(G231=1,30,IF(G231=2,20,IF(G231=3,10,IF(G231&lt;&gt;"",1,0))))+IF(H231=1,30,IF(H231=2,20,IF(H231=3,10,IF(H231&lt;&gt;"",1,0))))))</f>
        <v/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4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>
        <f>IF(AND(C232="",OR(E232="",E232=0)),"",(IF(E232=1,30,IF(E232=2,20,IF(E232=3,10,IF(E232&lt;&gt;"",1,0))))+IF(F232=1,30,IF(F232=2,20,IF(F232=3,10,IF(F232&lt;&gt;"",1,0))))+IF(G232=1,30,IF(G232=2,20,IF(G232=3,10,IF(G232&lt;&gt;"",1,0))))+IF(H232=1,30,IF(H232=2,20,IF(H232=3,10,IF(H232&lt;&gt;"",1,0))))))</f>
        <v/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4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>
        <f>IF(AND(C233="",OR(E233="",E233=0)),"",(IF(E233=1,30,IF(E233=2,20,IF(E233=3,10,IF(E233&lt;&gt;"",1,0))))+IF(F233=1,30,IF(F233=2,20,IF(F233=3,10,IF(F233&lt;&gt;"",1,0))))+IF(G233=1,30,IF(G233=2,20,IF(G233=3,10,IF(G233&lt;&gt;"",1,0))))+IF(H233=1,30,IF(H233=2,20,IF(H233=3,10,IF(H233&lt;&gt;"",1,0)))))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4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>
        <f>IF(AND(C234="",OR(E234="",E234=0)),"",(IF(E234=1,30,IF(E234=2,20,IF(E234=3,10,IF(E234&lt;&gt;"",1,0))))+IF(F234=1,30,IF(F234=2,20,IF(F234=3,10,IF(F234&lt;&gt;"",1,0))))+IF(G234=1,30,IF(G234=2,20,IF(G234=3,10,IF(G234&lt;&gt;"",1,0))))+IF(H234=1,30,IF(H234=2,20,IF(H234=3,10,IF(H234&lt;&gt;"",1,0))))))</f>
        <v/>
      </c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4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>
        <f>IF(AND(C235="",OR(E235="",E235=0)),"",(IF(E235=1,30,IF(E235=2,20,IF(E235=3,10,IF(E235&lt;&gt;"",1,0))))+IF(F235=1,30,IF(F235=2,20,IF(F235=3,10,IF(F235&lt;&gt;"",1,0))))+IF(G235=1,30,IF(G235=2,20,IF(G235=3,10,IF(G235&lt;&gt;"",1,0))))+IF(H235=1,30,IF(H235=2,20,IF(H235=3,10,IF(H235&lt;&gt;"",1,0))))))</f>
        <v/>
      </c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4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>
        <f>IF(AND(C236="",OR(E236="",E236=0)),"",(IF(E236=1,30,IF(E236=2,20,IF(E236=3,10,IF(E236&lt;&gt;"",1,0))))+IF(F236=1,30,IF(F236=2,20,IF(F236=3,10,IF(F236&lt;&gt;"",1,0))))+IF(G236=1,30,IF(G236=2,20,IF(G236=3,10,IF(G236&lt;&gt;"",1,0))))+IF(H236=1,30,IF(H236=2,20,IF(H236=3,10,IF(H236&lt;&gt;"",1,0))))))</f>
        <v/>
      </c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4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>
        <f>IF(AND(C237="",OR(E237="",E237=0)),"",(IF(E237=1,30,IF(E237=2,20,IF(E237=3,10,IF(E237&lt;&gt;"",1,0))))+IF(F237=1,30,IF(F237=2,20,IF(F237=3,10,IF(F237&lt;&gt;"",1,0))))+IF(G237=1,30,IF(G237=2,20,IF(G237=3,10,IF(G237&lt;&gt;"",1,0))))+IF(H237=1,30,IF(H237=2,20,IF(H237=3,10,IF(H237&lt;&gt;"",1,0))))))</f>
        <v/>
      </c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4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>
        <f>IF(AND(C238="",OR(E238="",E238=0)),"",(IF(E238=1,30,IF(E238=2,20,IF(E238=3,10,IF(E238&lt;&gt;"",1,0))))+IF(F238=1,30,IF(F238=2,20,IF(F238=3,10,IF(F238&lt;&gt;"",1,0))))+IF(G238=1,30,IF(G238=2,20,IF(G238=3,10,IF(G238&lt;&gt;"",1,0))))+IF(H238=1,30,IF(H238=2,20,IF(H238=3,10,IF(H238&lt;&gt;"",1,0)))))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4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>
        <f>IF(AND(C239="",OR(E239="",E239=0)),"",(IF(E239=1,30,IF(E239=2,20,IF(E239=3,10,IF(E239&lt;&gt;"",1,0))))+IF(F239=1,30,IF(F239=2,20,IF(F239=3,10,IF(F239&lt;&gt;"",1,0))))+IF(G239=1,30,IF(G239=2,20,IF(G239=3,10,IF(G239&lt;&gt;"",1,0))))+IF(H239=1,30,IF(H239=2,20,IF(H239=3,10,IF(H239&lt;&gt;"",1,0))))))</f>
        <v/>
      </c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4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>
        <f>IF(AND(C240="",OR(E240="",E240=0)),"",(IF(E240=1,30,IF(E240=2,20,IF(E240=3,10,IF(E240&lt;&gt;"",1,0))))+IF(F240=1,30,IF(F240=2,20,IF(F240=3,10,IF(F240&lt;&gt;"",1,0))))+IF(G240=1,30,IF(G240=2,20,IF(G240=3,10,IF(G240&lt;&gt;"",1,0))))+IF(H240=1,30,IF(H240=2,20,IF(H240=3,10,IF(H240&lt;&gt;"",1,0))))))</f>
        <v/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4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>
        <f>IF(AND(C241="",OR(E241="",E241=0)),"",(IF(E241=1,30,IF(E241=2,20,IF(E241=3,10,IF(E241&lt;&gt;"",1,0))))+IF(F241=1,30,IF(F241=2,20,IF(F241=3,10,IF(F241&lt;&gt;"",1,0))))+IF(G241=1,30,IF(G241=2,20,IF(G241=3,10,IF(G241&lt;&gt;"",1,0))))+IF(H241=1,30,IF(H241=2,20,IF(H241=3,10,IF(H241&lt;&gt;"",1,0))))))</f>
        <v/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4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>
        <f>IF(AND(C242="",OR(E242="",E242=0)),"",(IF(E242=1,30,IF(E242=2,20,IF(E242=3,10,IF(E242&lt;&gt;"",1,0))))+IF(F242=1,30,IF(F242=2,20,IF(F242=3,10,IF(F242&lt;&gt;"",1,0))))+IF(G242=1,30,IF(G242=2,20,IF(G242=3,10,IF(G242&lt;&gt;"",1,0))))+IF(H242=1,30,IF(H242=2,20,IF(H242=3,10,IF(H242&lt;&gt;"",1,0)))))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>
        <f>IF(AND(C243="",OR(E243="",E243=0)),"",(IF(E243=1,30,IF(E243=2,20,IF(E243=3,10,IF(E243&lt;&gt;"",1,0))))+IF(F243=1,30,IF(F243=2,20,IF(F243=3,10,IF(F243&lt;&gt;"",1,0))))+IF(G243=1,30,IF(G243=2,20,IF(G243=3,10,IF(G243&lt;&gt;"",1,0))))+IF(H243=1,30,IF(H243=2,20,IF(H243=3,10,IF(H243&lt;&gt;"",1,0)))))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4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>
        <f>IF(AND(C244="",OR(E244="",E244=0)),"",(IF(E244=1,30,IF(E244=2,20,IF(E244=3,10,IF(E244&lt;&gt;"",1,0))))+IF(F244=1,30,IF(F244=2,20,IF(F244=3,10,IF(F244&lt;&gt;"",1,0))))+IF(G244=1,30,IF(G244=2,20,IF(G244=3,10,IF(G244&lt;&gt;"",1,0))))+IF(H244=1,30,IF(H244=2,20,IF(H244=3,10,IF(H244&lt;&gt;"",1,0)))))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4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>
        <f>IF(AND(C245="",OR(E245="",E245=0)),"",(IF(E245=1,30,IF(E245=2,20,IF(E245=3,10,IF(E245&lt;&gt;"",1,0))))+IF(F245=1,30,IF(F245=2,20,IF(F245=3,10,IF(F245&lt;&gt;"",1,0))))+IF(G245=1,30,IF(G245=2,20,IF(G245=3,10,IF(G245&lt;&gt;"",1,0))))+IF(H245=1,30,IF(H245=2,20,IF(H245=3,10,IF(H245&lt;&gt;"",1,0)))))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4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>
        <f>IF(AND(C246="",OR(E246="",E246=0)),"",(IF(E246=1,30,IF(E246=2,20,IF(E246=3,10,IF(E246&lt;&gt;"",1,0))))+IF(F246=1,30,IF(F246=2,20,IF(F246=3,10,IF(F246&lt;&gt;"",1,0))))+IF(G246=1,30,IF(G246=2,20,IF(G246=3,10,IF(G246&lt;&gt;"",1,0))))+IF(H246=1,30,IF(H246=2,20,IF(H246=3,10,IF(H246&lt;&gt;"",1,0))))))</f>
        <v/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4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>
        <f>IF(AND(C247="",OR(E247="",E247=0)),"",(IF(E247=1,30,IF(E247=2,20,IF(E247=3,10,IF(E247&lt;&gt;"",1,0))))+IF(F247=1,30,IF(F247=2,20,IF(F247=3,10,IF(F247&lt;&gt;"",1,0))))+IF(G247=1,30,IF(G247=2,20,IF(G247=3,10,IF(G247&lt;&gt;"",1,0))))+IF(H247=1,30,IF(H247=2,20,IF(H247=3,10,IF(H247&lt;&gt;"",1,0)))))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4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>
        <f>IF(AND(C248="",OR(E248="",E248=0)),"",(IF(E248=1,30,IF(E248=2,20,IF(E248=3,10,IF(E248&lt;&gt;"",1,0))))+IF(F248=1,30,IF(F248=2,20,IF(F248=3,10,IF(F248&lt;&gt;"",1,0))))+IF(G248=1,30,IF(G248=2,20,IF(G248=3,10,IF(G248&lt;&gt;"",1,0))))+IF(H248=1,30,IF(H248=2,20,IF(H248=3,10,IF(H248&lt;&gt;"",1,0))))))</f>
        <v/>
      </c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4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>
        <f>IF(AND(C249="",OR(E249="",E249=0)),"",(IF(E249=1,30,IF(E249=2,20,IF(E249=3,10,IF(E249&lt;&gt;"",1,0))))+IF(F249=1,30,IF(F249=2,20,IF(F249=3,10,IF(F249&lt;&gt;"",1,0))))+IF(G249=1,30,IF(G249=2,20,IF(G249=3,10,IF(G249&lt;&gt;"",1,0))))+IF(H249=1,30,IF(H249=2,20,IF(H249=3,10,IF(H249&lt;&gt;"",1,0))))))</f>
        <v/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4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>
        <f>IF(AND(C250="",OR(E250="",E250=0)),"",(IF(E250=1,30,IF(E250=2,20,IF(E250=3,10,IF(E250&lt;&gt;"",1,0))))+IF(F250=1,30,IF(F250=2,20,IF(F250=3,10,IF(F250&lt;&gt;"",1,0))))+IF(G250=1,30,IF(G250=2,20,IF(G250=3,10,IF(G250&lt;&gt;"",1,0))))+IF(H250=1,30,IF(H250=2,20,IF(H250=3,10,IF(H250&lt;&gt;"",1,0))))))</f>
        <v/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4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>
        <f>IF(AND(C251="",OR(E251="",E251=0)),"",(IF(E251=1,30,IF(E251=2,20,IF(E251=3,10,IF(E251&lt;&gt;"",1,0))))+IF(F251=1,30,IF(F251=2,20,IF(F251=3,10,IF(F251&lt;&gt;"",1,0))))+IF(G251=1,30,IF(G251=2,20,IF(G251=3,10,IF(G251&lt;&gt;"",1,0))))+IF(H251=1,30,IF(H251=2,20,IF(H251=3,10,IF(H251&lt;&gt;"",1,0)))))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4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>
        <f>IF(AND(C252="",OR(E252="",E252=0)),"",(IF(E252=1,30,IF(E252=2,20,IF(E252=3,10,IF(E252&lt;&gt;"",1,0))))+IF(F252=1,30,IF(F252=2,20,IF(F252=3,10,IF(F252&lt;&gt;"",1,0))))+IF(G252=1,30,IF(G252=2,20,IF(G252=3,10,IF(G252&lt;&gt;"",1,0))))+IF(H252=1,30,IF(H252=2,20,IF(H252=3,10,IF(H252&lt;&gt;"",1,0))))))</f>
        <v/>
      </c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4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>
        <f>IF(AND(C253="",OR(E253="",E253=0)),"",(IF(E253=1,30,IF(E253=2,20,IF(E253=3,10,IF(E253&lt;&gt;"",1,0))))+IF(F253=1,30,IF(F253=2,20,IF(F253=3,10,IF(F253&lt;&gt;"",1,0))))+IF(G253=1,30,IF(G253=2,20,IF(G253=3,10,IF(G253&lt;&gt;"",1,0))))+IF(H253=1,30,IF(H253=2,20,IF(H253=3,10,IF(H253&lt;&gt;"",1,0))))))</f>
        <v/>
      </c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4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>
        <f>IF(AND(C254="",OR(E254="",E254=0)),"",(IF(E254=1,30,IF(E254=2,20,IF(E254=3,10,IF(E254&lt;&gt;"",1,0))))+IF(F254=1,30,IF(F254=2,20,IF(F254=3,10,IF(F254&lt;&gt;"",1,0))))+IF(G254=1,30,IF(G254=2,20,IF(G254=3,10,IF(G254&lt;&gt;"",1,0))))+IF(H254=1,30,IF(H254=2,20,IF(H254=3,10,IF(H254&lt;&gt;"",1,0))))))</f>
        <v/>
      </c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4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>
        <f>IF(AND(C255="",OR(E255="",E255=0)),"",(IF(E255=1,30,IF(E255=2,20,IF(E255=3,10,IF(E255&lt;&gt;"",1,0))))+IF(F255=1,30,IF(F255=2,20,IF(F255=3,10,IF(F255&lt;&gt;"",1,0))))+IF(G255=1,30,IF(G255=2,20,IF(G255=3,10,IF(G255&lt;&gt;"",1,0))))+IF(H255=1,30,IF(H255=2,20,IF(H255=3,10,IF(H255&lt;&gt;"",1,0))))))</f>
        <v/>
      </c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4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>
        <f>IF(AND(C256="",OR(E256="",E256=0)),"",(IF(E256=1,30,IF(E256=2,20,IF(E256=3,10,IF(E256&lt;&gt;"",1,0))))+IF(F256=1,30,IF(F256=2,20,IF(F256=3,10,IF(F256&lt;&gt;"",1,0))))+IF(G256=1,30,IF(G256=2,20,IF(G256=3,10,IF(G256&lt;&gt;"",1,0))))+IF(H256=1,30,IF(H256=2,20,IF(H256=3,10,IF(H256&lt;&gt;"",1,0)))))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4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>
        <f>IF(AND(C257="",OR(E257="",E257=0)),"",(IF(E257=1,30,IF(E257=2,20,IF(E257=3,10,IF(E257&lt;&gt;"",1,0))))+IF(F257=1,30,IF(F257=2,20,IF(F257=3,10,IF(F257&lt;&gt;"",1,0))))+IF(G257=1,30,IF(G257=2,20,IF(G257=3,10,IF(G257&lt;&gt;"",1,0))))+IF(H257=1,30,IF(H257=2,20,IF(H257=3,10,IF(H257&lt;&gt;"",1,0))))))</f>
        <v/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4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>
        <f>IF(AND(C258="",OR(E258="",E258=0)),"",(IF(E258=1,30,IF(E258=2,20,IF(E258=3,10,IF(E258&lt;&gt;"",1,0))))+IF(F258=1,30,IF(F258=2,20,IF(F258=3,10,IF(F258&lt;&gt;"",1,0))))+IF(G258=1,30,IF(G258=2,20,IF(G258=3,10,IF(G258&lt;&gt;"",1,0))))+IF(H258=1,30,IF(H258=2,20,IF(H258=3,10,IF(H258&lt;&gt;"",1,0))))))</f>
        <v/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4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>
        <f>IF(AND(C259="",OR(E259="",E259=0)),"",(IF(E259=1,30,IF(E259=2,20,IF(E259=3,10,IF(E259&lt;&gt;"",1,0))))+IF(F259=1,30,IF(F259=2,20,IF(F259=3,10,IF(F259&lt;&gt;"",1,0))))+IF(G259=1,30,IF(G259=2,20,IF(G259=3,10,IF(G259&lt;&gt;"",1,0))))+IF(H259=1,30,IF(H259=2,20,IF(H259=3,10,IF(H259&lt;&gt;"",1,0))))))</f>
        <v/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4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>
        <f>IF(AND(C260="",OR(E260="",E260=0)),"",(IF(E260=1,30,IF(E260=2,20,IF(E260=3,10,IF(E260&lt;&gt;"",1,0))))+IF(F260=1,30,IF(F260=2,20,IF(F260=3,10,IF(F260&lt;&gt;"",1,0))))+IF(G260=1,30,IF(G260=2,20,IF(G260=3,10,IF(G260&lt;&gt;"",1,0))))+IF(H260=1,30,IF(H260=2,20,IF(H260=3,10,IF(H260&lt;&gt;"",1,0)))))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4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>
        <f>IF(AND(C261="",OR(E261="",E261=0)),"",(IF(E261=1,30,IF(E261=2,20,IF(E261=3,10,IF(E261&lt;&gt;"",1,0))))+IF(F261=1,30,IF(F261=2,20,IF(F261=3,10,IF(F261&lt;&gt;"",1,0))))+IF(G261=1,30,IF(G261=2,20,IF(G261=3,10,IF(G261&lt;&gt;"",1,0))))+IF(H261=1,30,IF(H261=2,20,IF(H261=3,10,IF(H261&lt;&gt;"",1,0))))))</f>
        <v/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4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>
        <f>IF(AND(C262="",OR(E262="",E262=0)),"",(IF(E262=1,30,IF(E262=2,20,IF(E262=3,10,IF(E262&lt;&gt;"",1,0))))+IF(F262=1,30,IF(F262=2,20,IF(F262=3,10,IF(F262&lt;&gt;"",1,0))))+IF(G262=1,30,IF(G262=2,20,IF(G262=3,10,IF(G262&lt;&gt;"",1,0))))+IF(H262=1,30,IF(H262=2,20,IF(H262=3,10,IF(H262&lt;&gt;"",1,0))))))</f>
        <v/>
      </c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4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>
        <f>IF(AND(C263="",OR(E263="",E263=0)),"",(IF(E263=1,30,IF(E263=2,20,IF(E263=3,10,IF(E263&lt;&gt;"",1,0))))+IF(F263=1,30,IF(F263=2,20,IF(F263=3,10,IF(F263&lt;&gt;"",1,0))))+IF(G263=1,30,IF(G263=2,20,IF(G263=3,10,IF(G263&lt;&gt;"",1,0))))+IF(H263=1,30,IF(H263=2,20,IF(H263=3,10,IF(H263&lt;&gt;"",1,0))))))</f>
        <v/>
      </c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4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>
        <f>IF(AND(C264="",OR(E264="",E264=0)),"",(IF(E264=1,30,IF(E264=2,20,IF(E264=3,10,IF(E264&lt;&gt;"",1,0))))+IF(F264=1,30,IF(F264=2,20,IF(F264=3,10,IF(F264&lt;&gt;"",1,0))))+IF(G264=1,30,IF(G264=2,20,IF(G264=3,10,IF(G264&lt;&gt;"",1,0))))+IF(H264=1,30,IF(H264=2,20,IF(H264=3,10,IF(H264&lt;&gt;"",1,0))))))</f>
        <v/>
      </c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4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>
        <f>IF(AND(C265="",OR(E265="",E265=0)),"",(IF(E265=1,30,IF(E265=2,20,IF(E265=3,10,IF(E265&lt;&gt;"",1,0))))+IF(F265=1,30,IF(F265=2,20,IF(F265=3,10,IF(F265&lt;&gt;"",1,0))))+IF(G265=1,30,IF(G265=2,20,IF(G265=3,10,IF(G265&lt;&gt;"",1,0))))+IF(H265=1,30,IF(H265=2,20,IF(H265=3,10,IF(H265&lt;&gt;"",1,0)))))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4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>
        <f>IF(AND(C266="",OR(E266="",E266=0)),"",(IF(E266=1,30,IF(E266=2,20,IF(E266=3,10,IF(E266&lt;&gt;"",1,0))))+IF(F266=1,30,IF(F266=2,20,IF(F266=3,10,IF(F266&lt;&gt;"",1,0))))+IF(G266=1,30,IF(G266=2,20,IF(G266=3,10,IF(G266&lt;&gt;"",1,0))))+IF(H266=1,30,IF(H266=2,20,IF(H266=3,10,IF(H266&lt;&gt;"",1,0))))))</f>
        <v/>
      </c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4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>
        <f>IF(AND(C267="",OR(E267="",E267=0)),"",(IF(E267=1,30,IF(E267=2,20,IF(E267=3,10,IF(E267&lt;&gt;"",1,0))))+IF(F267=1,30,IF(F267=2,20,IF(F267=3,10,IF(F267&lt;&gt;"",1,0))))+IF(G267=1,30,IF(G267=2,20,IF(G267=3,10,IF(G267&lt;&gt;"",1,0))))+IF(H267=1,30,IF(H267=2,20,IF(H267=3,10,IF(H267&lt;&gt;"",1,0))))))</f>
        <v/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4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>
        <f>IF(AND(C268="",OR(E268="",E268=0)),"",(IF(E268=1,30,IF(E268=2,20,IF(E268=3,10,IF(E268&lt;&gt;"",1,0))))+IF(F268=1,30,IF(F268=2,20,IF(F268=3,10,IF(F268&lt;&gt;"",1,0))))+IF(G268=1,30,IF(G268=2,20,IF(G268=3,10,IF(G268&lt;&gt;"",1,0))))+IF(H268=1,30,IF(H268=2,20,IF(H268=3,10,IF(H268&lt;&gt;"",1,0))))))</f>
        <v/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4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>
        <f>IF(AND(C269="",OR(E269="",E269=0)),"",(IF(E269=1,30,IF(E269=2,20,IF(E269=3,10,IF(E269&lt;&gt;"",1,0))))+IF(F269=1,30,IF(F269=2,20,IF(F269=3,10,IF(F269&lt;&gt;"",1,0))))+IF(G269=1,30,IF(G269=2,20,IF(G269=3,10,IF(G269&lt;&gt;"",1,0))))+IF(H269=1,30,IF(H269=2,20,IF(H269=3,10,IF(H269&lt;&gt;"",1,0)))))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4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>
        <f>IF(AND(C270="",OR(E270="",E270=0)),"",(IF(E270=1,30,IF(E270=2,20,IF(E270=3,10,IF(E270&lt;&gt;"",1,0))))+IF(F270=1,30,IF(F270=2,20,IF(F270=3,10,IF(F270&lt;&gt;"",1,0))))+IF(G270=1,30,IF(G270=2,20,IF(G270=3,10,IF(G270&lt;&gt;"",1,0))))+IF(H270=1,30,IF(H270=2,20,IF(H270=3,10,IF(H270&lt;&gt;"",1,0))))))</f>
        <v/>
      </c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4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>
        <f>IF(AND(C271="",OR(E271="",E271=0)),"",(IF(E271=1,30,IF(E271=2,20,IF(E271=3,10,IF(E271&lt;&gt;"",1,0))))+IF(F271=1,30,IF(F271=2,20,IF(F271=3,10,IF(F271&lt;&gt;"",1,0))))+IF(G271=1,30,IF(G271=2,20,IF(G271=3,10,IF(G271&lt;&gt;"",1,0))))+IF(H271=1,30,IF(H271=2,20,IF(H271=3,10,IF(H271&lt;&gt;"",1,0))))))</f>
        <v/>
      </c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4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>
        <f>IF(AND(C272="",OR(E272="",E272=0)),"",(IF(E272=1,30,IF(E272=2,20,IF(E272=3,10,IF(E272&lt;&gt;"",1,0))))+IF(F272=1,30,IF(F272=2,20,IF(F272=3,10,IF(F272&lt;&gt;"",1,0))))+IF(G272=1,30,IF(G272=2,20,IF(G272=3,10,IF(G272&lt;&gt;"",1,0))))+IF(H272=1,30,IF(H272=2,20,IF(H272=3,10,IF(H272&lt;&gt;"",1,0))))))</f>
        <v/>
      </c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4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>
        <f>IF(AND(C273="",OR(E273="",E273=0)),"",(IF(E273=1,30,IF(E273=2,20,IF(E273=3,10,IF(E273&lt;&gt;"",1,0))))+IF(F273=1,30,IF(F273=2,20,IF(F273=3,10,IF(F273&lt;&gt;"",1,0))))+IF(G273=1,30,IF(G273=2,20,IF(G273=3,10,IF(G273&lt;&gt;"",1,0))))+IF(H273=1,30,IF(H273=2,20,IF(H273=3,10,IF(H273&lt;&gt;"",1,0))))))</f>
        <v/>
      </c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4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>
        <f>IF(AND(C274="",OR(E274="",E274=0)),"",(IF(E274=1,30,IF(E274=2,20,IF(E274=3,10,IF(E274&lt;&gt;"",1,0))))+IF(F274=1,30,IF(F274=2,20,IF(F274=3,10,IF(F274&lt;&gt;"",1,0))))+IF(G274=1,30,IF(G274=2,20,IF(G274=3,10,IF(G274&lt;&gt;"",1,0))))+IF(H274=1,30,IF(H274=2,20,IF(H274=3,10,IF(H274&lt;&gt;"",1,0)))))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4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>
        <f>IF(AND(C275="",OR(E275="",E275=0)),"",(IF(E275=1,30,IF(E275=2,20,IF(E275=3,10,IF(E275&lt;&gt;"",1,0))))+IF(F275=1,30,IF(F275=2,20,IF(F275=3,10,IF(F275&lt;&gt;"",1,0))))+IF(G275=1,30,IF(G275=2,20,IF(G275=3,10,IF(G275&lt;&gt;"",1,0))))+IF(H275=1,30,IF(H275=2,20,IF(H275=3,10,IF(H275&lt;&gt;"",1,0))))))</f>
        <v/>
      </c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4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>
        <f>IF(AND(C276="",OR(E276="",E276=0)),"",(IF(E276=1,30,IF(E276=2,20,IF(E276=3,10,IF(E276&lt;&gt;"",1,0))))+IF(F276=1,30,IF(F276=2,20,IF(F276=3,10,IF(F276&lt;&gt;"",1,0))))+IF(G276=1,30,IF(G276=2,20,IF(G276=3,10,IF(G276&lt;&gt;"",1,0))))+IF(H276=1,30,IF(H276=2,20,IF(H276=3,10,IF(H276&lt;&gt;"",1,0))))))</f>
        <v/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4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>
        <f>IF(AND(C277="",OR(E277="",E277=0)),"",(IF(E277=1,30,IF(E277=2,20,IF(E277=3,10,IF(E277&lt;&gt;"",1,0))))+IF(F277=1,30,IF(F277=2,20,IF(F277=3,10,IF(F277&lt;&gt;"",1,0))))+IF(G277=1,30,IF(G277=2,20,IF(G277=3,10,IF(G277&lt;&gt;"",1,0))))+IF(H277=1,30,IF(H277=2,20,IF(H277=3,10,IF(H277&lt;&gt;"",1,0))))))</f>
        <v/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4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>
        <f>IF(AND(C278="",OR(E278="",E278=0)),"",(IF(E278=1,30,IF(E278=2,20,IF(E278=3,10,IF(E278&lt;&gt;"",1,0))))+IF(F278=1,30,IF(F278=2,20,IF(F278=3,10,IF(F278&lt;&gt;"",1,0))))+IF(G278=1,30,IF(G278=2,20,IF(G278=3,10,IF(G278&lt;&gt;"",1,0))))+IF(H278=1,30,IF(H278=2,20,IF(H278=3,10,IF(H278&lt;&gt;"",1,0)))))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4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>
        <f>IF(AND(C279="",OR(E279="",E279=0)),"",(IF(E279=1,30,IF(E279=2,20,IF(E279=3,10,IF(E279&lt;&gt;"",1,0))))+IF(F279=1,30,IF(F279=2,20,IF(F279=3,10,IF(F279&lt;&gt;"",1,0))))+IF(G279=1,30,IF(G279=2,20,IF(G279=3,10,IF(G279&lt;&gt;"",1,0))))+IF(H279=1,30,IF(H279=2,20,IF(H279=3,10,IF(H279&lt;&gt;"",1,0)))))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14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>
        <f>IF(AND(C280="",OR(E280="",E280=0)),"",(IF(E280=1,30,IF(E280=2,20,IF(E280=3,10,IF(E280&lt;&gt;"",1,0))))+IF(F280=1,30,IF(F280=2,20,IF(F280=3,10,IF(F280&lt;&gt;"",1,0))))+IF(G280=1,30,IF(G280=2,20,IF(G280=3,10,IF(G280&lt;&gt;"",1,0))))+IF(H280=1,30,IF(H280=2,20,IF(H280=3,10,IF(H280&lt;&gt;"",1,0)))))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14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>
        <f>IF(AND(C281="",OR(E281="",E281=0)),"",(IF(E281=1,30,IF(E281=2,20,IF(E281=3,10,IF(E281&lt;&gt;"",1,0))))+IF(F281=1,30,IF(F281=2,20,IF(F281=3,10,IF(F281&lt;&gt;"",1,0))))+IF(G281=1,30,IF(G281=2,20,IF(G281=3,10,IF(G281&lt;&gt;"",1,0))))+IF(H281=1,30,IF(H281=2,20,IF(H281=3,10,IF(H281&lt;&gt;"",1,0)))))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14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>
        <f>IF(AND(C282="",OR(E282="",E282=0)),"",(IF(E282=1,30,IF(E282=2,20,IF(E282=3,10,IF(E282&lt;&gt;"",1,0))))+IF(F282=1,30,IF(F282=2,20,IF(F282=3,10,IF(F282&lt;&gt;"",1,0))))+IF(G282=1,30,IF(G282=2,20,IF(G282=3,10,IF(G282&lt;&gt;"",1,0))))+IF(H282=1,30,IF(H282=2,20,IF(H282=3,10,IF(H282&lt;&gt;"",1,0)))))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14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>
        <f>IF(AND(C283="",OR(E283="",E283=0)),"",(IF(E283=1,30,IF(E283=2,20,IF(E283=3,10,IF(E283&lt;&gt;"",1,0))))+IF(F283=1,30,IF(F283=2,20,IF(F283=3,10,IF(F283&lt;&gt;"",1,0))))+IF(G283=1,30,IF(G283=2,20,IF(G283=3,10,IF(G283&lt;&gt;"",1,0))))+IF(H283=1,30,IF(H283=2,20,IF(H283=3,10,IF(H283&lt;&gt;"",1,0)))))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14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>
        <f>IF(AND(C284="",OR(E284="",E284=0)),"",(IF(E284=1,30,IF(E284=2,20,IF(E284=3,10,IF(E284&lt;&gt;"",1,0))))+IF(F284=1,30,IF(F284=2,20,IF(F284=3,10,IF(F284&lt;&gt;"",1,0))))+IF(G284=1,30,IF(G284=2,20,IF(G284=3,10,IF(G284&lt;&gt;"",1,0))))+IF(H284=1,30,IF(H284=2,20,IF(H284=3,10,IF(H284&lt;&gt;"",1,0)))))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14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>
        <f>IF(AND(C285="",OR(E285="",E285=0)),"",(IF(E285=1,30,IF(E285=2,20,IF(E285=3,10,IF(E285&lt;&gt;"",1,0))))+IF(F285=1,30,IF(F285=2,20,IF(F285=3,10,IF(F285&lt;&gt;"",1,0))))+IF(G285=1,30,IF(G285=2,20,IF(G285=3,10,IF(G285&lt;&gt;"",1,0))))+IF(H285=1,30,IF(H285=2,20,IF(H285=3,10,IF(H285&lt;&gt;"",1,0))))))</f>
        <v/>
      </c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14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>
        <f>IF(AND(C286="",OR(E286="",E286=0)),"",(IF(E286=1,30,IF(E286=2,20,IF(E286=3,10,IF(E286&lt;&gt;"",1,0))))+IF(F286=1,30,IF(F286=2,20,IF(F286=3,10,IF(F286&lt;&gt;"",1,0))))+IF(G286=1,30,IF(G286=2,20,IF(G286=3,10,IF(G286&lt;&gt;"",1,0))))+IF(H286=1,30,IF(H286=2,20,IF(H286=3,10,IF(H286&lt;&gt;"",1,0))))))</f>
        <v/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14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>
        <f>IF(AND(C287="",OR(E287="",E287=0)),"",(IF(E287=1,30,IF(E287=2,20,IF(E287=3,10,IF(E287&lt;&gt;"",1,0))))+IF(F287=1,30,IF(F287=2,20,IF(F287=3,10,IF(F287&lt;&gt;"",1,0))))+IF(G287=1,30,IF(G287=2,20,IF(G287=3,10,IF(G287&lt;&gt;"",1,0))))+IF(H287=1,30,IF(H287=2,20,IF(H287=3,10,IF(H287&lt;&gt;"",1,0))))))</f>
        <v/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14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>
        <f>IF(AND(C288="",OR(E288="",E288=0)),"",(IF(E288=1,30,IF(E288=2,20,IF(E288=3,10,IF(E288&lt;&gt;"",1,0))))+IF(F288=1,30,IF(F288=2,20,IF(F288=3,10,IF(F288&lt;&gt;"",1,0))))+IF(G288=1,30,IF(G288=2,20,IF(G288=3,10,IF(G288&lt;&gt;"",1,0))))+IF(H288=1,30,IF(H288=2,20,IF(H288=3,10,IF(H288&lt;&gt;"",1,0)))))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14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>
        <f>IF(AND(C289="",OR(E289="",E289=0)),"",(IF(E289=1,30,IF(E289=2,20,IF(E289=3,10,IF(E289&lt;&gt;"",1,0))))+IF(F289=1,30,IF(F289=2,20,IF(F289=3,10,IF(F289&lt;&gt;"",1,0))))+IF(G289=1,30,IF(G289=2,20,IF(G289=3,10,IF(G289&lt;&gt;"",1,0))))+IF(H289=1,30,IF(H289=2,20,IF(H289=3,10,IF(H289&lt;&gt;"",1,0)))))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14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>
        <f>IF(AND(C290="",OR(E290="",E290=0)),"",(IF(E290=1,30,IF(E290=2,20,IF(E290=3,10,IF(E290&lt;&gt;"",1,0))))+IF(F290=1,30,IF(F290=2,20,IF(F290=3,10,IF(F290&lt;&gt;"",1,0))))+IF(G290=1,30,IF(G290=2,20,IF(G290=3,10,IF(G290&lt;&gt;"",1,0))))+IF(H290=1,30,IF(H290=2,20,IF(H290=3,10,IF(H290&lt;&gt;"",1,0)))))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14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>
        <f>IF(AND(C291="",OR(E291="",E291=0)),"",(IF(E291=1,30,IF(E291=2,20,IF(E291=3,10,IF(E291&lt;&gt;"",1,0))))+IF(F291=1,30,IF(F291=2,20,IF(F291=3,10,IF(F291&lt;&gt;"",1,0))))+IF(G291=1,30,IF(G291=2,20,IF(G291=3,10,IF(G291&lt;&gt;"",1,0))))+IF(H291=1,30,IF(H291=2,20,IF(H291=3,10,IF(H291&lt;&gt;"",1,0)))))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14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>
        <f>IF(AND(C292="",OR(E292="",E292=0)),"",(IF(E292=1,30,IF(E292=2,20,IF(E292=3,10,IF(E292&lt;&gt;"",1,0))))+IF(F292=1,30,IF(F292=2,20,IF(F292=3,10,IF(F292&lt;&gt;"",1,0))))+IF(G292=1,30,IF(G292=2,20,IF(G292=3,10,IF(G292&lt;&gt;"",1,0))))+IF(H292=1,30,IF(H292=2,20,IF(H292=3,10,IF(H292&lt;&gt;"",1,0))))))</f>
        <v/>
      </c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14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>
        <f>IF(AND(C293="",OR(E293="",E293=0)),"",(IF(E293=1,30,IF(E293=2,20,IF(E293=3,10,IF(E293&lt;&gt;"",1,0))))+IF(F293=1,30,IF(F293=2,20,IF(F293=3,10,IF(F293&lt;&gt;"",1,0))))+IF(G293=1,30,IF(G293=2,20,IF(G293=3,10,IF(G293&lt;&gt;"",1,0))))+IF(H293=1,30,IF(H293=2,20,IF(H293=3,10,IF(H293&lt;&gt;"",1,0)))))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14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>
        <f>IF(AND(C294="",OR(E294="",E294=0)),"",(IF(E294=1,30,IF(E294=2,20,IF(E294=3,10,IF(E294&lt;&gt;"",1,0))))+IF(F294=1,30,IF(F294=2,20,IF(F294=3,10,IF(F294&lt;&gt;"",1,0))))+IF(G294=1,30,IF(G294=2,20,IF(G294=3,10,IF(G294&lt;&gt;"",1,0))))+IF(H294=1,30,IF(H294=2,20,IF(H294=3,10,IF(H294&lt;&gt;"",1,0))))))</f>
        <v/>
      </c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14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>
        <f>IF(AND(C295="",OR(E295="",E295=0)),"",(IF(E295=1,30,IF(E295=2,20,IF(E295=3,10,IF(E295&lt;&gt;"",1,0))))+IF(F295=1,30,IF(F295=2,20,IF(F295=3,10,IF(F295&lt;&gt;"",1,0))))+IF(G295=1,30,IF(G295=2,20,IF(G295=3,10,IF(G295&lt;&gt;"",1,0))))+IF(H295=1,30,IF(H295=2,20,IF(H295=3,10,IF(H295&lt;&gt;"",1,0))))))</f>
        <v/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14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>
        <f>IF(AND(C296="",OR(E296="",E296=0)),"",(IF(E296=1,30,IF(E296=2,20,IF(E296=3,10,IF(E296&lt;&gt;"",1,0))))+IF(F296=1,30,IF(F296=2,20,IF(F296=3,10,IF(F296&lt;&gt;"",1,0))))+IF(G296=1,30,IF(G296=2,20,IF(G296=3,10,IF(G296&lt;&gt;"",1,0))))+IF(H296=1,30,IF(H296=2,20,IF(H296=3,10,IF(H296&lt;&gt;"",1,0))))))</f>
        <v/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14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>
        <f>IF(AND(C297="",OR(E297="",E297=0)),"",(IF(E297=1,30,IF(E297=2,20,IF(E297=3,10,IF(E297&lt;&gt;"",1,0))))+IF(F297=1,30,IF(F297=2,20,IF(F297=3,10,IF(F297&lt;&gt;"",1,0))))+IF(G297=1,30,IF(G297=2,20,IF(G297=3,10,IF(G297&lt;&gt;"",1,0))))+IF(H297=1,30,IF(H297=2,20,IF(H297=3,10,IF(H297&lt;&gt;"",1,0)))))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14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>
        <f>IF(AND(C298="",OR(E298="",E298=0)),"",(IF(E298=1,30,IF(E298=2,20,IF(E298=3,10,IF(E298&lt;&gt;"",1,0))))+IF(F298=1,30,IF(F298=2,20,IF(F298=3,10,IF(F298&lt;&gt;"",1,0))))+IF(G298=1,30,IF(G298=2,20,IF(G298=3,10,IF(G298&lt;&gt;"",1,0))))+IF(H298=1,30,IF(H298=2,20,IF(H298=3,10,IF(H298&lt;&gt;"",1,0)))))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14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>
        <f>IF(AND(C299="",OR(E299="",E299=0)),"",(IF(E299=1,30,IF(E299=2,20,IF(E299=3,10,IF(E299&lt;&gt;"",1,0))))+IF(F299=1,30,IF(F299=2,20,IF(F299=3,10,IF(F299&lt;&gt;"",1,0))))+IF(G299=1,30,IF(G299=2,20,IF(G299=3,10,IF(G299&lt;&gt;"",1,0))))+IF(H299=1,30,IF(H299=2,20,IF(H299=3,10,IF(H299&lt;&gt;"",1,0))))))</f>
        <v/>
      </c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14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>
        <f>IF(AND(C300="",OR(E300="",E300=0)),"",(IF(E300=1,30,IF(E300=2,20,IF(E300=3,10,IF(E300&lt;&gt;"",1,0))))+IF(F300=1,30,IF(F300=2,20,IF(F300=3,10,IF(F300&lt;&gt;"",1,0))))+IF(G300=1,30,IF(G300=2,20,IF(G300=3,10,IF(G300&lt;&gt;"",1,0))))+IF(H300=1,30,IF(H300=2,20,IF(H300=3,10,IF(H300&lt;&gt;"",1,0))))))</f>
        <v/>
      </c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14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>
        <f>IF(AND(C301="",OR(E301="",E301=0)),"",(IF(E301=1,30,IF(E301=2,20,IF(E301=3,10,IF(E301&lt;&gt;"",1,0))))+IF(F301=1,30,IF(F301=2,20,IF(F301=3,10,IF(F301&lt;&gt;"",1,0))))+IF(G301=1,30,IF(G301=2,20,IF(G301=3,10,IF(G301&lt;&gt;"",1,0))))+IF(H301=1,30,IF(H301=2,20,IF(H301=3,10,IF(H301&lt;&gt;"",1,0))))))</f>
        <v/>
      </c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14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>
        <f>IF(AND(C302="",OR(E302="",E302=0)),"",(IF(E302=1,30,IF(E302=2,20,IF(E302=3,10,IF(E302&lt;&gt;"",1,0))))+IF(F302=1,30,IF(F302=2,20,IF(F302=3,10,IF(F302&lt;&gt;"",1,0))))+IF(G302=1,30,IF(G302=2,20,IF(G302=3,10,IF(G302&lt;&gt;"",1,0))))+IF(H302=1,30,IF(H302=2,20,IF(H302=3,10,IF(H302&lt;&gt;"",1,0)))))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14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>
        <f>IF(AND(C303="",OR(E303="",E303=0)),"",(IF(E303=1,30,IF(E303=2,20,IF(E303=3,10,IF(E303&lt;&gt;"",1,0))))+IF(F303=1,30,IF(F303=2,20,IF(F303=3,10,IF(F303&lt;&gt;"",1,0))))+IF(G303=1,30,IF(G303=2,20,IF(G303=3,10,IF(G303&lt;&gt;"",1,0))))+IF(H303=1,30,IF(H303=2,20,IF(H303=3,10,IF(H303&lt;&gt;"",1,0))))))</f>
        <v/>
      </c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14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>
        <f>IF(AND(C304="",OR(E304="",E304=0)),"",(IF(E304=1,30,IF(E304=2,20,IF(E304=3,10,IF(E304&lt;&gt;"",1,0))))+IF(F304=1,30,IF(F304=2,20,IF(F304=3,10,IF(F304&lt;&gt;"",1,0))))+IF(G304=1,30,IF(G304=2,20,IF(G304=3,10,IF(G304&lt;&gt;"",1,0))))+IF(H304=1,30,IF(H304=2,20,IF(H304=3,10,IF(H304&lt;&gt;"",1,0))))))</f>
        <v/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14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>
        <f>IF(AND(C305="",OR(E305="",E305=0)),"",(IF(E305=1,30,IF(E305=2,20,IF(E305=3,10,IF(E305&lt;&gt;"",1,0))))+IF(F305=1,30,IF(F305=2,20,IF(F305=3,10,IF(F305&lt;&gt;"",1,0))))+IF(G305=1,30,IF(G305=2,20,IF(G305=3,10,IF(G305&lt;&gt;"",1,0))))+IF(H305=1,30,IF(H305=2,20,IF(H305=3,10,IF(H305&lt;&gt;"",1,0))))))</f>
        <v/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14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>
        <f>IF(AND(C306="",OR(E306="",E306=0)),"",(IF(E306=1,30,IF(E306=2,20,IF(E306=3,10,IF(E306&lt;&gt;"",1,0))))+IF(F306=1,30,IF(F306=2,20,IF(F306=3,10,IF(F306&lt;&gt;"",1,0))))+IF(G306=1,30,IF(G306=2,20,IF(G306=3,10,IF(G306&lt;&gt;"",1,0))))+IF(H306=1,30,IF(H306=2,20,IF(H306=3,10,IF(H306&lt;&gt;"",1,0))))))</f>
        <v/>
      </c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14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>
        <f>IF(AND(C307="",OR(E307="",E307=0)),"",(IF(E307=1,30,IF(E307=2,20,IF(E307=3,10,IF(E307&lt;&gt;"",1,0))))+IF(F307=1,30,IF(F307=2,20,IF(F307=3,10,IF(F307&lt;&gt;"",1,0))))+IF(G307=1,30,IF(G307=2,20,IF(G307=3,10,IF(G307&lt;&gt;"",1,0))))+IF(H307=1,30,IF(H307=2,20,IF(H307=3,10,IF(H307&lt;&gt;"",1,0))))))</f>
        <v/>
      </c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14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>
        <f>IF(AND(C308="",OR(E308="",E308=0)),"",(IF(E308=1,30,IF(E308=2,20,IF(E308=3,10,IF(E308&lt;&gt;"",1,0))))+IF(F308=1,30,IF(F308=2,20,IF(F308=3,10,IF(F308&lt;&gt;"",1,0))))+IF(G308=1,30,IF(G308=2,20,IF(G308=3,10,IF(G308&lt;&gt;"",1,0))))+IF(H308=1,30,IF(H308=2,20,IF(H308=3,10,IF(H308&lt;&gt;"",1,0))))))</f>
        <v/>
      </c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14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>
        <f>IF(AND(C309="",OR(E309="",E309=0)),"",(IF(E309=1,30,IF(E309=2,20,IF(E309=3,10,IF(E309&lt;&gt;"",1,0))))+IF(F309=1,30,IF(F309=2,20,IF(F309=3,10,IF(F309&lt;&gt;"",1,0))))+IF(G309=1,30,IF(G309=2,20,IF(G309=3,10,IF(G309&lt;&gt;"",1,0))))+IF(H309=1,30,IF(H309=2,20,IF(H309=3,10,IF(H309&lt;&gt;"",1,0))))))</f>
        <v/>
      </c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14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>
        <f>IF(AND(C310="",OR(E310="",E310=0)),"",(IF(E310=1,30,IF(E310=2,20,IF(E310=3,10,IF(E310&lt;&gt;"",1,0))))+IF(F310=1,30,IF(F310=2,20,IF(F310=3,10,IF(F310&lt;&gt;"",1,0))))+IF(G310=1,30,IF(G310=2,20,IF(G310=3,10,IF(G310&lt;&gt;"",1,0))))+IF(H310=1,30,IF(H310=2,20,IF(H310=3,10,IF(H310&lt;&gt;"",1,0))))))</f>
        <v/>
      </c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14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>
        <f>IF(AND(C311="",OR(E311="",E311=0)),"",(IF(E311=1,30,IF(E311=2,20,IF(E311=3,10,IF(E311&lt;&gt;"",1,0))))+IF(F311=1,30,IF(F311=2,20,IF(F311=3,10,IF(F311&lt;&gt;"",1,0))))+IF(G311=1,30,IF(G311=2,20,IF(G311=3,10,IF(G311&lt;&gt;"",1,0))))+IF(H311=1,30,IF(H311=2,20,IF(H311=3,10,IF(H311&lt;&gt;"",1,0)))))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14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>
        <f>IF(AND(C312="",OR(E312="",E312=0)),"",(IF(E312=1,30,IF(E312=2,20,IF(E312=3,10,IF(E312&lt;&gt;"",1,0))))+IF(F312=1,30,IF(F312=2,20,IF(F312=3,10,IF(F312&lt;&gt;"",1,0))))+IF(G312=1,30,IF(G312=2,20,IF(G312=3,10,IF(G312&lt;&gt;"",1,0))))+IF(H312=1,30,IF(H312=2,20,IF(H312=3,10,IF(H312&lt;&gt;"",1,0))))))</f>
        <v/>
      </c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14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>
        <f>IF(AND(C313="",OR(E313="",E313=0)),"",(IF(E313=1,30,IF(E313=2,20,IF(E313=3,10,IF(E313&lt;&gt;"",1,0))))+IF(F313=1,30,IF(F313=2,20,IF(F313=3,10,IF(F313&lt;&gt;"",1,0))))+IF(G313=1,30,IF(G313=2,20,IF(G313=3,10,IF(G313&lt;&gt;"",1,0))))+IF(H313=1,30,IF(H313=2,20,IF(H313=3,10,IF(H313&lt;&gt;"",1,0))))))</f>
        <v/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14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>
        <f>IF(AND(C314="",OR(E314="",E314=0)),"",(IF(E314=1,30,IF(E314=2,20,IF(E314=3,10,IF(E314&lt;&gt;"",1,0))))+IF(F314=1,30,IF(F314=2,20,IF(F314=3,10,IF(F314&lt;&gt;"",1,0))))+IF(G314=1,30,IF(G314=2,20,IF(G314=3,10,IF(G314&lt;&gt;"",1,0))))+IF(H314=1,30,IF(H314=2,20,IF(H314=3,10,IF(H314&lt;&gt;"",1,0))))))</f>
        <v/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14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>
        <f>IF(AND(C315="",OR(E315="",E315=0)),"",(IF(E315=1,30,IF(E315=2,20,IF(E315=3,10,IF(E315&lt;&gt;"",1,0))))+IF(F315=1,30,IF(F315=2,20,IF(F315=3,10,IF(F315&lt;&gt;"",1,0))))+IF(G315=1,30,IF(G315=2,20,IF(G315=3,10,IF(G315&lt;&gt;"",1,0))))+IF(H315=1,30,IF(H315=2,20,IF(H315=3,10,IF(H315&lt;&gt;"",1,0)))))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14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>
        <f>IF(AND(C316="",OR(E316="",E316=0)),"",(IF(E316=1,30,IF(E316=2,20,IF(E316=3,10,IF(E316&lt;&gt;"",1,0))))+IF(F316=1,30,IF(F316=2,20,IF(F316=3,10,IF(F316&lt;&gt;"",1,0))))+IF(G316=1,30,IF(G316=2,20,IF(G316=3,10,IF(G316&lt;&gt;"",1,0))))+IF(H316=1,30,IF(H316=2,20,IF(H316=3,10,IF(H316&lt;&gt;"",1,0))))))</f>
        <v/>
      </c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14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>
        <f>IF(AND(C317="",OR(E317="",E317=0)),"",(IF(E317=1,30,IF(E317=2,20,IF(E317=3,10,IF(E317&lt;&gt;"",1,0))))+IF(F317=1,30,IF(F317=2,20,IF(F317=3,10,IF(F317&lt;&gt;"",1,0))))+IF(G317=1,30,IF(G317=2,20,IF(G317=3,10,IF(G317&lt;&gt;"",1,0))))+IF(H317=1,30,IF(H317=2,20,IF(H317=3,10,IF(H317&lt;&gt;"",1,0))))))</f>
        <v/>
      </c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14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>
        <f>IF(AND(C318="",OR(E318="",E318=0)),"",(IF(E318=1,30,IF(E318=2,20,IF(E318=3,10,IF(E318&lt;&gt;"",1,0))))+IF(F318=1,30,IF(F318=2,20,IF(F318=3,10,IF(F318&lt;&gt;"",1,0))))+IF(G318=1,30,IF(G318=2,20,IF(G318=3,10,IF(G318&lt;&gt;"",1,0))))+IF(H318=1,30,IF(H318=2,20,IF(H318=3,10,IF(H318&lt;&gt;"",1,0))))))</f>
        <v/>
      </c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14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>
        <f>IF(AND(C319="",OR(E319="",E319=0)),"",(IF(E319=1,30,IF(E319=2,20,IF(E319=3,10,IF(E319&lt;&gt;"",1,0))))+IF(F319=1,30,IF(F319=2,20,IF(F319=3,10,IF(F319&lt;&gt;"",1,0))))+IF(G319=1,30,IF(G319=2,20,IF(G319=3,10,IF(G319&lt;&gt;"",1,0))))+IF(H319=1,30,IF(H319=2,20,IF(H319=3,10,IF(H319&lt;&gt;"",1,0))))))</f>
        <v/>
      </c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14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>
        <f>IF(AND(C320="",OR(E320="",E320=0)),"",(IF(E320=1,30,IF(E320=2,20,IF(E320=3,10,IF(E320&lt;&gt;"",1,0))))+IF(F320=1,30,IF(F320=2,20,IF(F320=3,10,IF(F320&lt;&gt;"",1,0))))+IF(G320=1,30,IF(G320=2,20,IF(G320=3,10,IF(G320&lt;&gt;"",1,0))))+IF(H320=1,30,IF(H320=2,20,IF(H320=3,10,IF(H320&lt;&gt;"",1,0)))))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14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>
        <f>IF(AND(C321="",OR(E321="",E321=0)),"",(IF(E321=1,30,IF(E321=2,20,IF(E321=3,10,IF(E321&lt;&gt;"",1,0))))+IF(F321=1,30,IF(F321=2,20,IF(F321=3,10,IF(F321&lt;&gt;"",1,0))))+IF(G321=1,30,IF(G321=2,20,IF(G321=3,10,IF(G321&lt;&gt;"",1,0))))+IF(H321=1,30,IF(H321=2,20,IF(H321=3,10,IF(H321&lt;&gt;"",1,0))))))</f>
        <v/>
      </c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14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>
        <f>IF(AND(C322="",OR(E322="",E322=0)),"",(IF(E322=1,30,IF(E322=2,20,IF(E322=3,10,IF(E322&lt;&gt;"",1,0))))+IF(F322=1,30,IF(F322=2,20,IF(F322=3,10,IF(F322&lt;&gt;"",1,0))))+IF(G322=1,30,IF(G322=2,20,IF(G322=3,10,IF(G322&lt;&gt;"",1,0))))+IF(H322=1,30,IF(H322=2,20,IF(H322=3,10,IF(H322&lt;&gt;"",1,0))))))</f>
        <v/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14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>
        <f>IF(AND(C323="",OR(E323="",E323=0)),"",(IF(E323=1,30,IF(E323=2,20,IF(E323=3,10,IF(E323&lt;&gt;"",1,0))))+IF(F323=1,30,IF(F323=2,20,IF(F323=3,10,IF(F323&lt;&gt;"",1,0))))+IF(G323=1,30,IF(G323=2,20,IF(G323=3,10,IF(G323&lt;&gt;"",1,0))))+IF(H323=1,30,IF(H323=2,20,IF(H323=3,10,IF(H323&lt;&gt;"",1,0))))))</f>
        <v/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14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>
        <f>IF(AND(C324="",OR(E324="",E324=0)),"",(IF(E324=1,30,IF(E324=2,20,IF(E324=3,10,IF(E324&lt;&gt;"",1,0))))+IF(F324=1,30,IF(F324=2,20,IF(F324=3,10,IF(F324&lt;&gt;"",1,0))))+IF(G324=1,30,IF(G324=2,20,IF(G324=3,10,IF(G324&lt;&gt;"",1,0))))+IF(H324=1,30,IF(H324=2,20,IF(H324=3,10,IF(H324&lt;&gt;"",1,0)))))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14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>
        <f>IF(AND(C325="",OR(E325="",E325=0)),"",(IF(E325=1,30,IF(E325=2,20,IF(E325=3,10,IF(E325&lt;&gt;"",1,0))))+IF(F325=1,30,IF(F325=2,20,IF(F325=3,10,IF(F325&lt;&gt;"",1,0))))+IF(G325=1,30,IF(G325=2,20,IF(G325=3,10,IF(G325&lt;&gt;"",1,0))))+IF(H325=1,30,IF(H325=2,20,IF(H325=3,10,IF(H325&lt;&gt;"",1,0))))))</f>
        <v/>
      </c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14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>
        <f>IF(AND(C326="",OR(E326="",E326=0)),"",(IF(E326=1,30,IF(E326=2,20,IF(E326=3,10,IF(E326&lt;&gt;"",1,0))))+IF(F326=1,30,IF(F326=2,20,IF(F326=3,10,IF(F326&lt;&gt;"",1,0))))+IF(G326=1,30,IF(G326=2,20,IF(G326=3,10,IF(G326&lt;&gt;"",1,0))))+IF(H326=1,30,IF(H326=2,20,IF(H326=3,10,IF(H326&lt;&gt;"",1,0))))))</f>
        <v/>
      </c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14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>
        <f>IF(AND(C327="",OR(E327="",E327=0)),"",(IF(E327=1,30,IF(E327=2,20,IF(E327=3,10,IF(E327&lt;&gt;"",1,0))))+IF(F327=1,30,IF(F327=2,20,IF(F327=3,10,IF(F327&lt;&gt;"",1,0))))+IF(G327=1,30,IF(G327=2,20,IF(G327=3,10,IF(G327&lt;&gt;"",1,0))))+IF(H327=1,30,IF(H327=2,20,IF(H327=3,10,IF(H327&lt;&gt;"",1,0))))))</f>
        <v/>
      </c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14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>
        <f>IF(AND(C328="",OR(E328="",E328=0)),"",(IF(E328=1,30,IF(E328=2,20,IF(E328=3,10,IF(E328&lt;&gt;"",1,0))))+IF(F328=1,30,IF(F328=2,20,IF(F328=3,10,IF(F328&lt;&gt;"",1,0))))+IF(G328=1,30,IF(G328=2,20,IF(G328=3,10,IF(G328&lt;&gt;"",1,0))))+IF(H328=1,30,IF(H328=2,20,IF(H328=3,10,IF(H328&lt;&gt;"",1,0))))))</f>
        <v/>
      </c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14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>
        <f>IF(AND(C329="",OR(E329="",E329=0)),"",(IF(E329=1,30,IF(E329=2,20,IF(E329=3,10,IF(E329&lt;&gt;"",1,0))))+IF(F329=1,30,IF(F329=2,20,IF(F329=3,10,IF(F329&lt;&gt;"",1,0))))+IF(G329=1,30,IF(G329=2,20,IF(G329=3,10,IF(G329&lt;&gt;"",1,0))))+IF(H329=1,30,IF(H329=2,20,IF(H329=3,10,IF(H329&lt;&gt;"",1,0)))))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14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>
        <f>IF(AND(C330="",OR(E330="",E330=0)),"",(IF(E330=1,30,IF(E330=2,20,IF(E330=3,10,IF(E330&lt;&gt;"",1,0))))+IF(F330=1,30,IF(F330=2,20,IF(F330=3,10,IF(F330&lt;&gt;"",1,0))))+IF(G330=1,30,IF(G330=2,20,IF(G330=3,10,IF(G330&lt;&gt;"",1,0))))+IF(H330=1,30,IF(H330=2,20,IF(H330=3,10,IF(H330&lt;&gt;"",1,0))))))</f>
        <v/>
      </c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14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>
        <f>IF(AND(C331="",OR(E331="",E331=0)),"",(IF(E331=1,30,IF(E331=2,20,IF(E331=3,10,IF(E331&lt;&gt;"",1,0))))+IF(F331=1,30,IF(F331=2,20,IF(F331=3,10,IF(F331&lt;&gt;"",1,0))))+IF(G331=1,30,IF(G331=2,20,IF(G331=3,10,IF(G331&lt;&gt;"",1,0))))+IF(H331=1,30,IF(H331=2,20,IF(H331=3,10,IF(H331&lt;&gt;"",1,0))))))</f>
        <v/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14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>
        <f>IF(AND(C332="",OR(E332="",E332=0)),"",(IF(E332=1,30,IF(E332=2,20,IF(E332=3,10,IF(E332&lt;&gt;"",1,0))))+IF(F332=1,30,IF(F332=2,20,IF(F332=3,10,IF(F332&lt;&gt;"",1,0))))+IF(G332=1,30,IF(G332=2,20,IF(G332=3,10,IF(G332&lt;&gt;"",1,0))))+IF(H332=1,30,IF(H332=2,20,IF(H332=3,10,IF(H332&lt;&gt;"",1,0))))))</f>
        <v/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14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>
        <f>IF(AND(C333="",OR(E333="",E333=0)),"",(IF(E333=1,30,IF(E333=2,20,IF(E333=3,10,IF(E333&lt;&gt;"",1,0))))+IF(F333=1,30,IF(F333=2,20,IF(F333=3,10,IF(F333&lt;&gt;"",1,0))))+IF(G333=1,30,IF(G333=2,20,IF(G333=3,10,IF(G333&lt;&gt;"",1,0))))+IF(H333=1,30,IF(H333=2,20,IF(H333=3,10,IF(H333&lt;&gt;"",1,0)))))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14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>
        <f>IF(AND(C334="",OR(E334="",E334=0)),"",(IF(E334=1,30,IF(E334=2,20,IF(E334=3,10,IF(E334&lt;&gt;"",1,0))))+IF(F334=1,30,IF(F334=2,20,IF(F334=3,10,IF(F334&lt;&gt;"",1,0))))+IF(G334=1,30,IF(G334=2,20,IF(G334=3,10,IF(G334&lt;&gt;"",1,0))))+IF(H334=1,30,IF(H334=2,20,IF(H334=3,10,IF(H334&lt;&gt;"",1,0))))))</f>
        <v/>
      </c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14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>
        <f>IF(AND(C335="",OR(E335="",E335=0)),"",(IF(E335=1,30,IF(E335=2,20,IF(E335=3,10,IF(E335&lt;&gt;"",1,0))))+IF(F335=1,30,IF(F335=2,20,IF(F335=3,10,IF(F335&lt;&gt;"",1,0))))+IF(G335=1,30,IF(G335=2,20,IF(G335=3,10,IF(G335&lt;&gt;"",1,0))))+IF(H335=1,30,IF(H335=2,20,IF(H335=3,10,IF(H335&lt;&gt;"",1,0))))))</f>
        <v/>
      </c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14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>
        <f>IF(AND(C336="",OR(E336="",E336=0)),"",(IF(E336=1,30,IF(E336=2,20,IF(E336=3,10,IF(E336&lt;&gt;"",1,0))))+IF(F336=1,30,IF(F336=2,20,IF(F336=3,10,IF(F336&lt;&gt;"",1,0))))+IF(G336=1,30,IF(G336=2,20,IF(G336=3,10,IF(G336&lt;&gt;"",1,0))))+IF(H336=1,30,IF(H336=2,20,IF(H336=3,10,IF(H336&lt;&gt;"",1,0))))))</f>
        <v/>
      </c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14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>
        <f>IF(AND(C337="",OR(E337="",E337=0)),"",(IF(E337=1,30,IF(E337=2,20,IF(E337=3,10,IF(E337&lt;&gt;"",1,0))))+IF(F337=1,30,IF(F337=2,20,IF(F337=3,10,IF(F337&lt;&gt;"",1,0))))+IF(G337=1,30,IF(G337=2,20,IF(G337=3,10,IF(G337&lt;&gt;"",1,0))))+IF(H337=1,30,IF(H337=2,20,IF(H337=3,10,IF(H337&lt;&gt;"",1,0))))))</f>
        <v/>
      </c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14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>
        <f>IF(AND(C338="",OR(E338="",E338=0)),"",(IF(E338=1,30,IF(E338=2,20,IF(E338=3,10,IF(E338&lt;&gt;"",1,0))))+IF(F338=1,30,IF(F338=2,20,IF(F338=3,10,IF(F338&lt;&gt;"",1,0))))+IF(G338=1,30,IF(G338=2,20,IF(G338=3,10,IF(G338&lt;&gt;"",1,0))))+IF(H338=1,30,IF(H338=2,20,IF(H338=3,10,IF(H338&lt;&gt;"",1,0)))))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14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>
        <f>IF(AND(C339="",OR(E339="",E339=0)),"",(IF(E339=1,30,IF(E339=2,20,IF(E339=3,10,IF(E339&lt;&gt;"",1,0))))+IF(F339=1,30,IF(F339=2,20,IF(F339=3,10,IF(F339&lt;&gt;"",1,0))))+IF(G339=1,30,IF(G339=2,20,IF(G339=3,10,IF(G339&lt;&gt;"",1,0))))+IF(H339=1,30,IF(H339=2,20,IF(H339=3,10,IF(H339&lt;&gt;"",1,0))))))</f>
        <v/>
      </c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14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>
        <f>IF(AND(C340="",OR(E340="",E340=0)),"",(IF(E340=1,30,IF(E340=2,20,IF(E340=3,10,IF(E340&lt;&gt;"",1,0))))+IF(F340=1,30,IF(F340=2,20,IF(F340=3,10,IF(F340&lt;&gt;"",1,0))))+IF(G340=1,30,IF(G340=2,20,IF(G340=3,10,IF(G340&lt;&gt;"",1,0))))+IF(H340=1,30,IF(H340=2,20,IF(H340=3,10,IF(H340&lt;&gt;"",1,0))))))</f>
        <v/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14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>
        <f>IF(AND(C341="",OR(E341="",E341=0)),"",(IF(E341=1,30,IF(E341=2,20,IF(E341=3,10,IF(E341&lt;&gt;"",1,0))))+IF(F341=1,30,IF(F341=2,20,IF(F341=3,10,IF(F341&lt;&gt;"",1,0))))+IF(G341=1,30,IF(G341=2,20,IF(G341=3,10,IF(G341&lt;&gt;"",1,0))))+IF(H341=1,30,IF(H341=2,20,IF(H341=3,10,IF(H341&lt;&gt;"",1,0))))))</f>
        <v/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14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>
        <f>IF(AND(C342="",OR(E342="",E342=0)),"",(IF(E342=1,30,IF(E342=2,20,IF(E342=3,10,IF(E342&lt;&gt;"",1,0))))+IF(F342=1,30,IF(F342=2,20,IF(F342=3,10,IF(F342&lt;&gt;"",1,0))))+IF(G342=1,30,IF(G342=2,20,IF(G342=3,10,IF(G342&lt;&gt;"",1,0))))+IF(H342=1,30,IF(H342=2,20,IF(H342=3,10,IF(H342&lt;&gt;"",1,0)))))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1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>
        <f>IF(AND(C343="",OR(E343="",E343=0)),"",(IF(E343=1,30,IF(E343=2,20,IF(E343=3,10,IF(E343&lt;&gt;"",1,0))))+IF(F343=1,30,IF(F343=2,20,IF(F343=3,10,IF(F343&lt;&gt;"",1,0))))+IF(G343=1,30,IF(G343=2,20,IF(G343=3,10,IF(G343&lt;&gt;"",1,0))))+IF(H343=1,30,IF(H343=2,20,IF(H343=3,10,IF(H343&lt;&gt;"",1,0))))))</f>
        <v/>
      </c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14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>
        <f>IF(AND(C344="",OR(E344="",E344=0)),"",(IF(E344=1,30,IF(E344=2,20,IF(E344=3,10,IF(E344&lt;&gt;"",1,0))))+IF(F344=1,30,IF(F344=2,20,IF(F344=3,10,IF(F344&lt;&gt;"",1,0))))+IF(G344=1,30,IF(G344=2,20,IF(G344=3,10,IF(G344&lt;&gt;"",1,0))))+IF(H344=1,30,IF(H344=2,20,IF(H344=3,10,IF(H344&lt;&gt;"",1,0))))))</f>
        <v/>
      </c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14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>
        <f>IF(AND(C345="",OR(E345="",E345=0)),"",(IF(E345=1,30,IF(E345=2,20,IF(E345=3,10,IF(E345&lt;&gt;"",1,0))))+IF(F345=1,30,IF(F345=2,20,IF(F345=3,10,IF(F345&lt;&gt;"",1,0))))+IF(G345=1,30,IF(G345=2,20,IF(G345=3,10,IF(G345&lt;&gt;"",1,0))))+IF(H345=1,30,IF(H345=2,20,IF(H345=3,10,IF(H345&lt;&gt;"",1,0))))))</f>
        <v/>
      </c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14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>
        <f>IF(AND(C346="",OR(E346="",E346=0)),"",(IF(E346=1,30,IF(E346=2,20,IF(E346=3,10,IF(E346&lt;&gt;"",1,0))))+IF(F346=1,30,IF(F346=2,20,IF(F346=3,10,IF(F346&lt;&gt;"",1,0))))+IF(G346=1,30,IF(G346=2,20,IF(G346=3,10,IF(G346&lt;&gt;"",1,0))))+IF(H346=1,30,IF(H346=2,20,IF(H346=3,10,IF(H346&lt;&gt;"",1,0))))))</f>
        <v/>
      </c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14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>
        <f>IF(AND(C347="",OR(E347="",E347=0)),"",(IF(E347=1,30,IF(E347=2,20,IF(E347=3,10,IF(E347&lt;&gt;"",1,0))))+IF(F347=1,30,IF(F347=2,20,IF(F347=3,10,IF(F347&lt;&gt;"",1,0))))+IF(G347=1,30,IF(G347=2,20,IF(G347=3,10,IF(G347&lt;&gt;"",1,0))))+IF(H347=1,30,IF(H347=2,20,IF(H347=3,10,IF(H347&lt;&gt;"",1,0)))))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14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>
        <f>IF(AND(C348="",OR(E348="",E348=0)),"",(IF(E348=1,30,IF(E348=2,20,IF(E348=3,10,IF(E348&lt;&gt;"",1,0))))+IF(F348=1,30,IF(F348=2,20,IF(F348=3,10,IF(F348&lt;&gt;"",1,0))))+IF(G348=1,30,IF(G348=2,20,IF(G348=3,10,IF(G348&lt;&gt;"",1,0))))+IF(H348=1,30,IF(H348=2,20,IF(H348=3,10,IF(H348&lt;&gt;"",1,0))))))</f>
        <v/>
      </c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14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>
        <f>IF(AND(C349="",OR(E349="",E349=0)),"",(IF(E349=1,30,IF(E349=2,20,IF(E349=3,10,IF(E349&lt;&gt;"",1,0))))+IF(F349=1,30,IF(F349=2,20,IF(F349=3,10,IF(F349&lt;&gt;"",1,0))))+IF(G349=1,30,IF(G349=2,20,IF(G349=3,10,IF(G349&lt;&gt;"",1,0))))+IF(H349=1,30,IF(H349=2,20,IF(H349=3,10,IF(H349&lt;&gt;"",1,0))))))</f>
        <v/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14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>
        <f>IF(AND(C350="",OR(E350="",E350=0)),"",(IF(E350=1,30,IF(E350=2,20,IF(E350=3,10,IF(E350&lt;&gt;"",1,0))))+IF(F350=1,30,IF(F350=2,20,IF(F350=3,10,IF(F350&lt;&gt;"",1,0))))+IF(G350=1,30,IF(G350=2,20,IF(G350=3,10,IF(G350&lt;&gt;"",1,0))))+IF(H350=1,30,IF(H350=2,20,IF(H350=3,10,IF(H350&lt;&gt;"",1,0))))))</f>
        <v/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14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>
        <f>IF(AND(C351="",OR(E351="",E351=0)),"",(IF(E351=1,30,IF(E351=2,20,IF(E351=3,10,IF(E351&lt;&gt;"",1,0))))+IF(F351=1,30,IF(F351=2,20,IF(F351=3,10,IF(F351&lt;&gt;"",1,0))))+IF(G351=1,30,IF(G351=2,20,IF(G351=3,10,IF(G351&lt;&gt;"",1,0))))+IF(H351=1,30,IF(H351=2,20,IF(H351=3,10,IF(H351&lt;&gt;"",1,0))))))</f>
        <v/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14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>
        <f>IF(AND(C352="",OR(E352="",E352=0)),"",(IF(E352=1,30,IF(E352=2,20,IF(E352=3,10,IF(E352&lt;&gt;"",1,0))))+IF(F352=1,30,IF(F352=2,20,IF(F352=3,10,IF(F352&lt;&gt;"",1,0))))+IF(G352=1,30,IF(G352=2,20,IF(G352=3,10,IF(G352&lt;&gt;"",1,0))))+IF(H352=1,30,IF(H352=2,20,IF(H352=3,10,IF(H352&lt;&gt;"",1,0))))))</f>
        <v/>
      </c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14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>
        <f>IF(AND(C353="",OR(E353="",E353=0)),"",(IF(E353=1,30,IF(E353=2,20,IF(E353=3,10,IF(E353&lt;&gt;"",1,0))))+IF(F353=1,30,IF(F353=2,20,IF(F353=3,10,IF(F353&lt;&gt;"",1,0))))+IF(G353=1,30,IF(G353=2,20,IF(G353=3,10,IF(G353&lt;&gt;"",1,0))))+IF(H353=1,30,IF(H353=2,20,IF(H353=3,10,IF(H353&lt;&gt;"",1,0))))))</f>
        <v/>
      </c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14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>
        <f>IF(AND(C354="",OR(E354="",E354=0)),"",(IF(E354=1,30,IF(E354=2,20,IF(E354=3,10,IF(E354&lt;&gt;"",1,0))))+IF(F354=1,30,IF(F354=2,20,IF(F354=3,10,IF(F354&lt;&gt;"",1,0))))+IF(G354=1,30,IF(G354=2,20,IF(G354=3,10,IF(G354&lt;&gt;"",1,0))))+IF(H354=1,30,IF(H354=2,20,IF(H354=3,10,IF(H354&lt;&gt;"",1,0))))))</f>
        <v/>
      </c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14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>
        <f>IF(AND(C355="",OR(E355="",E355=0)),"",(IF(E355=1,30,IF(E355=2,20,IF(E355=3,10,IF(E355&lt;&gt;"",1,0))))+IF(F355=1,30,IF(F355=2,20,IF(F355=3,10,IF(F355&lt;&gt;"",1,0))))+IF(G355=1,30,IF(G355=2,20,IF(G355=3,10,IF(G355&lt;&gt;"",1,0))))+IF(H355=1,30,IF(H355=2,20,IF(H355=3,10,IF(H355&lt;&gt;"",1,0))))))</f>
        <v/>
      </c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14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>
        <f>IF(AND(C356="",OR(E356="",E356=0)),"",(IF(E356=1,30,IF(E356=2,20,IF(E356=3,10,IF(E356&lt;&gt;"",1,0))))+IF(F356=1,30,IF(F356=2,20,IF(F356=3,10,IF(F356&lt;&gt;"",1,0))))+IF(G356=1,30,IF(G356=2,20,IF(G356=3,10,IF(G356&lt;&gt;"",1,0))))+IF(H356=1,30,IF(H356=2,20,IF(H356=3,10,IF(H356&lt;&gt;"",1,0)))))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14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>
        <f>IF(AND(C357="",OR(E357="",E357=0)),"",(IF(E357=1,30,IF(E357=2,20,IF(E357=3,10,IF(E357&lt;&gt;"",1,0))))+IF(F357=1,30,IF(F357=2,20,IF(F357=3,10,IF(F357&lt;&gt;"",1,0))))+IF(G357=1,30,IF(G357=2,20,IF(G357=3,10,IF(G357&lt;&gt;"",1,0))))+IF(H357=1,30,IF(H357=2,20,IF(H357=3,10,IF(H357&lt;&gt;"",1,0))))))</f>
        <v/>
      </c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14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>
        <f>IF(AND(C358="",OR(E358="",E358=0)),"",(IF(E358=1,30,IF(E358=2,20,IF(E358=3,10,IF(E358&lt;&gt;"",1,0))))+IF(F358=1,30,IF(F358=2,20,IF(F358=3,10,IF(F358&lt;&gt;"",1,0))))+IF(G358=1,30,IF(G358=2,20,IF(G358=3,10,IF(G358&lt;&gt;"",1,0))))+IF(H358=1,30,IF(H358=2,20,IF(H358=3,10,IF(H358&lt;&gt;"",1,0))))))</f>
        <v/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14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>
        <f>IF(AND(C359="",OR(E359="",E359=0)),"",(IF(E359=1,30,IF(E359=2,20,IF(E359=3,10,IF(E359&lt;&gt;"",1,0))))+IF(F359=1,30,IF(F359=2,20,IF(F359=3,10,IF(F359&lt;&gt;"",1,0))))+IF(G359=1,30,IF(G359=2,20,IF(G359=3,10,IF(G359&lt;&gt;"",1,0))))+IF(H359=1,30,IF(H359=2,20,IF(H359=3,10,IF(H359&lt;&gt;"",1,0))))))</f>
        <v/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14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>
        <f>IF(AND(C360="",OR(E360="",E360=0)),"",(IF(E360=1,30,IF(E360=2,20,IF(E360=3,10,IF(E360&lt;&gt;"",1,0))))+IF(F360=1,30,IF(F360=2,20,IF(F360=3,10,IF(F360&lt;&gt;"",1,0))))+IF(G360=1,30,IF(G360=2,20,IF(G360=3,10,IF(G360&lt;&gt;"",1,0))))+IF(H360=1,30,IF(H360=2,20,IF(H360=3,10,IF(H360&lt;&gt;"",1,0)))))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14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>
        <f>IF(AND(C361="",OR(E361="",E361=0)),"",(IF(E361=1,30,IF(E361=2,20,IF(E361=3,10,IF(E361&lt;&gt;"",1,0))))+IF(F361=1,30,IF(F361=2,20,IF(F361=3,10,IF(F361&lt;&gt;"",1,0))))+IF(G361=1,30,IF(G361=2,20,IF(G361=3,10,IF(G361&lt;&gt;"",1,0))))+IF(H361=1,30,IF(H361=2,20,IF(H361=3,10,IF(H361&lt;&gt;"",1,0))))))</f>
        <v/>
      </c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14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>
        <f>IF(AND(C362="",OR(E362="",E362=0)),"",(IF(E362=1,30,IF(E362=2,20,IF(E362=3,10,IF(E362&lt;&gt;"",1,0))))+IF(F362=1,30,IF(F362=2,20,IF(F362=3,10,IF(F362&lt;&gt;"",1,0))))+IF(G362=1,30,IF(G362=2,20,IF(G362=3,10,IF(G362&lt;&gt;"",1,0))))+IF(H362=1,30,IF(H362=2,20,IF(H362=3,10,IF(H362&lt;&gt;"",1,0))))))</f>
        <v/>
      </c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14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>
        <f>IF(AND(C363="",OR(E363="",E363=0)),"",(IF(E363=1,30,IF(E363=2,20,IF(E363=3,10,IF(E363&lt;&gt;"",1,0))))+IF(F363=1,30,IF(F363=2,20,IF(F363=3,10,IF(F363&lt;&gt;"",1,0))))+IF(G363=1,30,IF(G363=2,20,IF(G363=3,10,IF(G363&lt;&gt;"",1,0))))+IF(H363=1,30,IF(H363=2,20,IF(H363=3,10,IF(H363&lt;&gt;"",1,0))))))</f>
        <v/>
      </c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14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>
        <f>IF(AND(C364="",OR(E364="",E364=0)),"",(IF(E364=1,30,IF(E364=2,20,IF(E364=3,10,IF(E364&lt;&gt;"",1,0))))+IF(F364=1,30,IF(F364=2,20,IF(F364=3,10,IF(F364&lt;&gt;"",1,0))))+IF(G364=1,30,IF(G364=2,20,IF(G364=3,10,IF(G364&lt;&gt;"",1,0))))+IF(H364=1,30,IF(H364=2,20,IF(H364=3,10,IF(H364&lt;&gt;"",1,0))))))</f>
        <v/>
      </c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14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>
        <f>IF(AND(C365="",OR(E365="",E365=0)),"",(IF(E365=1,30,IF(E365=2,20,IF(E365=3,10,IF(E365&lt;&gt;"",1,0))))+IF(F365=1,30,IF(F365=2,20,IF(F365=3,10,IF(F365&lt;&gt;"",1,0))))+IF(G365=1,30,IF(G365=2,20,IF(G365=3,10,IF(G365&lt;&gt;"",1,0))))+IF(H365=1,30,IF(H365=2,20,IF(H365=3,10,IF(H365&lt;&gt;"",1,0)))))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14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>
        <f>IF(AND(C366="",OR(E366="",E366=0)),"",(IF(E366=1,30,IF(E366=2,20,IF(E366=3,10,IF(E366&lt;&gt;"",1,0))))+IF(F366=1,30,IF(F366=2,20,IF(F366=3,10,IF(F366&lt;&gt;"",1,0))))+IF(G366=1,30,IF(G366=2,20,IF(G366=3,10,IF(G366&lt;&gt;"",1,0))))+IF(H366=1,30,IF(H366=2,20,IF(H366=3,10,IF(H366&lt;&gt;"",1,0))))))</f>
        <v/>
      </c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14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>
        <f>IF(AND(C367="",OR(E367="",E367=0)),"",(IF(E367=1,30,IF(E367=2,20,IF(E367=3,10,IF(E367&lt;&gt;"",1,0))))+IF(F367=1,30,IF(F367=2,20,IF(F367=3,10,IF(F367&lt;&gt;"",1,0))))+IF(G367=1,30,IF(G367=2,20,IF(G367=3,10,IF(G367&lt;&gt;"",1,0))))+IF(H367=1,30,IF(H367=2,20,IF(H367=3,10,IF(H367&lt;&gt;"",1,0))))))</f>
        <v/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14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>
        <f>IF(AND(C368="",OR(E368="",E368=0)),"",(IF(E368=1,30,IF(E368=2,20,IF(E368=3,10,IF(E368&lt;&gt;"",1,0))))+IF(F368=1,30,IF(F368=2,20,IF(F368=3,10,IF(F368&lt;&gt;"",1,0))))+IF(G368=1,30,IF(G368=2,20,IF(G368=3,10,IF(G368&lt;&gt;"",1,0))))+IF(H368=1,30,IF(H368=2,20,IF(H368=3,10,IF(H368&lt;&gt;"",1,0))))))</f>
        <v/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14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>
        <f>IF(AND(C369="",OR(E369="",E369=0)),"",(IF(E369=1,30,IF(E369=2,20,IF(E369=3,10,IF(E369&lt;&gt;"",1,0))))+IF(F369=1,30,IF(F369=2,20,IF(F369=3,10,IF(F369&lt;&gt;"",1,0))))+IF(G369=1,30,IF(G369=2,20,IF(G369=3,10,IF(G369&lt;&gt;"",1,0))))+IF(H369=1,30,IF(H369=2,20,IF(H369=3,10,IF(H369&lt;&gt;"",1,0)))))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14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>
        <f>IF(AND(C370="",OR(E370="",E370=0)),"",(IF(E370=1,30,IF(E370=2,20,IF(E370=3,10,IF(E370&lt;&gt;"",1,0))))+IF(F370=1,30,IF(F370=2,20,IF(F370=3,10,IF(F370&lt;&gt;"",1,0))))+IF(G370=1,30,IF(G370=2,20,IF(G370=3,10,IF(G370&lt;&gt;"",1,0))))+IF(H370=1,30,IF(H370=2,20,IF(H370=3,10,IF(H370&lt;&gt;"",1,0))))))</f>
        <v/>
      </c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14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>
        <f>IF(AND(C371="",OR(E371="",E371=0)),"",(IF(E371=1,30,IF(E371=2,20,IF(E371=3,10,IF(E371&lt;&gt;"",1,0))))+IF(F371=1,30,IF(F371=2,20,IF(F371=3,10,IF(F371&lt;&gt;"",1,0))))+IF(G371=1,30,IF(G371=2,20,IF(G371=3,10,IF(G371&lt;&gt;"",1,0))))+IF(H371=1,30,IF(H371=2,20,IF(H371=3,10,IF(H371&lt;&gt;"",1,0))))))</f>
        <v/>
      </c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14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>
        <f>IF(AND(C372="",OR(E372="",E372=0)),"",(IF(E372=1,30,IF(E372=2,20,IF(E372=3,10,IF(E372&lt;&gt;"",1,0))))+IF(F372=1,30,IF(F372=2,20,IF(F372=3,10,IF(F372&lt;&gt;"",1,0))))+IF(G372=1,30,IF(G372=2,20,IF(G372=3,10,IF(G372&lt;&gt;"",1,0))))+IF(H372=1,30,IF(H372=2,20,IF(H372=3,10,IF(H372&lt;&gt;"",1,0))))))</f>
        <v/>
      </c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14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>
        <f>IF(AND(C373="",OR(E373="",E373=0)),"",(IF(E373=1,30,IF(E373=2,20,IF(E373=3,10,IF(E373&lt;&gt;"",1,0))))+IF(F373=1,30,IF(F373=2,20,IF(F373=3,10,IF(F373&lt;&gt;"",1,0))))+IF(G373=1,30,IF(G373=2,20,IF(G373=3,10,IF(G373&lt;&gt;"",1,0))))+IF(H373=1,30,IF(H373=2,20,IF(H373=3,10,IF(H373&lt;&gt;"",1,0))))))</f>
        <v/>
      </c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14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>
        <f>IF(AND(C374="",OR(E374="",E374=0)),"",(IF(E374=1,30,IF(E374=2,20,IF(E374=3,10,IF(E374&lt;&gt;"",1,0))))+IF(F374=1,30,IF(F374=2,20,IF(F374=3,10,IF(F374&lt;&gt;"",1,0))))+IF(G374=1,30,IF(G374=2,20,IF(G374=3,10,IF(G374&lt;&gt;"",1,0))))+IF(H374=1,30,IF(H374=2,20,IF(H374=3,10,IF(H374&lt;&gt;"",1,0)))))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14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>
        <f>IF(AND(C375="",OR(E375="",E375=0)),"",(IF(E375=1,30,IF(E375=2,20,IF(E375=3,10,IF(E375&lt;&gt;"",1,0))))+IF(F375=1,30,IF(F375=2,20,IF(F375=3,10,IF(F375&lt;&gt;"",1,0))))+IF(G375=1,30,IF(G375=2,20,IF(G375=3,10,IF(G375&lt;&gt;"",1,0))))+IF(H375=1,30,IF(H375=2,20,IF(H375=3,10,IF(H375&lt;&gt;"",1,0))))))</f>
        <v/>
      </c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14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>
        <f>IF(AND(C376="",OR(E376="",E376=0)),"",(IF(E376=1,30,IF(E376=2,20,IF(E376=3,10,IF(E376&lt;&gt;"",1,0))))+IF(F376=1,30,IF(F376=2,20,IF(F376=3,10,IF(F376&lt;&gt;"",1,0))))+IF(G376=1,30,IF(G376=2,20,IF(G376=3,10,IF(G376&lt;&gt;"",1,0))))+IF(H376=1,30,IF(H376=2,20,IF(H376=3,10,IF(H376&lt;&gt;"",1,0))))))</f>
        <v/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14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>
        <f>IF(AND(C377="",OR(E377="",E377=0)),"",(IF(E377=1,30,IF(E377=2,20,IF(E377=3,10,IF(E377&lt;&gt;"",1,0))))+IF(F377=1,30,IF(F377=2,20,IF(F377=3,10,IF(F377&lt;&gt;"",1,0))))+IF(G377=1,30,IF(G377=2,20,IF(G377=3,10,IF(G377&lt;&gt;"",1,0))))+IF(H377=1,30,IF(H377=2,20,IF(H377=3,10,IF(H377&lt;&gt;"",1,0))))))</f>
        <v/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14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>
        <f>IF(AND(C378="",OR(E378="",E378=0)),"",(IF(E378=1,30,IF(E378=2,20,IF(E378=3,10,IF(E378&lt;&gt;"",1,0))))+IF(F378=1,30,IF(F378=2,20,IF(F378=3,10,IF(F378&lt;&gt;"",1,0))))+IF(G378=1,30,IF(G378=2,20,IF(G378=3,10,IF(G378&lt;&gt;"",1,0))))+IF(H378=1,30,IF(H378=2,20,IF(H378=3,10,IF(H378&lt;&gt;"",1,0)))))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14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>
        <f>IF(AND(C379="",OR(E379="",E379=0)),"",(IF(E379=1,30,IF(E379=2,20,IF(E379=3,10,IF(E379&lt;&gt;"",1,0))))+IF(F379=1,30,IF(F379=2,20,IF(F379=3,10,IF(F379&lt;&gt;"",1,0))))+IF(G379=1,30,IF(G379=2,20,IF(G379=3,10,IF(G379&lt;&gt;"",1,0))))+IF(H379=1,30,IF(H379=2,20,IF(H379=3,10,IF(H379&lt;&gt;"",1,0))))))</f>
        <v/>
      </c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14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>
        <f>IF(AND(C380="",OR(E380="",E380=0)),"",(IF(E380=1,30,IF(E380=2,20,IF(E380=3,10,IF(E380&lt;&gt;"",1,0))))+IF(F380=1,30,IF(F380=2,20,IF(F380=3,10,IF(F380&lt;&gt;"",1,0))))+IF(G380=1,30,IF(G380=2,20,IF(G380=3,10,IF(G380&lt;&gt;"",1,0))))+IF(H380=1,30,IF(H380=2,20,IF(H380=3,10,IF(H380&lt;&gt;"",1,0))))))</f>
        <v/>
      </c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14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>
        <f>IF(AND(C381="",OR(E381="",E381=0)),"",(IF(E381=1,30,IF(E381=2,20,IF(E381=3,10,IF(E381&lt;&gt;"",1,0))))+IF(F381=1,30,IF(F381=2,20,IF(F381=3,10,IF(F381&lt;&gt;"",1,0))))+IF(G381=1,30,IF(G381=2,20,IF(G381=3,10,IF(G381&lt;&gt;"",1,0))))+IF(H381=1,30,IF(H381=2,20,IF(H381=3,10,IF(H381&lt;&gt;"",1,0))))))</f>
        <v/>
      </c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14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>
        <f>IF(AND(C382="",OR(E382="",E382=0)),"",(IF(E382=1,30,IF(E382=2,20,IF(E382=3,10,IF(E382&lt;&gt;"",1,0))))+IF(F382=1,30,IF(F382=2,20,IF(F382=3,10,IF(F382&lt;&gt;"",1,0))))+IF(G382=1,30,IF(G382=2,20,IF(G382=3,10,IF(G382&lt;&gt;"",1,0))))+IF(H382=1,30,IF(H382=2,20,IF(H382=3,10,IF(H382&lt;&gt;"",1,0))))))</f>
        <v/>
      </c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14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>
        <f>IF(AND(C383="",OR(E383="",E383=0)),"",(IF(E383=1,30,IF(E383=2,20,IF(E383=3,10,IF(E383&lt;&gt;"",1,0))))+IF(F383=1,30,IF(F383=2,20,IF(F383=3,10,IF(F383&lt;&gt;"",1,0))))+IF(G383=1,30,IF(G383=2,20,IF(G383=3,10,IF(G383&lt;&gt;"",1,0))))+IF(H383=1,30,IF(H383=2,20,IF(H383=3,10,IF(H383&lt;&gt;"",1,0)))))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14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>
        <f>IF(AND(C384="",OR(E384="",E384=0)),"",(IF(E384=1,30,IF(E384=2,20,IF(E384=3,10,IF(E384&lt;&gt;"",1,0))))+IF(F384=1,30,IF(F384=2,20,IF(F384=3,10,IF(F384&lt;&gt;"",1,0))))+IF(G384=1,30,IF(G384=2,20,IF(G384=3,10,IF(G384&lt;&gt;"",1,0))))+IF(H384=1,30,IF(H384=2,20,IF(H384=3,10,IF(H384&lt;&gt;"",1,0))))))</f>
        <v/>
      </c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14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>
        <f>IF(AND(C385="",OR(E385="",E385=0)),"",(IF(E385=1,30,IF(E385=2,20,IF(E385=3,10,IF(E385&lt;&gt;"",1,0))))+IF(F385=1,30,IF(F385=2,20,IF(F385=3,10,IF(F385&lt;&gt;"",1,0))))+IF(G385=1,30,IF(G385=2,20,IF(G385=3,10,IF(G385&lt;&gt;"",1,0))))+IF(H385=1,30,IF(H385=2,20,IF(H385=3,10,IF(H385&lt;&gt;"",1,0))))))</f>
        <v/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14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>
        <f>IF(AND(C386="",OR(E386="",E386=0)),"",(IF(E386=1,30,IF(E386=2,20,IF(E386=3,10,IF(E386&lt;&gt;"",1,0))))+IF(F386=1,30,IF(F386=2,20,IF(F386=3,10,IF(F386&lt;&gt;"",1,0))))+IF(G386=1,30,IF(G386=2,20,IF(G386=3,10,IF(G386&lt;&gt;"",1,0))))+IF(H386=1,30,IF(H386=2,20,IF(H386=3,10,IF(H386&lt;&gt;"",1,0))))))</f>
        <v/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14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>
        <f>IF(AND(C387="",OR(E387="",E387=0)),"",(IF(E387=1,30,IF(E387=2,20,IF(E387=3,10,IF(E387&lt;&gt;"",1,0))))+IF(F387=1,30,IF(F387=2,20,IF(F387=3,10,IF(F387&lt;&gt;"",1,0))))+IF(G387=1,30,IF(G387=2,20,IF(G387=3,10,IF(G387&lt;&gt;"",1,0))))+IF(H387=1,30,IF(H387=2,20,IF(H387=3,10,IF(H387&lt;&gt;"",1,0)))))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14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>
        <f>IF(AND(C388="",OR(E388="",E388=0)),"",(IF(E388=1,30,IF(E388=2,20,IF(E388=3,10,IF(E388&lt;&gt;"",1,0))))+IF(F388=1,30,IF(F388=2,20,IF(F388=3,10,IF(F388&lt;&gt;"",1,0))))+IF(G388=1,30,IF(G388=2,20,IF(G388=3,10,IF(G388&lt;&gt;"",1,0))))+IF(H388=1,30,IF(H388=2,20,IF(H388=3,10,IF(H388&lt;&gt;"",1,0))))))</f>
        <v/>
      </c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14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>
        <f>IF(AND(C389="",OR(E389="",E389=0)),"",(IF(E389=1,30,IF(E389=2,20,IF(E389=3,10,IF(E389&lt;&gt;"",1,0))))+IF(F389=1,30,IF(F389=2,20,IF(F389=3,10,IF(F389&lt;&gt;"",1,0))))+IF(G389=1,30,IF(G389=2,20,IF(G389=3,10,IF(G389&lt;&gt;"",1,0))))+IF(H389=1,30,IF(H389=2,20,IF(H389=3,10,IF(H389&lt;&gt;"",1,0))))))</f>
        <v/>
      </c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14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>
        <f>IF(AND(C390="",OR(E390="",E390=0)),"",(IF(E390=1,30,IF(E390=2,20,IF(E390=3,10,IF(E390&lt;&gt;"",1,0))))+IF(F390=1,30,IF(F390=2,20,IF(F390=3,10,IF(F390&lt;&gt;"",1,0))))+IF(G390=1,30,IF(G390=2,20,IF(G390=3,10,IF(G390&lt;&gt;"",1,0))))+IF(H390=1,30,IF(H390=2,20,IF(H390=3,10,IF(H390&lt;&gt;"",1,0))))))</f>
        <v/>
      </c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14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>
        <f>IF(AND(C391="",OR(E391="",E391=0)),"",(IF(E391=1,30,IF(E391=2,20,IF(E391=3,10,IF(E391&lt;&gt;"",1,0))))+IF(F391=1,30,IF(F391=2,20,IF(F391=3,10,IF(F391&lt;&gt;"",1,0))))+IF(G391=1,30,IF(G391=2,20,IF(G391=3,10,IF(G391&lt;&gt;"",1,0))))+IF(H391=1,30,IF(H391=2,20,IF(H391=3,10,IF(H391&lt;&gt;"",1,0))))))</f>
        <v/>
      </c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14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>
        <f>IF(AND(C392="",OR(E392="",E392=0)),"",(IF(E392=1,30,IF(E392=2,20,IF(E392=3,10,IF(E392&lt;&gt;"",1,0))))+IF(F392=1,30,IF(F392=2,20,IF(F392=3,10,IF(F392&lt;&gt;"",1,0))))+IF(G392=1,30,IF(G392=2,20,IF(G392=3,10,IF(G392&lt;&gt;"",1,0))))+IF(H392=1,30,IF(H392=2,20,IF(H392=3,10,IF(H392&lt;&gt;"",1,0)))))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14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>
        <f>IF(AND(C393="",OR(E393="",E393=0)),"",(IF(E393=1,30,IF(E393=2,20,IF(E393=3,10,IF(E393&lt;&gt;"",1,0))))+IF(F393=1,30,IF(F393=2,20,IF(F393=3,10,IF(F393&lt;&gt;"",1,0))))+IF(G393=1,30,IF(G393=2,20,IF(G393=3,10,IF(G393&lt;&gt;"",1,0))))+IF(H393=1,30,IF(H393=2,20,IF(H393=3,10,IF(H393&lt;&gt;"",1,0))))))</f>
        <v/>
      </c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14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>
        <f>IF(AND(C394="",OR(E394="",E394=0)),"",(IF(E394=1,30,IF(E394=2,20,IF(E394=3,10,IF(E394&lt;&gt;"",1,0))))+IF(F394=1,30,IF(F394=2,20,IF(F394=3,10,IF(F394&lt;&gt;"",1,0))))+IF(G394=1,30,IF(G394=2,20,IF(G394=3,10,IF(G394&lt;&gt;"",1,0))))+IF(H394=1,30,IF(H394=2,20,IF(H394=3,10,IF(H394&lt;&gt;"",1,0))))))</f>
        <v/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14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>
        <f>IF(AND(C395="",OR(E395="",E395=0)),"",(IF(E395=1,30,IF(E395=2,20,IF(E395=3,10,IF(E395&lt;&gt;"",1,0))))+IF(F395=1,30,IF(F395=2,20,IF(F395=3,10,IF(F395&lt;&gt;"",1,0))))+IF(G395=1,30,IF(G395=2,20,IF(G395=3,10,IF(G395&lt;&gt;"",1,0))))+IF(H395=1,30,IF(H395=2,20,IF(H395=3,10,IF(H395&lt;&gt;"",1,0))))))</f>
        <v/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14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>
        <f>IF(AND(C396="",OR(E396="",E396=0)),"",(IF(E396=1,30,IF(E396=2,20,IF(E396=3,10,IF(E396&lt;&gt;"",1,0))))+IF(F396=1,30,IF(F396=2,20,IF(F396=3,10,IF(F396&lt;&gt;"",1,0))))+IF(G396=1,30,IF(G396=2,20,IF(G396=3,10,IF(G396&lt;&gt;"",1,0))))+IF(H396=1,30,IF(H396=2,20,IF(H396=3,10,IF(H396&lt;&gt;"",1,0)))))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14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>
        <f>IF(AND(C397="",OR(E397="",E397=0)),"",(IF(E397=1,30,IF(E397=2,20,IF(E397=3,10,IF(E397&lt;&gt;"",1,0))))+IF(F397=1,30,IF(F397=2,20,IF(F397=3,10,IF(F397&lt;&gt;"",1,0))))+IF(G397=1,30,IF(G397=2,20,IF(G397=3,10,IF(G397&lt;&gt;"",1,0))))+IF(H397=1,30,IF(H397=2,20,IF(H397=3,10,IF(H397&lt;&gt;"",1,0))))))</f>
        <v/>
      </c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14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>
        <f>IF(AND(C398="",OR(E398="",E398=0)),"",(IF(E398=1,30,IF(E398=2,20,IF(E398=3,10,IF(E398&lt;&gt;"",1,0))))+IF(F398=1,30,IF(F398=2,20,IF(F398=3,10,IF(F398&lt;&gt;"",1,0))))+IF(G398=1,30,IF(G398=2,20,IF(G398=3,10,IF(G398&lt;&gt;"",1,0))))+IF(H398=1,30,IF(H398=2,20,IF(H398=3,10,IF(H398&lt;&gt;"",1,0))))))</f>
        <v/>
      </c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14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>
        <f>IF(AND(C399="",OR(E399="",E399=0)),"",(IF(E399=1,30,IF(E399=2,20,IF(E399=3,10,IF(E399&lt;&gt;"",1,0))))+IF(F399=1,30,IF(F399=2,20,IF(F399=3,10,IF(F399&lt;&gt;"",1,0))))+IF(G399=1,30,IF(G399=2,20,IF(G399=3,10,IF(G399&lt;&gt;"",1,0))))+IF(H399=1,30,IF(H399=2,20,IF(H399=3,10,IF(H399&lt;&gt;"",1,0))))))</f>
        <v/>
      </c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14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>
        <f>IF(AND(C400="",OR(E400="",E400=0)),"",(IF(E400=1,30,IF(E400=2,20,IF(E400=3,10,IF(E400&lt;&gt;"",1,0))))+IF(F400=1,30,IF(F400=2,20,IF(F400=3,10,IF(F400&lt;&gt;"",1,0))))+IF(G400=1,30,IF(G400=2,20,IF(G400=3,10,IF(G400&lt;&gt;"",1,0))))+IF(H400=1,30,IF(H400=2,20,IF(H400=3,10,IF(H400&lt;&gt;"",1,0))))))</f>
        <v/>
      </c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14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>
        <f>IF(AND(C401="",OR(E401="",E401=0)),"",(IF(E401=1,30,IF(E401=2,20,IF(E401=3,10,IF(E401&lt;&gt;"",1,0))))+IF(F401=1,30,IF(F401=2,20,IF(F401=3,10,IF(F401&lt;&gt;"",1,0))))+IF(G401=1,30,IF(G401=2,20,IF(G401=3,10,IF(G401&lt;&gt;"",1,0))))+IF(H401=1,30,IF(H401=2,20,IF(H401=3,10,IF(H401&lt;&gt;"",1,0)))))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14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>
        <f>IF(AND(C402="",OR(E402="",E402=0)),"",(IF(E402=1,30,IF(E402=2,20,IF(E402=3,10,IF(E402&lt;&gt;"",1,0))))+IF(F402=1,30,IF(F402=2,20,IF(F402=3,10,IF(F402&lt;&gt;"",1,0))))+IF(G402=1,30,IF(G402=2,20,IF(G402=3,10,IF(G402&lt;&gt;"",1,0))))+IF(H402=1,30,IF(H402=2,20,IF(H402=3,10,IF(H402&lt;&gt;"",1,0))))))</f>
        <v/>
      </c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14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>
        <f>IF(AND(C403="",OR(E403="",E403=0)),"",(IF(E403=1,30,IF(E403=2,20,IF(E403=3,10,IF(E403&lt;&gt;"",1,0))))+IF(F403=1,30,IF(F403=2,20,IF(F403=3,10,IF(F403&lt;&gt;"",1,0))))+IF(G403=1,30,IF(G403=2,20,IF(G403=3,10,IF(G403&lt;&gt;"",1,0))))+IF(H403=1,30,IF(H403=2,20,IF(H403=3,10,IF(H403&lt;&gt;"",1,0))))))</f>
        <v/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14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>
        <f>IF(AND(C404="",OR(E404="",E404=0)),"",(IF(E404=1,30,IF(E404=2,20,IF(E404=3,10,IF(E404&lt;&gt;"",1,0))))+IF(F404=1,30,IF(F404=2,20,IF(F404=3,10,IF(F404&lt;&gt;"",1,0))))+IF(G404=1,30,IF(G404=2,20,IF(G404=3,10,IF(G404&lt;&gt;"",1,0))))+IF(H404=1,30,IF(H404=2,20,IF(H404=3,10,IF(H404&lt;&gt;"",1,0))))))</f>
        <v/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14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>
        <f>IF(AND(C405="",OR(E405="",E405=0)),"",(IF(E405=1,30,IF(E405=2,20,IF(E405=3,10,IF(E405&lt;&gt;"",1,0))))+IF(F405=1,30,IF(F405=2,20,IF(F405=3,10,IF(F405&lt;&gt;"",1,0))))+IF(G405=1,30,IF(G405=2,20,IF(G405=3,10,IF(G405&lt;&gt;"",1,0))))+IF(H405=1,30,IF(H405=2,20,IF(H405=3,10,IF(H405&lt;&gt;"",1,0)))))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14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>
        <f>IF(AND(C406="",OR(E406="",E406=0)),"",(IF(E406=1,30,IF(E406=2,20,IF(E406=3,10,IF(E406&lt;&gt;"",1,0))))+IF(F406=1,30,IF(F406=2,20,IF(F406=3,10,IF(F406&lt;&gt;"",1,0))))+IF(G406=1,30,IF(G406=2,20,IF(G406=3,10,IF(G406&lt;&gt;"",1,0))))+IF(H406=1,30,IF(H406=2,20,IF(H406=3,10,IF(H406&lt;&gt;"",1,0)))))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14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>
        <f>IF(AND(C407="",OR(E407="",E407=0)),"",(IF(E407=1,30,IF(E407=2,20,IF(E407=3,10,IF(E407&lt;&gt;"",1,0))))+IF(F407=1,30,IF(F407=2,20,IF(F407=3,10,IF(F407&lt;&gt;"",1,0))))+IF(G407=1,30,IF(G407=2,20,IF(G407=3,10,IF(G407&lt;&gt;"",1,0))))+IF(H407=1,30,IF(H407=2,20,IF(H407=3,10,IF(H407&lt;&gt;"",1,0))))))</f>
        <v/>
      </c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14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>
        <f>IF(AND(C408="",OR(E408="",E408=0)),"",(IF(E408=1,30,IF(E408=2,20,IF(E408=3,10,IF(E408&lt;&gt;"",1,0))))+IF(F408=1,30,IF(F408=2,20,IF(F408=3,10,IF(F408&lt;&gt;"",1,0))))+IF(G408=1,30,IF(G408=2,20,IF(G408=3,10,IF(G408&lt;&gt;"",1,0))))+IF(H408=1,30,IF(H408=2,20,IF(H408=3,10,IF(H408&lt;&gt;"",1,0))))))</f>
        <v/>
      </c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14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>
        <f>IF(AND(C409="",OR(E409="",E409=0)),"",(IF(E409=1,30,IF(E409=2,20,IF(E409=3,10,IF(E409&lt;&gt;"",1,0))))+IF(F409=1,30,IF(F409=2,20,IF(F409=3,10,IF(F409&lt;&gt;"",1,0))))+IF(G409=1,30,IF(G409=2,20,IF(G409=3,10,IF(G409&lt;&gt;"",1,0))))+IF(H409=1,30,IF(H409=2,20,IF(H409=3,10,IF(H409&lt;&gt;"",1,0))))))</f>
        <v/>
      </c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14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>
        <f>IF(AND(C410="",OR(E410="",E410=0)),"",(IF(E410=1,30,IF(E410=2,20,IF(E410=3,10,IF(E410&lt;&gt;"",1,0))))+IF(F410=1,30,IF(F410=2,20,IF(F410=3,10,IF(F410&lt;&gt;"",1,0))))+IF(G410=1,30,IF(G410=2,20,IF(G410=3,10,IF(G410&lt;&gt;"",1,0))))+IF(H410=1,30,IF(H410=2,20,IF(H410=3,10,IF(H410&lt;&gt;"",1,0)))))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14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>
        <f>IF(AND(C411="",OR(E411="",E411=0)),"",(IF(E411=1,30,IF(E411=2,20,IF(E411=3,10,IF(E411&lt;&gt;"",1,0))))+IF(F411=1,30,IF(F411=2,20,IF(F411=3,10,IF(F411&lt;&gt;"",1,0))))+IF(G411=1,30,IF(G411=2,20,IF(G411=3,10,IF(G411&lt;&gt;"",1,0))))+IF(H411=1,30,IF(H411=2,20,IF(H411=3,10,IF(H411&lt;&gt;"",1,0))))))</f>
        <v/>
      </c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14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>
        <f>IF(AND(C412="",OR(E412="",E412=0)),"",(IF(E412=1,30,IF(E412=2,20,IF(E412=3,10,IF(E412&lt;&gt;"",1,0))))+IF(F412=1,30,IF(F412=2,20,IF(F412=3,10,IF(F412&lt;&gt;"",1,0))))+IF(G412=1,30,IF(G412=2,20,IF(G412=3,10,IF(G412&lt;&gt;"",1,0))))+IF(H412=1,30,IF(H412=2,20,IF(H412=3,10,IF(H412&lt;&gt;"",1,0))))))</f>
        <v/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14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>
        <f>IF(AND(C413="",OR(E413="",E413=0)),"",(IF(E413=1,30,IF(E413=2,20,IF(E413=3,10,IF(E413&lt;&gt;"",1,0))))+IF(F413=1,30,IF(F413=2,20,IF(F413=3,10,IF(F413&lt;&gt;"",1,0))))+IF(G413=1,30,IF(G413=2,20,IF(G413=3,10,IF(G413&lt;&gt;"",1,0))))+IF(H413=1,30,IF(H413=2,20,IF(H413=3,10,IF(H413&lt;&gt;"",1,0))))))</f>
        <v/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14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>
        <f>IF(AND(C414="",OR(E414="",E414=0)),"",(IF(E414=1,30,IF(E414=2,20,IF(E414=3,10,IF(E414&lt;&gt;"",1,0))))+IF(F414=1,30,IF(F414=2,20,IF(F414=3,10,IF(F414&lt;&gt;"",1,0))))+IF(G414=1,30,IF(G414=2,20,IF(G414=3,10,IF(G414&lt;&gt;"",1,0))))+IF(H414=1,30,IF(H414=2,20,IF(H414=3,10,IF(H414&lt;&gt;"",1,0)))))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14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>
        <f>IF(AND(C415="",OR(E415="",E415=0)),"",(IF(E415=1,30,IF(E415=2,20,IF(E415=3,10,IF(E415&lt;&gt;"",1,0))))+IF(F415=1,30,IF(F415=2,20,IF(F415=3,10,IF(F415&lt;&gt;"",1,0))))+IF(G415=1,30,IF(G415=2,20,IF(G415=3,10,IF(G415&lt;&gt;"",1,0))))+IF(H415=1,30,IF(H415=2,20,IF(H415=3,10,IF(H415&lt;&gt;"",1,0))))))</f>
        <v/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14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>
        <f>IF(AND(C416="",OR(E416="",E416=0)),"",(IF(E416=1,30,IF(E416=2,20,IF(E416=3,10,IF(E416&lt;&gt;"",1,0))))+IF(F416=1,30,IF(F416=2,20,IF(F416=3,10,IF(F416&lt;&gt;"",1,0))))+IF(G416=1,30,IF(G416=2,20,IF(G416=3,10,IF(G416&lt;&gt;"",1,0))))+IF(H416=1,30,IF(H416=2,20,IF(H416=3,10,IF(H416&lt;&gt;"",1,0))))))</f>
        <v/>
      </c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14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>
        <f>IF(AND(C417="",OR(E417="",E417=0)),"",(IF(E417=1,30,IF(E417=2,20,IF(E417=3,10,IF(E417&lt;&gt;"",1,0))))+IF(F417=1,30,IF(F417=2,20,IF(F417=3,10,IF(F417&lt;&gt;"",1,0))))+IF(G417=1,30,IF(G417=2,20,IF(G417=3,10,IF(G417&lt;&gt;"",1,0))))+IF(H417=1,30,IF(H417=2,20,IF(H417=3,10,IF(H417&lt;&gt;"",1,0))))))</f>
        <v/>
      </c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14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>
        <f>IF(AND(C418="",OR(E418="",E418=0)),"",(IF(E418=1,30,IF(E418=2,20,IF(E418=3,10,IF(E418&lt;&gt;"",1,0))))+IF(F418=1,30,IF(F418=2,20,IF(F418=3,10,IF(F418&lt;&gt;"",1,0))))+IF(G418=1,30,IF(G418=2,20,IF(G418=3,10,IF(G418&lt;&gt;"",1,0))))+IF(H418=1,30,IF(H418=2,20,IF(H418=3,10,IF(H418&lt;&gt;"",1,0))))))</f>
        <v/>
      </c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14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>
        <f>IF(AND(C419="",OR(E419="",E419=0)),"",(IF(E419=1,30,IF(E419=2,20,IF(E419=3,10,IF(E419&lt;&gt;"",1,0))))+IF(F419=1,30,IF(F419=2,20,IF(F419=3,10,IF(F419&lt;&gt;"",1,0))))+IF(G419=1,30,IF(G419=2,20,IF(G419=3,10,IF(G419&lt;&gt;"",1,0))))+IF(H419=1,30,IF(H419=2,20,IF(H419=3,10,IF(H419&lt;&gt;"",1,0)))))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14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>
        <f>IF(AND(C420="",OR(E420="",E420=0)),"",(IF(E420=1,30,IF(E420=2,20,IF(E420=3,10,IF(E420&lt;&gt;"",1,0))))+IF(F420=1,30,IF(F420=2,20,IF(F420=3,10,IF(F420&lt;&gt;"",1,0))))+IF(G420=1,30,IF(G420=2,20,IF(G420=3,10,IF(G420&lt;&gt;"",1,0))))+IF(H420=1,30,IF(H420=2,20,IF(H420=3,10,IF(H420&lt;&gt;"",1,0))))))</f>
        <v/>
      </c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14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>
        <f>IF(AND(C421="",OR(E421="",E421=0)),"",(IF(E421=1,30,IF(E421=2,20,IF(E421=3,10,IF(E421&lt;&gt;"",1,0))))+IF(F421=1,30,IF(F421=2,20,IF(F421=3,10,IF(F421&lt;&gt;"",1,0))))+IF(G421=1,30,IF(G421=2,20,IF(G421=3,10,IF(G421&lt;&gt;"",1,0))))+IF(H421=1,30,IF(H421=2,20,IF(H421=3,10,IF(H421&lt;&gt;"",1,0))))))</f>
        <v/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14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>
        <f>IF(AND(C422="",OR(E422="",E422=0)),"",(IF(E422=1,30,IF(E422=2,20,IF(E422=3,10,IF(E422&lt;&gt;"",1,0))))+IF(F422=1,30,IF(F422=2,20,IF(F422=3,10,IF(F422&lt;&gt;"",1,0))))+IF(G422=1,30,IF(G422=2,20,IF(G422=3,10,IF(G422&lt;&gt;"",1,0))))+IF(H422=1,30,IF(H422=2,20,IF(H422=3,10,IF(H422&lt;&gt;"",1,0))))))</f>
        <v/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14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>
        <f>IF(AND(C423="",OR(E423="",E423=0)),"",(IF(E423=1,30,IF(E423=2,20,IF(E423=3,10,IF(E423&lt;&gt;"",1,0))))+IF(F423=1,30,IF(F423=2,20,IF(F423=3,10,IF(F423&lt;&gt;"",1,0))))+IF(G423=1,30,IF(G423=2,20,IF(G423=3,10,IF(G423&lt;&gt;"",1,0))))+IF(H423=1,30,IF(H423=2,20,IF(H423=3,10,IF(H423&lt;&gt;"",1,0)))))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14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>
        <f>IF(AND(C424="",OR(E424="",E424=0)),"",(IF(E424=1,30,IF(E424=2,20,IF(E424=3,10,IF(E424&lt;&gt;"",1,0))))+IF(F424=1,30,IF(F424=2,20,IF(F424=3,10,IF(F424&lt;&gt;"",1,0))))+IF(G424=1,30,IF(G424=2,20,IF(G424=3,10,IF(G424&lt;&gt;"",1,0))))+IF(H424=1,30,IF(H424=2,20,IF(H424=3,10,IF(H424&lt;&gt;"",1,0))))))</f>
        <v/>
      </c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14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>
        <f>IF(AND(C425="",OR(E425="",E425=0)),"",(IF(E425=1,30,IF(E425=2,20,IF(E425=3,10,IF(E425&lt;&gt;"",1,0))))+IF(F425=1,30,IF(F425=2,20,IF(F425=3,10,IF(F425&lt;&gt;"",1,0))))+IF(G425=1,30,IF(G425=2,20,IF(G425=3,10,IF(G425&lt;&gt;"",1,0))))+IF(H425=1,30,IF(H425=2,20,IF(H425=3,10,IF(H425&lt;&gt;"",1,0))))))</f>
        <v/>
      </c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14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>
        <f>IF(AND(C426="",OR(E426="",E426=0)),"",(IF(E426=1,30,IF(E426=2,20,IF(E426=3,10,IF(E426&lt;&gt;"",1,0))))+IF(F426=1,30,IF(F426=2,20,IF(F426=3,10,IF(F426&lt;&gt;"",1,0))))+IF(G426=1,30,IF(G426=2,20,IF(G426=3,10,IF(G426&lt;&gt;"",1,0))))+IF(H426=1,30,IF(H426=2,20,IF(H426=3,10,IF(H426&lt;&gt;"",1,0))))))</f>
        <v/>
      </c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14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>
        <f>IF(AND(C427="",OR(E427="",E427=0)),"",(IF(E427=1,30,IF(E427=2,20,IF(E427=3,10,IF(E427&lt;&gt;"",1,0))))+IF(F427=1,30,IF(F427=2,20,IF(F427=3,10,IF(F427&lt;&gt;"",1,0))))+IF(G427=1,30,IF(G427=2,20,IF(G427=3,10,IF(G427&lt;&gt;"",1,0))))+IF(H427=1,30,IF(H427=2,20,IF(H427=3,10,IF(H427&lt;&gt;"",1,0))))))</f>
        <v/>
      </c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14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>
        <f>IF(AND(C428="",OR(E428="",E428=0)),"",(IF(E428=1,30,IF(E428=2,20,IF(E428=3,10,IF(E428&lt;&gt;"",1,0))))+IF(F428=1,30,IF(F428=2,20,IF(F428=3,10,IF(F428&lt;&gt;"",1,0))))+IF(G428=1,30,IF(G428=2,20,IF(G428=3,10,IF(G428&lt;&gt;"",1,0))))+IF(H428=1,30,IF(H428=2,20,IF(H428=3,10,IF(H428&lt;&gt;"",1,0)))))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14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>
        <f>IF(AND(C429="",OR(E429="",E429=0)),"",(IF(E429=1,30,IF(E429=2,20,IF(E429=3,10,IF(E429&lt;&gt;"",1,0))))+IF(F429=1,30,IF(F429=2,20,IF(F429=3,10,IF(F429&lt;&gt;"",1,0))))+IF(G429=1,30,IF(G429=2,20,IF(G429=3,10,IF(G429&lt;&gt;"",1,0))))+IF(H429=1,30,IF(H429=2,20,IF(H429=3,10,IF(H429&lt;&gt;"",1,0))))))</f>
        <v/>
      </c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14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>
        <f>IF(AND(C430="",OR(E430="",E430=0)),"",(IF(E430=1,30,IF(E430=2,20,IF(E430=3,10,IF(E430&lt;&gt;"",1,0))))+IF(F430=1,30,IF(F430=2,20,IF(F430=3,10,IF(F430&lt;&gt;"",1,0))))+IF(G430=1,30,IF(G430=2,20,IF(G430=3,10,IF(G430&lt;&gt;"",1,0))))+IF(H430=1,30,IF(H430=2,20,IF(H430=3,10,IF(H430&lt;&gt;"",1,0))))))</f>
        <v/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14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>
        <f>IF(AND(C431="",OR(E431="",E431=0)),"",(IF(E431=1,30,IF(E431=2,20,IF(E431=3,10,IF(E431&lt;&gt;"",1,0))))+IF(F431=1,30,IF(F431=2,20,IF(F431=3,10,IF(F431&lt;&gt;"",1,0))))+IF(G431=1,30,IF(G431=2,20,IF(G431=3,10,IF(G431&lt;&gt;"",1,0))))+IF(H431=1,30,IF(H431=2,20,IF(H431=3,10,IF(H431&lt;&gt;"",1,0))))))</f>
        <v/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14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>
        <f>IF(AND(C432="",OR(E432="",E432=0)),"",(IF(E432=1,30,IF(E432=2,20,IF(E432=3,10,IF(E432&lt;&gt;"",1,0))))+IF(F432=1,30,IF(F432=2,20,IF(F432=3,10,IF(F432&lt;&gt;"",1,0))))+IF(G432=1,30,IF(G432=2,20,IF(G432=3,10,IF(G432&lt;&gt;"",1,0))))+IF(H432=1,30,IF(H432=2,20,IF(H432=3,10,IF(H432&lt;&gt;"",1,0)))))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14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>
        <f>IF(AND(C433="",OR(E433="",E433=0)),"",(IF(E433=1,30,IF(E433=2,20,IF(E433=3,10,IF(E433&lt;&gt;"",1,0))))+IF(F433=1,30,IF(F433=2,20,IF(F433=3,10,IF(F433&lt;&gt;"",1,0))))+IF(G433=1,30,IF(G433=2,20,IF(G433=3,10,IF(G433&lt;&gt;"",1,0))))+IF(H433=1,30,IF(H433=2,20,IF(H433=3,10,IF(H433&lt;&gt;"",1,0))))))</f>
        <v/>
      </c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14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>
        <f>IF(AND(C434="",OR(E434="",E434=0)),"",(IF(E434=1,30,IF(E434=2,20,IF(E434=3,10,IF(E434&lt;&gt;"",1,0))))+IF(F434=1,30,IF(F434=2,20,IF(F434=3,10,IF(F434&lt;&gt;"",1,0))))+IF(G434=1,30,IF(G434=2,20,IF(G434=3,10,IF(G434&lt;&gt;"",1,0))))+IF(H434=1,30,IF(H434=2,20,IF(H434=3,10,IF(H434&lt;&gt;"",1,0))))))</f>
        <v/>
      </c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14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>
        <f>IF(AND(C435="",OR(E435="",E435=0)),"",(IF(E435=1,30,IF(E435=2,20,IF(E435=3,10,IF(E435&lt;&gt;"",1,0))))+IF(F435=1,30,IF(F435=2,20,IF(F435=3,10,IF(F435&lt;&gt;"",1,0))))+IF(G435=1,30,IF(G435=2,20,IF(G435=3,10,IF(G435&lt;&gt;"",1,0))))+IF(H435=1,30,IF(H435=2,20,IF(H435=3,10,IF(H435&lt;&gt;"",1,0))))))</f>
        <v/>
      </c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14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>
        <f>IF(AND(C436="",OR(E436="",E436=0)),"",(IF(E436=1,30,IF(E436=2,20,IF(E436=3,10,IF(E436&lt;&gt;"",1,0))))+IF(F436=1,30,IF(F436=2,20,IF(F436=3,10,IF(F436&lt;&gt;"",1,0))))+IF(G436=1,30,IF(G436=2,20,IF(G436=3,10,IF(G436&lt;&gt;"",1,0))))+IF(H436=1,30,IF(H436=2,20,IF(H436=3,10,IF(H436&lt;&gt;"",1,0))))))</f>
        <v/>
      </c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14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>
        <f>IF(AND(C437="",OR(E437="",E437=0)),"",(IF(E437=1,30,IF(E437=2,20,IF(E437=3,10,IF(E437&lt;&gt;"",1,0))))+IF(F437=1,30,IF(F437=2,20,IF(F437=3,10,IF(F437&lt;&gt;"",1,0))))+IF(G437=1,30,IF(G437=2,20,IF(G437=3,10,IF(G437&lt;&gt;"",1,0))))+IF(H437=1,30,IF(H437=2,20,IF(H437=3,10,IF(H437&lt;&gt;"",1,0)))))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14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>
        <f>IF(AND(C438="",OR(E438="",E438=0)),"",(IF(E438=1,30,IF(E438=2,20,IF(E438=3,10,IF(E438&lt;&gt;"",1,0))))+IF(F438=1,30,IF(F438=2,20,IF(F438=3,10,IF(F438&lt;&gt;"",1,0))))+IF(G438=1,30,IF(G438=2,20,IF(G438=3,10,IF(G438&lt;&gt;"",1,0))))+IF(H438=1,30,IF(H438=2,20,IF(H438=3,10,IF(H438&lt;&gt;"",1,0))))))</f>
        <v/>
      </c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14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>
        <f>IF(AND(C439="",OR(E439="",E439=0)),"",(IF(E439=1,30,IF(E439=2,20,IF(E439=3,10,IF(E439&lt;&gt;"",1,0))))+IF(F439=1,30,IF(F439=2,20,IF(F439=3,10,IF(F439&lt;&gt;"",1,0))))+IF(G439=1,30,IF(G439=2,20,IF(G439=3,10,IF(G439&lt;&gt;"",1,0))))+IF(H439=1,30,IF(H439=2,20,IF(H439=3,10,IF(H439&lt;&gt;"",1,0))))))</f>
        <v/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14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>
        <f>IF(AND(C440="",OR(E440="",E440=0)),"",(IF(E440=1,30,IF(E440=2,20,IF(E440=3,10,IF(E440&lt;&gt;"",1,0))))+IF(F440=1,30,IF(F440=2,20,IF(F440=3,10,IF(F440&lt;&gt;"",1,0))))+IF(G440=1,30,IF(G440=2,20,IF(G440=3,10,IF(G440&lt;&gt;"",1,0))))+IF(H440=1,30,IF(H440=2,20,IF(H440=3,10,IF(H440&lt;&gt;"",1,0))))))</f>
        <v/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14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>
        <f>IF(AND(C441="",OR(E441="",E441=0)),"",(IF(E441=1,30,IF(E441=2,20,IF(E441=3,10,IF(E441&lt;&gt;"",1,0))))+IF(F441=1,30,IF(F441=2,20,IF(F441=3,10,IF(F441&lt;&gt;"",1,0))))+IF(G441=1,30,IF(G441=2,20,IF(G441=3,10,IF(G441&lt;&gt;"",1,0))))+IF(H441=1,30,IF(H441=2,20,IF(H441=3,10,IF(H441&lt;&gt;"",1,0)))))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14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>
        <f>IF(AND(C442="",OR(E442="",E442=0)),"",(IF(E442=1,30,IF(E442=2,20,IF(E442=3,10,IF(E442&lt;&gt;"",1,0))))+IF(F442=1,30,IF(F442=2,20,IF(F442=3,10,IF(F442&lt;&gt;"",1,0))))+IF(G442=1,30,IF(G442=2,20,IF(G442=3,10,IF(G442&lt;&gt;"",1,0))))+IF(H442=1,30,IF(H442=2,20,IF(H442=3,10,IF(H442&lt;&gt;"",1,0))))))</f>
        <v/>
      </c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1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>
        <f>IF(AND(C443="",OR(E443="",E443=0)),"",(IF(E443=1,30,IF(E443=2,20,IF(E443=3,10,IF(E443&lt;&gt;"",1,0))))+IF(F443=1,30,IF(F443=2,20,IF(F443=3,10,IF(F443&lt;&gt;"",1,0))))+IF(G443=1,30,IF(G443=2,20,IF(G443=3,10,IF(G443&lt;&gt;"",1,0))))+IF(H443=1,30,IF(H443=2,20,IF(H443=3,10,IF(H443&lt;&gt;"",1,0))))))</f>
        <v/>
      </c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14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>
        <f>IF(AND(C444="",OR(E444="",E444=0)),"",(IF(E444=1,30,IF(E444=2,20,IF(E444=3,10,IF(E444&lt;&gt;"",1,0))))+IF(F444=1,30,IF(F444=2,20,IF(F444=3,10,IF(F444&lt;&gt;"",1,0))))+IF(G444=1,30,IF(G444=2,20,IF(G444=3,10,IF(G444&lt;&gt;"",1,0))))+IF(H444=1,30,IF(H444=2,20,IF(H444=3,10,IF(H444&lt;&gt;"",1,0))))))</f>
        <v/>
      </c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14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>
        <f>IF(AND(C445="",OR(E445="",E445=0)),"",(IF(E445=1,30,IF(E445=2,20,IF(E445=3,10,IF(E445&lt;&gt;"",1,0))))+IF(F445=1,30,IF(F445=2,20,IF(F445=3,10,IF(F445&lt;&gt;"",1,0))))+IF(G445=1,30,IF(G445=2,20,IF(G445=3,10,IF(G445&lt;&gt;"",1,0))))+IF(H445=1,30,IF(H445=2,20,IF(H445=3,10,IF(H445&lt;&gt;"",1,0))))))</f>
        <v/>
      </c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14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>
        <f>IF(AND(C446="",OR(E446="",E446=0)),"",(IF(E446=1,30,IF(E446=2,20,IF(E446=3,10,IF(E446&lt;&gt;"",1,0))))+IF(F446=1,30,IF(F446=2,20,IF(F446=3,10,IF(F446&lt;&gt;"",1,0))))+IF(G446=1,30,IF(G446=2,20,IF(G446=3,10,IF(G446&lt;&gt;"",1,0))))+IF(H446=1,30,IF(H446=2,20,IF(H446=3,10,IF(H446&lt;&gt;"",1,0)))))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14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>
        <f>IF(AND(C447="",OR(E447="",E447=0)),"",(IF(E447=1,30,IF(E447=2,20,IF(E447=3,10,IF(E447&lt;&gt;"",1,0))))+IF(F447=1,30,IF(F447=2,20,IF(F447=3,10,IF(F447&lt;&gt;"",1,0))))+IF(G447=1,30,IF(G447=2,20,IF(G447=3,10,IF(G447&lt;&gt;"",1,0))))+IF(H447=1,30,IF(H447=2,20,IF(H447=3,10,IF(H447&lt;&gt;"",1,0))))))</f>
        <v/>
      </c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14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>
        <f>IF(AND(C448="",OR(E448="",E448=0)),"",(IF(E448=1,30,IF(E448=2,20,IF(E448=3,10,IF(E448&lt;&gt;"",1,0))))+IF(F448=1,30,IF(F448=2,20,IF(F448=3,10,IF(F448&lt;&gt;"",1,0))))+IF(G448=1,30,IF(G448=2,20,IF(G448=3,10,IF(G448&lt;&gt;"",1,0))))+IF(H448=1,30,IF(H448=2,20,IF(H448=3,10,IF(H448&lt;&gt;"",1,0))))))</f>
        <v/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14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>
        <f>IF(AND(C449="",OR(E449="",E449=0)),"",(IF(E449=1,30,IF(E449=2,20,IF(E449=3,10,IF(E449&lt;&gt;"",1,0))))+IF(F449=1,30,IF(F449=2,20,IF(F449=3,10,IF(F449&lt;&gt;"",1,0))))+IF(G449=1,30,IF(G449=2,20,IF(G449=3,10,IF(G449&lt;&gt;"",1,0))))+IF(H449=1,30,IF(H449=2,20,IF(H449=3,10,IF(H449&lt;&gt;"",1,0))))))</f>
        <v/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14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>
        <f>IF(AND(C450="",OR(E450="",E450=0)),"",(IF(E450=1,30,IF(E450=2,20,IF(E450=3,10,IF(E450&lt;&gt;"",1,0))))+IF(F450=1,30,IF(F450=2,20,IF(F450=3,10,IF(F450&lt;&gt;"",1,0))))+IF(G450=1,30,IF(G450=2,20,IF(G450=3,10,IF(G450&lt;&gt;"",1,0))))+IF(H450=1,30,IF(H450=2,20,IF(H450=3,10,IF(H450&lt;&gt;"",1,0)))))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14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>
        <f>IF(AND(C451="",OR(E451="",E451=0)),"",(IF(E451=1,30,IF(E451=2,20,IF(E451=3,10,IF(E451&lt;&gt;"",1,0))))+IF(F451=1,30,IF(F451=2,20,IF(F451=3,10,IF(F451&lt;&gt;"",1,0))))+IF(G451=1,30,IF(G451=2,20,IF(G451=3,10,IF(G451&lt;&gt;"",1,0))))+IF(H451=1,30,IF(H451=2,20,IF(H451=3,10,IF(H451&lt;&gt;"",1,0))))))</f>
        <v/>
      </c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14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>
        <f>IF(AND(C452="",OR(E452="",E452=0)),"",(IF(E452=1,30,IF(E452=2,20,IF(E452=3,10,IF(E452&lt;&gt;"",1,0))))+IF(F452=1,30,IF(F452=2,20,IF(F452=3,10,IF(F452&lt;&gt;"",1,0))))+IF(G452=1,30,IF(G452=2,20,IF(G452=3,10,IF(G452&lt;&gt;"",1,0))))+IF(H452=1,30,IF(H452=2,20,IF(H452=3,10,IF(H452&lt;&gt;"",1,0))))))</f>
        <v/>
      </c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14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>
        <f>IF(AND(C453="",OR(E453="",E453=0)),"",(IF(E453=1,30,IF(E453=2,20,IF(E453=3,10,IF(E453&lt;&gt;"",1,0))))+IF(F453=1,30,IF(F453=2,20,IF(F453=3,10,IF(F453&lt;&gt;"",1,0))))+IF(G453=1,30,IF(G453=2,20,IF(G453=3,10,IF(G453&lt;&gt;"",1,0))))+IF(H453=1,30,IF(H453=2,20,IF(H453=3,10,IF(H453&lt;&gt;"",1,0))))))</f>
        <v/>
      </c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14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>
        <f>IF(AND(C454="",OR(E454="",E454=0)),"",(IF(E454=1,30,IF(E454=2,20,IF(E454=3,10,IF(E454&lt;&gt;"",1,0))))+IF(F454=1,30,IF(F454=2,20,IF(F454=3,10,IF(F454&lt;&gt;"",1,0))))+IF(G454=1,30,IF(G454=2,20,IF(G454=3,10,IF(G454&lt;&gt;"",1,0))))+IF(H454=1,30,IF(H454=2,20,IF(H454=3,10,IF(H454&lt;&gt;"",1,0))))))</f>
        <v/>
      </c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14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>
        <f>IF(AND(C455="",OR(E455="",E455=0)),"",(IF(E455=1,30,IF(E455=2,20,IF(E455=3,10,IF(E455&lt;&gt;"",1,0))))+IF(F455=1,30,IF(F455=2,20,IF(F455=3,10,IF(F455&lt;&gt;"",1,0))))+IF(G455=1,30,IF(G455=2,20,IF(G455=3,10,IF(G455&lt;&gt;"",1,0))))+IF(H455=1,30,IF(H455=2,20,IF(H455=3,10,IF(H455&lt;&gt;"",1,0)))))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14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>
        <f>IF(AND(C456="",OR(E456="",E456=0)),"",(IF(E456=1,30,IF(E456=2,20,IF(E456=3,10,IF(E456&lt;&gt;"",1,0))))+IF(F456=1,30,IF(F456=2,20,IF(F456=3,10,IF(F456&lt;&gt;"",1,0))))+IF(G456=1,30,IF(G456=2,20,IF(G456=3,10,IF(G456&lt;&gt;"",1,0))))+IF(H456=1,30,IF(H456=2,20,IF(H456=3,10,IF(H456&lt;&gt;"",1,0))))))</f>
        <v/>
      </c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14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>
        <f>IF(AND(C457="",OR(E457="",E457=0)),"",(IF(E457=1,30,IF(E457=2,20,IF(E457=3,10,IF(E457&lt;&gt;"",1,0))))+IF(F457=1,30,IF(F457=2,20,IF(F457=3,10,IF(F457&lt;&gt;"",1,0))))+IF(G457=1,30,IF(G457=2,20,IF(G457=3,10,IF(G457&lt;&gt;"",1,0))))+IF(H457=1,30,IF(H457=2,20,IF(H457=3,10,IF(H457&lt;&gt;"",1,0))))))</f>
        <v/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14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>
        <f>IF(AND(C458="",OR(E458="",E458=0)),"",(IF(E458=1,30,IF(E458=2,20,IF(E458=3,10,IF(E458&lt;&gt;"",1,0))))+IF(F458=1,30,IF(F458=2,20,IF(F458=3,10,IF(F458&lt;&gt;"",1,0))))+IF(G458=1,30,IF(G458=2,20,IF(G458=3,10,IF(G458&lt;&gt;"",1,0))))+IF(H458=1,30,IF(H458=2,20,IF(H458=3,10,IF(H458&lt;&gt;"",1,0))))))</f>
        <v/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14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>
        <f>IF(AND(C459="",OR(E459="",E459=0)),"",(IF(E459=1,30,IF(E459=2,20,IF(E459=3,10,IF(E459&lt;&gt;"",1,0))))+IF(F459=1,30,IF(F459=2,20,IF(F459=3,10,IF(F459&lt;&gt;"",1,0))))+IF(G459=1,30,IF(G459=2,20,IF(G459=3,10,IF(G459&lt;&gt;"",1,0))))+IF(H459=1,30,IF(H459=2,20,IF(H459=3,10,IF(H459&lt;&gt;"",1,0)))))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14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>
        <f>IF(AND(C460="",OR(E460="",E460=0)),"",(IF(E460=1,30,IF(E460=2,20,IF(E460=3,10,IF(E460&lt;&gt;"",1,0))))+IF(F460=1,30,IF(F460=2,20,IF(F460=3,10,IF(F460&lt;&gt;"",1,0))))+IF(G460=1,30,IF(G460=2,20,IF(G460=3,10,IF(G460&lt;&gt;"",1,0))))+IF(H460=1,30,IF(H460=2,20,IF(H460=3,10,IF(H460&lt;&gt;"",1,0))))))</f>
        <v/>
      </c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14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>
        <f>IF(AND(C461="",OR(E461="",E461=0)),"",(IF(E461=1,30,IF(E461=2,20,IF(E461=3,10,IF(E461&lt;&gt;"",1,0))))+IF(F461=1,30,IF(F461=2,20,IF(F461=3,10,IF(F461&lt;&gt;"",1,0))))+IF(G461=1,30,IF(G461=2,20,IF(G461=3,10,IF(G461&lt;&gt;"",1,0))))+IF(H461=1,30,IF(H461=2,20,IF(H461=3,10,IF(H461&lt;&gt;"",1,0))))))</f>
        <v/>
      </c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14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>
        <f>IF(AND(C462="",OR(E462="",E462=0)),"",(IF(E462=1,30,IF(E462=2,20,IF(E462=3,10,IF(E462&lt;&gt;"",1,0))))+IF(F462=1,30,IF(F462=2,20,IF(F462=3,10,IF(F462&lt;&gt;"",1,0))))+IF(G462=1,30,IF(G462=2,20,IF(G462=3,10,IF(G462&lt;&gt;"",1,0))))+IF(H462=1,30,IF(H462=2,20,IF(H462=3,10,IF(H462&lt;&gt;"",1,0))))))</f>
        <v/>
      </c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14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>
        <f>IF(AND(C463="",OR(E463="",E463=0)),"",(IF(E463=1,30,IF(E463=2,20,IF(E463=3,10,IF(E463&lt;&gt;"",1,0))))+IF(F463=1,30,IF(F463=2,20,IF(F463=3,10,IF(F463&lt;&gt;"",1,0))))+IF(G463=1,30,IF(G463=2,20,IF(G463=3,10,IF(G463&lt;&gt;"",1,0))))+IF(H463=1,30,IF(H463=2,20,IF(H463=3,10,IF(H463&lt;&gt;"",1,0))))))</f>
        <v/>
      </c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14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>
        <f>IF(AND(C464="",OR(E464="",E464=0)),"",(IF(E464=1,30,IF(E464=2,20,IF(E464=3,10,IF(E464&lt;&gt;"",1,0))))+IF(F464=1,30,IF(F464=2,20,IF(F464=3,10,IF(F464&lt;&gt;"",1,0))))+IF(G464=1,30,IF(G464=2,20,IF(G464=3,10,IF(G464&lt;&gt;"",1,0))))+IF(H464=1,30,IF(H464=2,20,IF(H464=3,10,IF(H464&lt;&gt;"",1,0)))))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14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>
        <f>IF(AND(C465="",OR(E465="",E465=0)),"",(IF(E465=1,30,IF(E465=2,20,IF(E465=3,10,IF(E465&lt;&gt;"",1,0))))+IF(F465=1,30,IF(F465=2,20,IF(F465=3,10,IF(F465&lt;&gt;"",1,0))))+IF(G465=1,30,IF(G465=2,20,IF(G465=3,10,IF(G465&lt;&gt;"",1,0))))+IF(H465=1,30,IF(H465=2,20,IF(H465=3,10,IF(H465&lt;&gt;"",1,0))))))</f>
        <v/>
      </c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14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>
        <f>IF(AND(C466="",OR(E466="",E466=0)),"",(IF(E466=1,30,IF(E466=2,20,IF(E466=3,10,IF(E466&lt;&gt;"",1,0))))+IF(F466=1,30,IF(F466=2,20,IF(F466=3,10,IF(F466&lt;&gt;"",1,0))))+IF(G466=1,30,IF(G466=2,20,IF(G466=3,10,IF(G466&lt;&gt;"",1,0))))+IF(H466=1,30,IF(H466=2,20,IF(H466=3,10,IF(H466&lt;&gt;"",1,0))))))</f>
        <v/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14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>
        <f>IF(AND(C467="",OR(E467="",E467=0)),"",(IF(E467=1,30,IF(E467=2,20,IF(E467=3,10,IF(E467&lt;&gt;"",1,0))))+IF(F467=1,30,IF(F467=2,20,IF(F467=3,10,IF(F467&lt;&gt;"",1,0))))+IF(G467=1,30,IF(G467=2,20,IF(G467=3,10,IF(G467&lt;&gt;"",1,0))))+IF(H467=1,30,IF(H467=2,20,IF(H467=3,10,IF(H467&lt;&gt;"",1,0))))))</f>
        <v/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14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>
        <f>IF(AND(C468="",OR(E468="",E468=0)),"",(IF(E468=1,30,IF(E468=2,20,IF(E468=3,10,IF(E468&lt;&gt;"",1,0))))+IF(F468=1,30,IF(F468=2,20,IF(F468=3,10,IF(F468&lt;&gt;"",1,0))))+IF(G468=1,30,IF(G468=2,20,IF(G468=3,10,IF(G468&lt;&gt;"",1,0))))+IF(H468=1,30,IF(H468=2,20,IF(H468=3,10,IF(H468&lt;&gt;"",1,0)))))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14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>
        <f>IF(AND(C469="",OR(E469="",E469=0)),"",(IF(E469=1,30,IF(E469=2,20,IF(E469=3,10,IF(E469&lt;&gt;"",1,0))))+IF(F469=1,30,IF(F469=2,20,IF(F469=3,10,IF(F469&lt;&gt;"",1,0))))+IF(G469=1,30,IF(G469=2,20,IF(G469=3,10,IF(G469&lt;&gt;"",1,0))))+IF(H469=1,30,IF(H469=2,20,IF(H469=3,10,IF(H469&lt;&gt;"",1,0))))))</f>
        <v/>
      </c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14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>
        <f>IF(AND(C470="",OR(E470="",E470=0)),"",(IF(E470=1,30,IF(E470=2,20,IF(E470=3,10,IF(E470&lt;&gt;"",1,0))))+IF(F470=1,30,IF(F470=2,20,IF(F470=3,10,IF(F470&lt;&gt;"",1,0))))+IF(G470=1,30,IF(G470=2,20,IF(G470=3,10,IF(G470&lt;&gt;"",1,0))))+IF(H470=1,30,IF(H470=2,20,IF(H470=3,10,IF(H470&lt;&gt;"",1,0))))))</f>
        <v/>
      </c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14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>
        <f>IF(AND(C471="",OR(E471="",E471=0)),"",(IF(E471=1,30,IF(E471=2,20,IF(E471=3,10,IF(E471&lt;&gt;"",1,0))))+IF(F471=1,30,IF(F471=2,20,IF(F471=3,10,IF(F471&lt;&gt;"",1,0))))+IF(G471=1,30,IF(G471=2,20,IF(G471=3,10,IF(G471&lt;&gt;"",1,0))))+IF(H471=1,30,IF(H471=2,20,IF(H471=3,10,IF(H471&lt;&gt;"",1,0))))))</f>
        <v/>
      </c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14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>
        <f>IF(AND(C472="",OR(E472="",E472=0)),"",(IF(E472=1,30,IF(E472=2,20,IF(E472=3,10,IF(E472&lt;&gt;"",1,0))))+IF(F472=1,30,IF(F472=2,20,IF(F472=3,10,IF(F472&lt;&gt;"",1,0))))+IF(G472=1,30,IF(G472=2,20,IF(G472=3,10,IF(G472&lt;&gt;"",1,0))))+IF(H472=1,30,IF(H472=2,20,IF(H472=3,10,IF(H472&lt;&gt;"",1,0))))))</f>
        <v/>
      </c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14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>
        <f>IF(AND(C473="",OR(E473="",E473=0)),"",(IF(E473=1,30,IF(E473=2,20,IF(E473=3,10,IF(E473&lt;&gt;"",1,0))))+IF(F473=1,30,IF(F473=2,20,IF(F473=3,10,IF(F473&lt;&gt;"",1,0))))+IF(G473=1,30,IF(G473=2,20,IF(G473=3,10,IF(G473&lt;&gt;"",1,0))))+IF(H473=1,30,IF(H473=2,20,IF(H473=3,10,IF(H473&lt;&gt;"",1,0)))))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14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>
        <f>IF(AND(C474="",OR(E474="",E474=0)),"",(IF(E474=1,30,IF(E474=2,20,IF(E474=3,10,IF(E474&lt;&gt;"",1,0))))+IF(F474=1,30,IF(F474=2,20,IF(F474=3,10,IF(F474&lt;&gt;"",1,0))))+IF(G474=1,30,IF(G474=2,20,IF(G474=3,10,IF(G474&lt;&gt;"",1,0))))+IF(H474=1,30,IF(H474=2,20,IF(H474=3,10,IF(H474&lt;&gt;"",1,0))))))</f>
        <v/>
      </c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14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>
        <f>IF(AND(C475="",OR(E475="",E475=0)),"",(IF(E475=1,30,IF(E475=2,20,IF(E475=3,10,IF(E475&lt;&gt;"",1,0))))+IF(F475=1,30,IF(F475=2,20,IF(F475=3,10,IF(F475&lt;&gt;"",1,0))))+IF(G475=1,30,IF(G475=2,20,IF(G475=3,10,IF(G475&lt;&gt;"",1,0))))+IF(H475=1,30,IF(H475=2,20,IF(H475=3,10,IF(H475&lt;&gt;"",1,0))))))</f>
        <v/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14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>
        <f>IF(AND(C476="",OR(E476="",E476=0)),"",(IF(E476=1,30,IF(E476=2,20,IF(E476=3,10,IF(E476&lt;&gt;"",1,0))))+IF(F476=1,30,IF(F476=2,20,IF(F476=3,10,IF(F476&lt;&gt;"",1,0))))+IF(G476=1,30,IF(G476=2,20,IF(G476=3,10,IF(G476&lt;&gt;"",1,0))))+IF(H476=1,30,IF(H476=2,20,IF(H476=3,10,IF(H476&lt;&gt;"",1,0))))))</f>
        <v/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14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>
        <f>IF(AND(C477="",OR(E477="",E477=0)),"",(IF(E477=1,30,IF(E477=2,20,IF(E477=3,10,IF(E477&lt;&gt;"",1,0))))+IF(F477=1,30,IF(F477=2,20,IF(F477=3,10,IF(F477&lt;&gt;"",1,0))))+IF(G477=1,30,IF(G477=2,20,IF(G477=3,10,IF(G477&lt;&gt;"",1,0))))+IF(H477=1,30,IF(H477=2,20,IF(H477=3,10,IF(H477&lt;&gt;"",1,0)))))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14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>
        <f>IF(AND(C478="",OR(E478="",E478=0)),"",(IF(E478=1,30,IF(E478=2,20,IF(E478=3,10,IF(E478&lt;&gt;"",1,0))))+IF(F478=1,30,IF(F478=2,20,IF(F478=3,10,IF(F478&lt;&gt;"",1,0))))+IF(G478=1,30,IF(G478=2,20,IF(G478=3,10,IF(G478&lt;&gt;"",1,0))))+IF(H478=1,30,IF(H478=2,20,IF(H478=3,10,IF(H478&lt;&gt;"",1,0))))))</f>
        <v/>
      </c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14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>
        <f>IF(AND(C479="",OR(E479="",E479=0)),"",(IF(E479=1,30,IF(E479=2,20,IF(E479=3,10,IF(E479&lt;&gt;"",1,0))))+IF(F479=1,30,IF(F479=2,20,IF(F479=3,10,IF(F479&lt;&gt;"",1,0))))+IF(G479=1,30,IF(G479=2,20,IF(G479=3,10,IF(G479&lt;&gt;"",1,0))))+IF(H479=1,30,IF(H479=2,20,IF(H479=3,10,IF(H479&lt;&gt;"",1,0))))))</f>
        <v/>
      </c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14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>
        <f>IF(AND(C480="",OR(E480="",E480=0)),"",(IF(E480=1,30,IF(E480=2,20,IF(E480=3,10,IF(E480&lt;&gt;"",1,0))))+IF(F480=1,30,IF(F480=2,20,IF(F480=3,10,IF(F480&lt;&gt;"",1,0))))+IF(G480=1,30,IF(G480=2,20,IF(G480=3,10,IF(G480&lt;&gt;"",1,0))))+IF(H480=1,30,IF(H480=2,20,IF(H480=3,10,IF(H480&lt;&gt;"",1,0))))))</f>
        <v/>
      </c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14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>
        <f>IF(AND(C481="",OR(E481="",E481=0)),"",(IF(E481=1,30,IF(E481=2,20,IF(E481=3,10,IF(E481&lt;&gt;"",1,0))))+IF(F481=1,30,IF(F481=2,20,IF(F481=3,10,IF(F481&lt;&gt;"",1,0))))+IF(G481=1,30,IF(G481=2,20,IF(G481=3,10,IF(G481&lt;&gt;"",1,0))))+IF(H481=1,30,IF(H481=2,20,IF(H481=3,10,IF(H481&lt;&gt;"",1,0))))))</f>
        <v/>
      </c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14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>
        <f>IF(AND(C482="",OR(E482="",E482=0)),"",(IF(E482=1,30,IF(E482=2,20,IF(E482=3,10,IF(E482&lt;&gt;"",1,0))))+IF(F482=1,30,IF(F482=2,20,IF(F482=3,10,IF(F482&lt;&gt;"",1,0))))+IF(G482=1,30,IF(G482=2,20,IF(G482=3,10,IF(G482&lt;&gt;"",1,0))))+IF(H482=1,30,IF(H482=2,20,IF(H482=3,10,IF(H482&lt;&gt;"",1,0)))))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14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>
        <f>IF(AND(C483="",OR(E483="",E483=0)),"",(IF(E483=1,30,IF(E483=2,20,IF(E483=3,10,IF(E483&lt;&gt;"",1,0))))+IF(F483=1,30,IF(F483=2,20,IF(F483=3,10,IF(F483&lt;&gt;"",1,0))))+IF(G483=1,30,IF(G483=2,20,IF(G483=3,10,IF(G483&lt;&gt;"",1,0))))+IF(H483=1,30,IF(H483=2,20,IF(H483=3,10,IF(H483&lt;&gt;"",1,0))))))</f>
        <v/>
      </c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14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>
        <f>IF(AND(C484="",OR(E484="",E484=0)),"",(IF(E484=1,30,IF(E484=2,20,IF(E484=3,10,IF(E484&lt;&gt;"",1,0))))+IF(F484=1,30,IF(F484=2,20,IF(F484=3,10,IF(F484&lt;&gt;"",1,0))))+IF(G484=1,30,IF(G484=2,20,IF(G484=3,10,IF(G484&lt;&gt;"",1,0))))+IF(H484=1,30,IF(H484=2,20,IF(H484=3,10,IF(H484&lt;&gt;"",1,0))))))</f>
        <v/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14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>
        <f>IF(AND(C485="",OR(E485="",E485=0)),"",(IF(E485=1,30,IF(E485=2,20,IF(E485=3,10,IF(E485&lt;&gt;"",1,0))))+IF(F485=1,30,IF(F485=2,20,IF(F485=3,10,IF(F485&lt;&gt;"",1,0))))+IF(G485=1,30,IF(G485=2,20,IF(G485=3,10,IF(G485&lt;&gt;"",1,0))))+IF(H485=1,30,IF(H485=2,20,IF(H485=3,10,IF(H485&lt;&gt;"",1,0))))))</f>
        <v/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14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>
        <f>IF(AND(C486="",OR(E486="",E486=0)),"",(IF(E486=1,30,IF(E486=2,20,IF(E486=3,10,IF(E486&lt;&gt;"",1,0))))+IF(F486=1,30,IF(F486=2,20,IF(F486=3,10,IF(F486&lt;&gt;"",1,0))))+IF(G486=1,30,IF(G486=2,20,IF(G486=3,10,IF(G486&lt;&gt;"",1,0))))+IF(H486=1,30,IF(H486=2,20,IF(H486=3,10,IF(H486&lt;&gt;"",1,0)))))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14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>
        <f>IF(AND(C487="",OR(E487="",E487=0)),"",(IF(E487=1,30,IF(E487=2,20,IF(E487=3,10,IF(E487&lt;&gt;"",1,0))))+IF(F487=1,30,IF(F487=2,20,IF(F487=3,10,IF(F487&lt;&gt;"",1,0))))+IF(G487=1,30,IF(G487=2,20,IF(G487=3,10,IF(G487&lt;&gt;"",1,0))))+IF(H487=1,30,IF(H487=2,20,IF(H487=3,10,IF(H487&lt;&gt;"",1,0))))))</f>
        <v/>
      </c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14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>
        <f>IF(AND(C488="",OR(E488="",E488=0)),"",(IF(E488=1,30,IF(E488=2,20,IF(E488=3,10,IF(E488&lt;&gt;"",1,0))))+IF(F488=1,30,IF(F488=2,20,IF(F488=3,10,IF(F488&lt;&gt;"",1,0))))+IF(G488=1,30,IF(G488=2,20,IF(G488=3,10,IF(G488&lt;&gt;"",1,0))))+IF(H488=1,30,IF(H488=2,20,IF(H488=3,10,IF(H488&lt;&gt;"",1,0))))))</f>
        <v/>
      </c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14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>
        <f>IF(AND(C489="",OR(E489="",E489=0)),"",(IF(E489=1,30,IF(E489=2,20,IF(E489=3,10,IF(E489&lt;&gt;"",1,0))))+IF(F489=1,30,IF(F489=2,20,IF(F489=3,10,IF(F489&lt;&gt;"",1,0))))+IF(G489=1,30,IF(G489=2,20,IF(G489=3,10,IF(G489&lt;&gt;"",1,0))))+IF(H489=1,30,IF(H489=2,20,IF(H489=3,10,IF(H489&lt;&gt;"",1,0))))))</f>
        <v/>
      </c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14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>
        <f>IF(AND(C490="",OR(E490="",E490=0)),"",(IF(E490=1,30,IF(E490=2,20,IF(E490=3,10,IF(E490&lt;&gt;"",1,0))))+IF(F490=1,30,IF(F490=2,20,IF(F490=3,10,IF(F490&lt;&gt;"",1,0))))+IF(G490=1,30,IF(G490=2,20,IF(G490=3,10,IF(G490&lt;&gt;"",1,0))))+IF(H490=1,30,IF(H490=2,20,IF(H490=3,10,IF(H490&lt;&gt;"",1,0))))))</f>
        <v/>
      </c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14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>
        <f>IF(AND(C491="",OR(E491="",E491=0)),"",(IF(E491=1,30,IF(E491=2,20,IF(E491=3,10,IF(E491&lt;&gt;"",1,0))))+IF(F491=1,30,IF(F491=2,20,IF(F491=3,10,IF(F491&lt;&gt;"",1,0))))+IF(G491=1,30,IF(G491=2,20,IF(G491=3,10,IF(G491&lt;&gt;"",1,0))))+IF(H491=1,30,IF(H491=2,20,IF(H491=3,10,IF(H491&lt;&gt;"",1,0)))))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14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>
        <f>IF(AND(C492="",OR(E492="",E492=0)),"",(IF(E492=1,30,IF(E492=2,20,IF(E492=3,10,IF(E492&lt;&gt;"",1,0))))+IF(F492=1,30,IF(F492=2,20,IF(F492=3,10,IF(F492&lt;&gt;"",1,0))))+IF(G492=1,30,IF(G492=2,20,IF(G492=3,10,IF(G492&lt;&gt;"",1,0))))+IF(H492=1,30,IF(H492=2,20,IF(H492=3,10,IF(H492&lt;&gt;"",1,0))))))</f>
        <v/>
      </c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14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>
        <f>IF(AND(C493="",OR(E493="",E493=0)),"",(IF(E493=1,30,IF(E493=2,20,IF(E493=3,10,IF(E493&lt;&gt;"",1,0))))+IF(F493=1,30,IF(F493=2,20,IF(F493=3,10,IF(F493&lt;&gt;"",1,0))))+IF(G493=1,30,IF(G493=2,20,IF(G493=3,10,IF(G493&lt;&gt;"",1,0))))+IF(H493=1,30,IF(H493=2,20,IF(H493=3,10,IF(H493&lt;&gt;"",1,0))))))</f>
        <v/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14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>
        <f>IF(AND(C494="",OR(E494="",E494=0)),"",(IF(E494=1,30,IF(E494=2,20,IF(E494=3,10,IF(E494&lt;&gt;"",1,0))))+IF(F494=1,30,IF(F494=2,20,IF(F494=3,10,IF(F494&lt;&gt;"",1,0))))+IF(G494=1,30,IF(G494=2,20,IF(G494=3,10,IF(G494&lt;&gt;"",1,0))))+IF(H494=1,30,IF(H494=2,20,IF(H494=3,10,IF(H494&lt;&gt;"",1,0))))))</f>
        <v/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14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>
        <f>IF(AND(C495="",OR(E495="",E495=0)),"",(IF(E495=1,30,IF(E495=2,20,IF(E495=3,10,IF(E495&lt;&gt;"",1,0))))+IF(F495=1,30,IF(F495=2,20,IF(F495=3,10,IF(F495&lt;&gt;"",1,0))))+IF(G495=1,30,IF(G495=2,20,IF(G495=3,10,IF(G495&lt;&gt;"",1,0))))+IF(H495=1,30,IF(H495=2,20,IF(H495=3,10,IF(H495&lt;&gt;"",1,0)))))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14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>
        <f>IF(AND(C496="",OR(E496="",E496=0)),"",(IF(E496=1,30,IF(E496=2,20,IF(E496=3,10,IF(E496&lt;&gt;"",1,0))))+IF(F496=1,30,IF(F496=2,20,IF(F496=3,10,IF(F496&lt;&gt;"",1,0))))+IF(G496=1,30,IF(G496=2,20,IF(G496=3,10,IF(G496&lt;&gt;"",1,0))))+IF(H496=1,30,IF(H496=2,20,IF(H496=3,10,IF(H496&lt;&gt;"",1,0)))))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14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>
        <f>IF(AND(C497="",OR(E497="",E497=0)),"",(IF(E497=1,30,IF(E497=2,20,IF(E497=3,10,IF(E497&lt;&gt;"",1,0))))+IF(F497=1,30,IF(F497=2,20,IF(F497=3,10,IF(F497&lt;&gt;"",1,0))))+IF(G497=1,30,IF(G497=2,20,IF(G497=3,10,IF(G497&lt;&gt;"",1,0))))+IF(H497=1,30,IF(H497=2,20,IF(H497=3,10,IF(H497&lt;&gt;"",1,0)))))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14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>
        <f>IF(AND(C498="",OR(E498="",E498=0)),"",(IF(E498=1,30,IF(E498=2,20,IF(E498=3,10,IF(E498&lt;&gt;"",1,0))))+IF(F498=1,30,IF(F498=2,20,IF(F498=3,10,IF(F498&lt;&gt;"",1,0))))+IF(G498=1,30,IF(G498=2,20,IF(G498=3,10,IF(G498&lt;&gt;"",1,0))))+IF(H498=1,30,IF(H498=2,20,IF(H498=3,10,IF(H498&lt;&gt;"",1,0)))))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14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>
        <f>IF(AND(C499="",OR(E499="",E499=0)),"",(IF(E499=1,30,IF(E499=2,20,IF(E499=3,10,IF(E499&lt;&gt;"",1,0))))+IF(F499=1,30,IF(F499=2,20,IF(F499=3,10,IF(F499&lt;&gt;"",1,0))))+IF(G499=1,30,IF(G499=2,20,IF(G499=3,10,IF(G499&lt;&gt;"",1,0))))+IF(H499=1,30,IF(H499=2,20,IF(H499=3,10,IF(H499&lt;&gt;"",1,0))))))</f>
        <v/>
      </c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14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>
        <f>IF(AND(C500="",OR(E500="",E500=0)),"",(IF(E500=1,30,IF(E500=2,20,IF(E500=3,10,IF(E500&lt;&gt;"",1,0))))+IF(F500=1,30,IF(F500=2,20,IF(F500=3,10,IF(F500&lt;&gt;"",1,0))))+IF(G500=1,30,IF(G500=2,20,IF(G500=3,10,IF(G500&lt;&gt;"",1,0))))+IF(H500=1,30,IF(H500=2,20,IF(H500=3,10,IF(H500&lt;&gt;"",1,0)))))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14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>
        <f>IF(AND(C501="",OR(E501="",E501=0)),"",(IF(E501=1,30,IF(E501=2,20,IF(E501=3,10,IF(E501&lt;&gt;"",1,0))))+IF(F501=1,30,IF(F501=2,20,IF(F501=3,10,IF(F501&lt;&gt;"",1,0))))+IF(G501=1,30,IF(G501=2,20,IF(G501=3,10,IF(G501&lt;&gt;"",1,0))))+IF(H501=1,30,IF(H501=2,20,IF(H501=3,10,IF(H501&lt;&gt;"",1,0))))))</f>
        <v/>
      </c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14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>
        <f>IF(AND(C502="",OR(E502="",E502=0)),"",(IF(E502=1,30,IF(E502=2,20,IF(E502=3,10,IF(E502&lt;&gt;"",1,0))))+IF(F502=1,30,IF(F502=2,20,IF(F502=3,10,IF(F502&lt;&gt;"",1,0))))+IF(G502=1,30,IF(G502=2,20,IF(G502=3,10,IF(G502&lt;&gt;"",1,0))))+IF(H502=1,30,IF(H502=2,20,IF(H502=3,10,IF(H502&lt;&gt;"",1,0))))))</f>
        <v/>
      </c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14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>
        <f>IF(AND(C503="",OR(E503="",E503=0)),"",(IF(E503=1,30,IF(E503=2,20,IF(E503=3,10,IF(E503&lt;&gt;"",1,0))))+IF(F503=1,30,IF(F503=2,20,IF(F503=3,10,IF(F503&lt;&gt;"",1,0))))+IF(G503=1,30,IF(G503=2,20,IF(G503=3,10,IF(G503&lt;&gt;"",1,0))))+IF(H503=1,30,IF(H503=2,20,IF(H503=3,10,IF(H503&lt;&gt;"",1,0))))))</f>
        <v/>
      </c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14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>
        <f>IF(AND(C504="",OR(E504="",E504=0)),"",(IF(E504=1,30,IF(E504=2,20,IF(E504=3,10,IF(E504&lt;&gt;"",1,0))))+IF(F504=1,30,IF(F504=2,20,IF(F504=3,10,IF(F504&lt;&gt;"",1,0))))+IF(G504=1,30,IF(G504=2,20,IF(G504=3,10,IF(G504&lt;&gt;"",1,0))))+IF(H504=1,30,IF(H504=2,20,IF(H504=3,10,IF(H504&lt;&gt;"",1,0))))))</f>
        <v/>
      </c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14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>
        <f>IF(AND(C505="",OR(E505="",E505=0)),"",(IF(E505=1,30,IF(E505=2,20,IF(E505=3,10,IF(E505&lt;&gt;"",1,0))))+IF(F505=1,30,IF(F505=2,20,IF(F505=3,10,IF(F505&lt;&gt;"",1,0))))+IF(G505=1,30,IF(G505=2,20,IF(G505=3,10,IF(G505&lt;&gt;"",1,0))))+IF(H505=1,30,IF(H505=2,20,IF(H505=3,10,IF(H505&lt;&gt;"",1,0))))))</f>
        <v/>
      </c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14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>
        <f>IF(AND(C506="",OR(E506="",E506=0)),"",(IF(E506=1,30,IF(E506=2,20,IF(E506=3,10,IF(E506&lt;&gt;"",1,0))))+IF(F506=1,30,IF(F506=2,20,IF(F506=3,10,IF(F506&lt;&gt;"",1,0))))+IF(G506=1,30,IF(G506=2,20,IF(G506=3,10,IF(G506&lt;&gt;"",1,0))))+IF(H506=1,30,IF(H506=2,20,IF(H506=3,10,IF(H506&lt;&gt;"",1,0))))))</f>
        <v/>
      </c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14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>
        <f>IF(AND(C507="",OR(E507="",E507=0)),"",(IF(E507=1,30,IF(E507=2,20,IF(E507=3,10,IF(E507&lt;&gt;"",1,0))))+IF(F507=1,30,IF(F507=2,20,IF(F507=3,10,IF(F507&lt;&gt;"",1,0))))+IF(G507=1,30,IF(G507=2,20,IF(G507=3,10,IF(G507&lt;&gt;"",1,0))))+IF(H507=1,30,IF(H507=2,20,IF(H507=3,10,IF(H507&lt;&gt;"",1,0))))))</f>
        <v/>
      </c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14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>
        <f>IF(AND(C508="",OR(E508="",E508=0)),"",(IF(E508=1,30,IF(E508=2,20,IF(E508=3,10,IF(E508&lt;&gt;"",1,0))))+IF(F508=1,30,IF(F508=2,20,IF(F508=3,10,IF(F508&lt;&gt;"",1,0))))+IF(G508=1,30,IF(G508=2,20,IF(G508=3,10,IF(G508&lt;&gt;"",1,0))))+IF(H508=1,30,IF(H508=2,20,IF(H508=3,10,IF(H508&lt;&gt;"",1,0))))))</f>
        <v/>
      </c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14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>
        <f>IF(AND(C509="",OR(E509="",E509=0)),"",(IF(E509=1,30,IF(E509=2,20,IF(E509=3,10,IF(E509&lt;&gt;"",1,0))))+IF(F509=1,30,IF(F509=2,20,IF(F509=3,10,IF(F509&lt;&gt;"",1,0))))+IF(G509=1,30,IF(G509=2,20,IF(G509=3,10,IF(G509&lt;&gt;"",1,0))))+IF(H509=1,30,IF(H509=2,20,IF(H509=3,10,IF(H509&lt;&gt;"",1,0))))))</f>
        <v/>
      </c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14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>
        <f>IF(AND(C510="",OR(E510="",E510=0)),"",(IF(E510=1,30,IF(E510=2,20,IF(E510=3,10,IF(E510&lt;&gt;"",1,0))))+IF(F510=1,30,IF(F510=2,20,IF(F510=3,10,IF(F510&lt;&gt;"",1,0))))+IF(G510=1,30,IF(G510=2,20,IF(G510=3,10,IF(G510&lt;&gt;"",1,0))))+IF(H510=1,30,IF(H510=2,20,IF(H510=3,10,IF(H510&lt;&gt;"",1,0))))))</f>
        <v/>
      </c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14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>
        <f>IF(AND(C511="",OR(E511="",E511=0)),"",(IF(E511=1,30,IF(E511=2,20,IF(E511=3,10,IF(E511&lt;&gt;"",1,0))))+IF(F511=1,30,IF(F511=2,20,IF(F511=3,10,IF(F511&lt;&gt;"",1,0))))+IF(G511=1,30,IF(G511=2,20,IF(G511=3,10,IF(G511&lt;&gt;"",1,0))))+IF(H511=1,30,IF(H511=2,20,IF(H511=3,10,IF(H511&lt;&gt;"",1,0))))))</f>
        <v/>
      </c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14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>
        <f>IF(AND(C512="",OR(E512="",E512=0)),"",(IF(E512=1,30,IF(E512=2,20,IF(E512=3,10,IF(E512&lt;&gt;"",1,0))))+IF(F512=1,30,IF(F512=2,20,IF(F512=3,10,IF(F512&lt;&gt;"",1,0))))+IF(G512=1,30,IF(G512=2,20,IF(G512=3,10,IF(G512&lt;&gt;"",1,0))))+IF(H512=1,30,IF(H512=2,20,IF(H512=3,10,IF(H512&lt;&gt;"",1,0))))))</f>
        <v/>
      </c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14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>
        <f>IF(AND(C513="",OR(E513="",E513=0)),"",(IF(E513=1,30,IF(E513=2,20,IF(E513=3,10,IF(E513&lt;&gt;"",1,0))))+IF(F513=1,30,IF(F513=2,20,IF(F513=3,10,IF(F513&lt;&gt;"",1,0))))+IF(G513=1,30,IF(G513=2,20,IF(G513=3,10,IF(G513&lt;&gt;"",1,0))))+IF(H513=1,30,IF(H513=2,20,IF(H513=3,10,IF(H513&lt;&gt;"",1,0))))))</f>
        <v/>
      </c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14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>
        <f>IF(AND(C514="",OR(E514="",E514=0)),"",(IF(E514=1,30,IF(E514=2,20,IF(E514=3,10,IF(E514&lt;&gt;"",1,0))))+IF(F514=1,30,IF(F514=2,20,IF(F514=3,10,IF(F514&lt;&gt;"",1,0))))+IF(G514=1,30,IF(G514=2,20,IF(G514=3,10,IF(G514&lt;&gt;"",1,0))))+IF(H514=1,30,IF(H514=2,20,IF(H514=3,10,IF(H514&lt;&gt;"",1,0))))))</f>
        <v/>
      </c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14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>
        <f>IF(AND(C515="",OR(E515="",E515=0)),"",(IF(E515=1,30,IF(E515=2,20,IF(E515=3,10,IF(E515&lt;&gt;"",1,0))))+IF(F515=1,30,IF(F515=2,20,IF(F515=3,10,IF(F515&lt;&gt;"",1,0))))+IF(G515=1,30,IF(G515=2,20,IF(G515=3,10,IF(G515&lt;&gt;"",1,0))))+IF(H515=1,30,IF(H515=2,20,IF(H515=3,10,IF(H515&lt;&gt;"",1,0))))))</f>
        <v/>
      </c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14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>
        <f>IF(AND(C516="",OR(E516="",E516=0)),"",(IF(E516=1,30,IF(E516=2,20,IF(E516=3,10,IF(E516&lt;&gt;"",1,0))))+IF(F516=1,30,IF(F516=2,20,IF(F516=3,10,IF(F516&lt;&gt;"",1,0))))+IF(G516=1,30,IF(G516=2,20,IF(G516=3,10,IF(G516&lt;&gt;"",1,0))))+IF(H516=1,30,IF(H516=2,20,IF(H516=3,10,IF(H516&lt;&gt;"",1,0))))))</f>
        <v/>
      </c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14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>
        <f>IF(AND(C517="",OR(E517="",E517=0)),"",(IF(E517=1,30,IF(E517=2,20,IF(E517=3,10,IF(E517&lt;&gt;"",1,0))))+IF(F517=1,30,IF(F517=2,20,IF(F517=3,10,IF(F517&lt;&gt;"",1,0))))+IF(G517=1,30,IF(G517=2,20,IF(G517=3,10,IF(G517&lt;&gt;"",1,0))))+IF(H517=1,30,IF(H517=2,20,IF(H517=3,10,IF(H517&lt;&gt;"",1,0))))))</f>
        <v/>
      </c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14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>
        <f>IF(AND(C518="",OR(E518="",E518=0)),"",(IF(E518=1,30,IF(E518=2,20,IF(E518=3,10,IF(E518&lt;&gt;"",1,0))))+IF(F518=1,30,IF(F518=2,20,IF(F518=3,10,IF(F518&lt;&gt;"",1,0))))+IF(G518=1,30,IF(G518=2,20,IF(G518=3,10,IF(G518&lt;&gt;"",1,0))))+IF(H518=1,30,IF(H518=2,20,IF(H518=3,10,IF(H518&lt;&gt;"",1,0))))))</f>
        <v/>
      </c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14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>
        <f>IF(AND(C519="",OR(E519="",E519=0)),"",(IF(E519=1,30,IF(E519=2,20,IF(E519=3,10,IF(E519&lt;&gt;"",1,0))))+IF(F519=1,30,IF(F519=2,20,IF(F519=3,10,IF(F519&lt;&gt;"",1,0))))+IF(G519=1,30,IF(G519=2,20,IF(G519=3,10,IF(G519&lt;&gt;"",1,0))))+IF(H519=1,30,IF(H519=2,20,IF(H519=3,10,IF(H519&lt;&gt;"",1,0))))))</f>
        <v/>
      </c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14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>
        <f>IF(AND(C520="",OR(E520="",E520=0)),"",(IF(E520=1,30,IF(E520=2,20,IF(E520=3,10,IF(E520&lt;&gt;"",1,0))))+IF(F520=1,30,IF(F520=2,20,IF(F520=3,10,IF(F520&lt;&gt;"",1,0))))+IF(G520=1,30,IF(G520=2,20,IF(G520=3,10,IF(G520&lt;&gt;"",1,0))))+IF(H520=1,30,IF(H520=2,20,IF(H520=3,10,IF(H520&lt;&gt;"",1,0))))))</f>
        <v/>
      </c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14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>
        <f>IF(AND(C521="",OR(E521="",E521=0)),"",(IF(E521=1,30,IF(E521=2,20,IF(E521=3,10,IF(E521&lt;&gt;"",1,0))))+IF(F521=1,30,IF(F521=2,20,IF(F521=3,10,IF(F521&lt;&gt;"",1,0))))+IF(G521=1,30,IF(G521=2,20,IF(G521=3,10,IF(G521&lt;&gt;"",1,0))))+IF(H521=1,30,IF(H521=2,20,IF(H521=3,10,IF(H521&lt;&gt;"",1,0))))))</f>
        <v/>
      </c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14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>
        <f>IF(AND(C522="",OR(E522="",E522=0)),"",(IF(E522=1,30,IF(E522=2,20,IF(E522=3,10,IF(E522&lt;&gt;"",1,0))))+IF(F522=1,30,IF(F522=2,20,IF(F522=3,10,IF(F522&lt;&gt;"",1,0))))+IF(G522=1,30,IF(G522=2,20,IF(G522=3,10,IF(G522&lt;&gt;"",1,0))))+IF(H522=1,30,IF(H522=2,20,IF(H522=3,10,IF(H522&lt;&gt;"",1,0))))))</f>
        <v/>
      </c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14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>
        <f>IF(AND(C523="",OR(E523="",E523=0)),"",(IF(E523=1,30,IF(E523=2,20,IF(E523=3,10,IF(E523&lt;&gt;"",1,0))))+IF(F523=1,30,IF(F523=2,20,IF(F523=3,10,IF(F523&lt;&gt;"",1,0))))+IF(G523=1,30,IF(G523=2,20,IF(G523=3,10,IF(G523&lt;&gt;"",1,0))))+IF(H523=1,30,IF(H523=2,20,IF(H523=3,10,IF(H523&lt;&gt;"",1,0))))))</f>
        <v/>
      </c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14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>
        <f>IF(AND(C524="",OR(E524="",E524=0)),"",(IF(E524=1,30,IF(E524=2,20,IF(E524=3,10,IF(E524&lt;&gt;"",1,0))))+IF(F524=1,30,IF(F524=2,20,IF(F524=3,10,IF(F524&lt;&gt;"",1,0))))+IF(G524=1,30,IF(G524=2,20,IF(G524=3,10,IF(G524&lt;&gt;"",1,0))))+IF(H524=1,30,IF(H524=2,20,IF(H524=3,10,IF(H524&lt;&gt;"",1,0))))))</f>
        <v/>
      </c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14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>
        <f>IF(AND(C525="",OR(E525="",E525=0)),"",(IF(E525=1,30,IF(E525=2,20,IF(E525=3,10,IF(E525&lt;&gt;"",1,0))))+IF(F525=1,30,IF(F525=2,20,IF(F525=3,10,IF(F525&lt;&gt;"",1,0))))+IF(G525=1,30,IF(G525=2,20,IF(G525=3,10,IF(G525&lt;&gt;"",1,0))))+IF(H525=1,30,IF(H525=2,20,IF(H525=3,10,IF(H525&lt;&gt;"",1,0))))))</f>
        <v/>
      </c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14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>
        <f>IF(AND(C526="",OR(E526="",E526=0)),"",(IF(E526=1,30,IF(E526=2,20,IF(E526=3,10,IF(E526&lt;&gt;"",1,0))))+IF(F526=1,30,IF(F526=2,20,IF(F526=3,10,IF(F526&lt;&gt;"",1,0))))+IF(G526=1,30,IF(G526=2,20,IF(G526=3,10,IF(G526&lt;&gt;"",1,0))))+IF(H526=1,30,IF(H526=2,20,IF(H526=3,10,IF(H526&lt;&gt;"",1,0))))))</f>
        <v/>
      </c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14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>
        <f>IF(AND(C527="",OR(E527="",E527=0)),"",(IF(E527=1,30,IF(E527=2,20,IF(E527=3,10,IF(E527&lt;&gt;"",1,0))))+IF(F527=1,30,IF(F527=2,20,IF(F527=3,10,IF(F527&lt;&gt;"",1,0))))+IF(G527=1,30,IF(G527=2,20,IF(G527=3,10,IF(G527&lt;&gt;"",1,0))))+IF(H527=1,30,IF(H527=2,20,IF(H527=3,10,IF(H527&lt;&gt;"",1,0))))))</f>
        <v/>
      </c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14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>
        <f>IF(AND(C528="",OR(E528="",E528=0)),"",(IF(E528=1,30,IF(E528=2,20,IF(E528=3,10,IF(E528&lt;&gt;"",1,0))))+IF(F528=1,30,IF(F528=2,20,IF(F528=3,10,IF(F528&lt;&gt;"",1,0))))+IF(G528=1,30,IF(G528=2,20,IF(G528=3,10,IF(G528&lt;&gt;"",1,0))))+IF(H528=1,30,IF(H528=2,20,IF(H528=3,10,IF(H528&lt;&gt;"",1,0))))))</f>
        <v/>
      </c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14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>
        <f>IF(AND(C529="",OR(E529="",E529=0)),"",(IF(E529=1,30,IF(E529=2,20,IF(E529=3,10,IF(E529&lt;&gt;"",1,0))))+IF(F529=1,30,IF(F529=2,20,IF(F529=3,10,IF(F529&lt;&gt;"",1,0))))+IF(G529=1,30,IF(G529=2,20,IF(G529=3,10,IF(G529&lt;&gt;"",1,0))))+IF(H529=1,30,IF(H529=2,20,IF(H529=3,10,IF(H529&lt;&gt;"",1,0))))))</f>
        <v/>
      </c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14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>
        <f>IF(AND(C530="",OR(E530="",E530=0)),"",(IF(E530=1,30,IF(E530=2,20,IF(E530=3,10,IF(E530&lt;&gt;"",1,0))))+IF(F530=1,30,IF(F530=2,20,IF(F530=3,10,IF(F530&lt;&gt;"",1,0))))+IF(G530=1,30,IF(G530=2,20,IF(G530=3,10,IF(G530&lt;&gt;"",1,0))))+IF(H530=1,30,IF(H530=2,20,IF(H530=3,10,IF(H530&lt;&gt;"",1,0))))))</f>
        <v/>
      </c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14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>
        <f>IF(AND(C531="",OR(E531="",E531=0)),"",(IF(E531=1,30,IF(E531=2,20,IF(E531=3,10,IF(E531&lt;&gt;"",1,0))))+IF(F531=1,30,IF(F531=2,20,IF(F531=3,10,IF(F531&lt;&gt;"",1,0))))+IF(G531=1,30,IF(G531=2,20,IF(G531=3,10,IF(G531&lt;&gt;"",1,0))))+IF(H531=1,30,IF(H531=2,20,IF(H531=3,10,IF(H531&lt;&gt;"",1,0))))))</f>
        <v/>
      </c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14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>
        <f>IF(AND(C532="",OR(E532="",E532=0)),"",(IF(E532=1,30,IF(E532=2,20,IF(E532=3,10,IF(E532&lt;&gt;"",1,0))))+IF(F532=1,30,IF(F532=2,20,IF(F532=3,10,IF(F532&lt;&gt;"",1,0))))+IF(G532=1,30,IF(G532=2,20,IF(G532=3,10,IF(G532&lt;&gt;"",1,0))))+IF(H532=1,30,IF(H532=2,20,IF(H532=3,10,IF(H532&lt;&gt;"",1,0))))))</f>
        <v/>
      </c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14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>
        <f>IF(AND(C533="",OR(E533="",E533=0)),"",(IF(E533=1,30,IF(E533=2,20,IF(E533=3,10,IF(E533&lt;&gt;"",1,0))))+IF(F533=1,30,IF(F533=2,20,IF(F533=3,10,IF(F533&lt;&gt;"",1,0))))+IF(G533=1,30,IF(G533=2,20,IF(G533=3,10,IF(G533&lt;&gt;"",1,0))))+IF(H533=1,30,IF(H533=2,20,IF(H533=3,10,IF(H533&lt;&gt;"",1,0))))))</f>
        <v/>
      </c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14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>
        <f>IF(AND(C534="",OR(E534="",E534=0)),"",(IF(E534=1,30,IF(E534=2,20,IF(E534=3,10,IF(E534&lt;&gt;"",1,0))))+IF(F534=1,30,IF(F534=2,20,IF(F534=3,10,IF(F534&lt;&gt;"",1,0))))+IF(G534=1,30,IF(G534=2,20,IF(G534=3,10,IF(G534&lt;&gt;"",1,0))))+IF(H534=1,30,IF(H534=2,20,IF(H534=3,10,IF(H534&lt;&gt;"",1,0))))))</f>
        <v/>
      </c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14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>
        <f>IF(AND(C535="",OR(E535="",E535=0)),"",(IF(E535=1,30,IF(E535=2,20,IF(E535=3,10,IF(E535&lt;&gt;"",1,0))))+IF(F535=1,30,IF(F535=2,20,IF(F535=3,10,IF(F535&lt;&gt;"",1,0))))+IF(G535=1,30,IF(G535=2,20,IF(G535=3,10,IF(G535&lt;&gt;"",1,0))))+IF(H535=1,30,IF(H535=2,20,IF(H535=3,10,IF(H535&lt;&gt;"",1,0))))))</f>
        <v/>
      </c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14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>
        <f>IF(AND(C536="",OR(E536="",E536=0)),"",(IF(E536=1,30,IF(E536=2,20,IF(E536=3,10,IF(E536&lt;&gt;"",1,0))))+IF(F536=1,30,IF(F536=2,20,IF(F536=3,10,IF(F536&lt;&gt;"",1,0))))+IF(G536=1,30,IF(G536=2,20,IF(G536=3,10,IF(G536&lt;&gt;"",1,0))))+IF(H536=1,30,IF(H536=2,20,IF(H536=3,10,IF(H536&lt;&gt;"",1,0))))))</f>
        <v/>
      </c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14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>
        <f>IF(AND(C537="",OR(E537="",E537=0)),"",(IF(E537=1,30,IF(E537=2,20,IF(E537=3,10,IF(E537&lt;&gt;"",1,0))))+IF(F537=1,30,IF(F537=2,20,IF(F537=3,10,IF(F537&lt;&gt;"",1,0))))+IF(G537=1,30,IF(G537=2,20,IF(G537=3,10,IF(G537&lt;&gt;"",1,0))))+IF(H537=1,30,IF(H537=2,20,IF(H537=3,10,IF(H537&lt;&gt;"",1,0))))))</f>
        <v/>
      </c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14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>
        <f>IF(AND(C538="",OR(E538="",E538=0)),"",(IF(E538=1,30,IF(E538=2,20,IF(E538=3,10,IF(E538&lt;&gt;"",1,0))))+IF(F538=1,30,IF(F538=2,20,IF(F538=3,10,IF(F538&lt;&gt;"",1,0))))+IF(G538=1,30,IF(G538=2,20,IF(G538=3,10,IF(G538&lt;&gt;"",1,0))))+IF(H538=1,30,IF(H538=2,20,IF(H538=3,10,IF(H538&lt;&gt;"",1,0))))))</f>
        <v/>
      </c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14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>
        <f>IF(AND(C539="",OR(E539="",E539=0)),"",(IF(E539=1,30,IF(E539=2,20,IF(E539=3,10,IF(E539&lt;&gt;"",1,0))))+IF(F539=1,30,IF(F539=2,20,IF(F539=3,10,IF(F539&lt;&gt;"",1,0))))+IF(G539=1,30,IF(G539=2,20,IF(G539=3,10,IF(G539&lt;&gt;"",1,0))))+IF(H539=1,30,IF(H539=2,20,IF(H539=3,10,IF(H539&lt;&gt;"",1,0))))))</f>
        <v/>
      </c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14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>
        <f>IF(AND(C540="",OR(E540="",E540=0)),"",(IF(E540=1,30,IF(E540=2,20,IF(E540=3,10,IF(E540&lt;&gt;"",1,0))))+IF(F540=1,30,IF(F540=2,20,IF(F540=3,10,IF(F540&lt;&gt;"",1,0))))+IF(G540=1,30,IF(G540=2,20,IF(G540=3,10,IF(G540&lt;&gt;"",1,0))))+IF(H540=1,30,IF(H540=2,20,IF(H540=3,10,IF(H540&lt;&gt;"",1,0))))))</f>
        <v/>
      </c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14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>
        <f>IF(AND(C541="",OR(E541="",E541=0)),"",(IF(E541=1,30,IF(E541=2,20,IF(E541=3,10,IF(E541&lt;&gt;"",1,0))))+IF(F541=1,30,IF(F541=2,20,IF(F541=3,10,IF(F541&lt;&gt;"",1,0))))+IF(G541=1,30,IF(G541=2,20,IF(G541=3,10,IF(G541&lt;&gt;"",1,0))))+IF(H541=1,30,IF(H541=2,20,IF(H541=3,10,IF(H541&lt;&gt;"",1,0))))))</f>
        <v/>
      </c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14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>
        <f>IF(AND(C542="",OR(E542="",E542=0)),"",(IF(E542=1,30,IF(E542=2,20,IF(E542=3,10,IF(E542&lt;&gt;"",1,0))))+IF(F542=1,30,IF(F542=2,20,IF(F542=3,10,IF(F542&lt;&gt;"",1,0))))+IF(G542=1,30,IF(G542=2,20,IF(G542=3,10,IF(G542&lt;&gt;"",1,0))))+IF(H542=1,30,IF(H542=2,20,IF(H542=3,10,IF(H542&lt;&gt;"",1,0))))))</f>
        <v/>
      </c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1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>
        <f>IF(AND(C543="",OR(E543="",E543=0)),"",(IF(E543=1,30,IF(E543=2,20,IF(E543=3,10,IF(E543&lt;&gt;"",1,0))))+IF(F543=1,30,IF(F543=2,20,IF(F543=3,10,IF(F543&lt;&gt;"",1,0))))+IF(G543=1,30,IF(G543=2,20,IF(G543=3,10,IF(G543&lt;&gt;"",1,0))))+IF(H543=1,30,IF(H543=2,20,IF(H543=3,10,IF(H543&lt;&gt;"",1,0))))))</f>
        <v/>
      </c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14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>
        <f>IF(AND(C544="",OR(E544="",E544=0)),"",(IF(E544=1,30,IF(E544=2,20,IF(E544=3,10,IF(E544&lt;&gt;"",1,0))))+IF(F544=1,30,IF(F544=2,20,IF(F544=3,10,IF(F544&lt;&gt;"",1,0))))+IF(G544=1,30,IF(G544=2,20,IF(G544=3,10,IF(G544&lt;&gt;"",1,0))))+IF(H544=1,30,IF(H544=2,20,IF(H544=3,10,IF(H544&lt;&gt;"",1,0))))))</f>
        <v/>
      </c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14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>
        <f>IF(AND(C545="",OR(E545="",E545=0)),"",(IF(E545=1,30,IF(E545=2,20,IF(E545=3,10,IF(E545&lt;&gt;"",1,0))))+IF(F545=1,30,IF(F545=2,20,IF(F545=3,10,IF(F545&lt;&gt;"",1,0))))+IF(G545=1,30,IF(G545=2,20,IF(G545=3,10,IF(G545&lt;&gt;"",1,0))))+IF(H545=1,30,IF(H545=2,20,IF(H545=3,10,IF(H545&lt;&gt;"",1,0))))))</f>
        <v/>
      </c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14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>
        <f>IF(AND(C546="",OR(E546="",E546=0)),"",(IF(E546=1,30,IF(E546=2,20,IF(E546=3,10,IF(E546&lt;&gt;"",1,0))))+IF(F546=1,30,IF(F546=2,20,IF(F546=3,10,IF(F546&lt;&gt;"",1,0))))+IF(G546=1,30,IF(G546=2,20,IF(G546=3,10,IF(G546&lt;&gt;"",1,0))))+IF(H546=1,30,IF(H546=2,20,IF(H546=3,10,IF(H546&lt;&gt;"",1,0))))))</f>
        <v/>
      </c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14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>
        <f>IF(AND(C547="",OR(E547="",E547=0)),"",(IF(E547=1,30,IF(E547=2,20,IF(E547=3,10,IF(E547&lt;&gt;"",1,0))))+IF(F547=1,30,IF(F547=2,20,IF(F547=3,10,IF(F547&lt;&gt;"",1,0))))+IF(G547=1,30,IF(G547=2,20,IF(G547=3,10,IF(G547&lt;&gt;"",1,0))))+IF(H547=1,30,IF(H547=2,20,IF(H547=3,10,IF(H547&lt;&gt;"",1,0))))))</f>
        <v/>
      </c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14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>
        <f>IF(AND(C548="",OR(E548="",E548=0)),"",(IF(E548=1,30,IF(E548=2,20,IF(E548=3,10,IF(E548&lt;&gt;"",1,0))))+IF(F548=1,30,IF(F548=2,20,IF(F548=3,10,IF(F548&lt;&gt;"",1,0))))+IF(G548=1,30,IF(G548=2,20,IF(G548=3,10,IF(G548&lt;&gt;"",1,0))))+IF(H548=1,30,IF(H548=2,20,IF(H548=3,10,IF(H548&lt;&gt;"",1,0))))))</f>
        <v/>
      </c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14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>
        <f>IF(AND(C549="",OR(E549="",E549=0)),"",(IF(E549=1,30,IF(E549=2,20,IF(E549=3,10,IF(E549&lt;&gt;"",1,0))))+IF(F549=1,30,IF(F549=2,20,IF(F549=3,10,IF(F549&lt;&gt;"",1,0))))+IF(G549=1,30,IF(G549=2,20,IF(G549=3,10,IF(G549&lt;&gt;"",1,0))))+IF(H549=1,30,IF(H549=2,20,IF(H549=3,10,IF(H549&lt;&gt;"",1,0))))))</f>
        <v/>
      </c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14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>
        <f>IF(AND(C550="",OR(E550="",E550=0)),"",(IF(E550=1,30,IF(E550=2,20,IF(E550=3,10,IF(E550&lt;&gt;"",1,0))))+IF(F550=1,30,IF(F550=2,20,IF(F550=3,10,IF(F550&lt;&gt;"",1,0))))+IF(G550=1,30,IF(G550=2,20,IF(G550=3,10,IF(G550&lt;&gt;"",1,0))))+IF(H550=1,30,IF(H550=2,20,IF(H550=3,10,IF(H550&lt;&gt;"",1,0))))))</f>
        <v/>
      </c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14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>
        <f>IF(AND(C551="",OR(E551="",E551=0)),"",(IF(E551=1,30,IF(E551=2,20,IF(E551=3,10,IF(E551&lt;&gt;"",1,0))))+IF(F551=1,30,IF(F551=2,20,IF(F551=3,10,IF(F551&lt;&gt;"",1,0))))+IF(G551=1,30,IF(G551=2,20,IF(G551=3,10,IF(G551&lt;&gt;"",1,0))))+IF(H551=1,30,IF(H551=2,20,IF(H551=3,10,IF(H551&lt;&gt;"",1,0))))))</f>
        <v/>
      </c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14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>
        <f>IF(AND(C552="",OR(E552="",E552=0)),"",(IF(E552=1,30,IF(E552=2,20,IF(E552=3,10,IF(E552&lt;&gt;"",1,0))))+IF(F552=1,30,IF(F552=2,20,IF(F552=3,10,IF(F552&lt;&gt;"",1,0))))+IF(G552=1,30,IF(G552=2,20,IF(G552=3,10,IF(G552&lt;&gt;"",1,0))))+IF(H552=1,30,IF(H552=2,20,IF(H552=3,10,IF(H552&lt;&gt;"",1,0))))))</f>
        <v/>
      </c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14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>
        <f>IF(AND(C553="",OR(E553="",E553=0)),"",(IF(E553=1,30,IF(E553=2,20,IF(E553=3,10,IF(E553&lt;&gt;"",1,0))))+IF(F553=1,30,IF(F553=2,20,IF(F553=3,10,IF(F553&lt;&gt;"",1,0))))+IF(G553=1,30,IF(G553=2,20,IF(G553=3,10,IF(G553&lt;&gt;"",1,0))))+IF(H553=1,30,IF(H553=2,20,IF(H553=3,10,IF(H553&lt;&gt;"",1,0))))))</f>
        <v/>
      </c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14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>
        <f>IF(AND(C554="",OR(E554="",E554=0)),"",(IF(E554=1,30,IF(E554=2,20,IF(E554=3,10,IF(E554&lt;&gt;"",1,0))))+IF(F554=1,30,IF(F554=2,20,IF(F554=3,10,IF(F554&lt;&gt;"",1,0))))+IF(G554=1,30,IF(G554=2,20,IF(G554=3,10,IF(G554&lt;&gt;"",1,0))))+IF(H554=1,30,IF(H554=2,20,IF(H554=3,10,IF(H554&lt;&gt;"",1,0))))))</f>
        <v/>
      </c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14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>
        <f>IF(AND(C555="",OR(E555="",E555=0)),"",(IF(E555=1,30,IF(E555=2,20,IF(E555=3,10,IF(E555&lt;&gt;"",1,0))))+IF(F555=1,30,IF(F555=2,20,IF(F555=3,10,IF(F555&lt;&gt;"",1,0))))+IF(G555=1,30,IF(G555=2,20,IF(G555=3,10,IF(G555&lt;&gt;"",1,0))))+IF(H555=1,30,IF(H555=2,20,IF(H555=3,10,IF(H555&lt;&gt;"",1,0))))))</f>
        <v/>
      </c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14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>
        <f>IF(AND(C556="",OR(E556="",E556=0)),"",(IF(E556=1,30,IF(E556=2,20,IF(E556=3,10,IF(E556&lt;&gt;"",1,0))))+IF(F556=1,30,IF(F556=2,20,IF(F556=3,10,IF(F556&lt;&gt;"",1,0))))+IF(G556=1,30,IF(G556=2,20,IF(G556=3,10,IF(G556&lt;&gt;"",1,0))))+IF(H556=1,30,IF(H556=2,20,IF(H556=3,10,IF(H556&lt;&gt;"",1,0))))))</f>
        <v/>
      </c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14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>
        <f>IF(AND(C557="",OR(E557="",E557=0)),"",(IF(E557=1,30,IF(E557=2,20,IF(E557=3,10,IF(E557&lt;&gt;"",1,0))))+IF(F557=1,30,IF(F557=2,20,IF(F557=3,10,IF(F557&lt;&gt;"",1,0))))+IF(G557=1,30,IF(G557=2,20,IF(G557=3,10,IF(G557&lt;&gt;"",1,0))))+IF(H557=1,30,IF(H557=2,20,IF(H557=3,10,IF(H557&lt;&gt;"",1,0))))))</f>
        <v/>
      </c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14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>
        <f>IF(AND(C558="",OR(E558="",E558=0)),"",(IF(E558=1,30,IF(E558=2,20,IF(E558=3,10,IF(E558&lt;&gt;"",1,0))))+IF(F558=1,30,IF(F558=2,20,IF(F558=3,10,IF(F558&lt;&gt;"",1,0))))+IF(G558=1,30,IF(G558=2,20,IF(G558=3,10,IF(G558&lt;&gt;"",1,0))))+IF(H558=1,30,IF(H558=2,20,IF(H558=3,10,IF(H558&lt;&gt;"",1,0))))))</f>
        <v/>
      </c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14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>
        <f>IF(AND(C559="",OR(E559="",E559=0)),"",(IF(E559=1,30,IF(E559=2,20,IF(E559=3,10,IF(E559&lt;&gt;"",1,0))))+IF(F559=1,30,IF(F559=2,20,IF(F559=3,10,IF(F559&lt;&gt;"",1,0))))+IF(G559=1,30,IF(G559=2,20,IF(G559=3,10,IF(G559&lt;&gt;"",1,0))))+IF(H559=1,30,IF(H559=2,20,IF(H559=3,10,IF(H559&lt;&gt;"",1,0))))))</f>
        <v/>
      </c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14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>
        <f>IF(AND(C560="",OR(E560="",E560=0)),"",(IF(E560=1,30,IF(E560=2,20,IF(E560=3,10,IF(E560&lt;&gt;"",1,0))))+IF(F560=1,30,IF(F560=2,20,IF(F560=3,10,IF(F560&lt;&gt;"",1,0))))+IF(G560=1,30,IF(G560=2,20,IF(G560=3,10,IF(G560&lt;&gt;"",1,0))))+IF(H560=1,30,IF(H560=2,20,IF(H560=3,10,IF(H560&lt;&gt;"",1,0))))))</f>
        <v/>
      </c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14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>
        <f>IF(AND(C561="",OR(E561="",E561=0)),"",(IF(E561=1,30,IF(E561=2,20,IF(E561=3,10,IF(E561&lt;&gt;"",1,0))))+IF(F561=1,30,IF(F561=2,20,IF(F561=3,10,IF(F561&lt;&gt;"",1,0))))+IF(G561=1,30,IF(G561=2,20,IF(G561=3,10,IF(G561&lt;&gt;"",1,0))))+IF(H561=1,30,IF(H561=2,20,IF(H561=3,10,IF(H561&lt;&gt;"",1,0))))))</f>
        <v/>
      </c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14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>
        <f>IF(AND(C562="",OR(E562="",E562=0)),"",(IF(E562=1,30,IF(E562=2,20,IF(E562=3,10,IF(E562&lt;&gt;"",1,0))))+IF(F562=1,30,IF(F562=2,20,IF(F562=3,10,IF(F562&lt;&gt;"",1,0))))+IF(G562=1,30,IF(G562=2,20,IF(G562=3,10,IF(G562&lt;&gt;"",1,0))))+IF(H562=1,30,IF(H562=2,20,IF(H562=3,10,IF(H562&lt;&gt;"",1,0))))))</f>
        <v/>
      </c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14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>
        <f>IF(AND(C563="",OR(E563="",E563=0)),"",(IF(E563=1,30,IF(E563=2,20,IF(E563=3,10,IF(E563&lt;&gt;"",1,0))))+IF(F563=1,30,IF(F563=2,20,IF(F563=3,10,IF(F563&lt;&gt;"",1,0))))+IF(G563=1,30,IF(G563=2,20,IF(G563=3,10,IF(G563&lt;&gt;"",1,0))))+IF(H563=1,30,IF(H563=2,20,IF(H563=3,10,IF(H563&lt;&gt;"",1,0))))))</f>
        <v/>
      </c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14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>
        <f>IF(AND(C564="",OR(E564="",E564=0)),"",(IF(E564=1,30,IF(E564=2,20,IF(E564=3,10,IF(E564&lt;&gt;"",1,0))))+IF(F564=1,30,IF(F564=2,20,IF(F564=3,10,IF(F564&lt;&gt;"",1,0))))+IF(G564=1,30,IF(G564=2,20,IF(G564=3,10,IF(G564&lt;&gt;"",1,0))))+IF(H564=1,30,IF(H564=2,20,IF(H564=3,10,IF(H564&lt;&gt;"",1,0))))))</f>
        <v/>
      </c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14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>
        <f>IF(AND(C565="",OR(E565="",E565=0)),"",(IF(E565=1,30,IF(E565=2,20,IF(E565=3,10,IF(E565&lt;&gt;"",1,0))))+IF(F565=1,30,IF(F565=2,20,IF(F565=3,10,IF(F565&lt;&gt;"",1,0))))+IF(G565=1,30,IF(G565=2,20,IF(G565=3,10,IF(G565&lt;&gt;"",1,0))))+IF(H565=1,30,IF(H565=2,20,IF(H565=3,10,IF(H565&lt;&gt;"",1,0))))))</f>
        <v/>
      </c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14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>
        <f>IF(AND(C566="",OR(E566="",E566=0)),"",(IF(E566=1,30,IF(E566=2,20,IF(E566=3,10,IF(E566&lt;&gt;"",1,0))))+IF(F566=1,30,IF(F566=2,20,IF(F566=3,10,IF(F566&lt;&gt;"",1,0))))+IF(G566=1,30,IF(G566=2,20,IF(G566=3,10,IF(G566&lt;&gt;"",1,0))))+IF(H566=1,30,IF(H566=2,20,IF(H566=3,10,IF(H566&lt;&gt;"",1,0))))))</f>
        <v/>
      </c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14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>
        <f>IF(AND(C567="",OR(E567="",E567=0)),"",(IF(E567=1,30,IF(E567=2,20,IF(E567=3,10,IF(E567&lt;&gt;"",1,0))))+IF(F567=1,30,IF(F567=2,20,IF(F567=3,10,IF(F567&lt;&gt;"",1,0))))+IF(G567=1,30,IF(G567=2,20,IF(G567=3,10,IF(G567&lt;&gt;"",1,0))))+IF(H567=1,30,IF(H567=2,20,IF(H567=3,10,IF(H567&lt;&gt;"",1,0))))))</f>
        <v/>
      </c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14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>
        <f>IF(AND(C568="",OR(E568="",E568=0)),"",(IF(E568=1,30,IF(E568=2,20,IF(E568=3,10,IF(E568&lt;&gt;"",1,0))))+IF(F568=1,30,IF(F568=2,20,IF(F568=3,10,IF(F568&lt;&gt;"",1,0))))+IF(G568=1,30,IF(G568=2,20,IF(G568=3,10,IF(G568&lt;&gt;"",1,0))))+IF(H568=1,30,IF(H568=2,20,IF(H568=3,10,IF(H568&lt;&gt;"",1,0))))))</f>
        <v/>
      </c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14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>
        <f>IF(AND(C569="",OR(E569="",E569=0)),"",(IF(E569=1,30,IF(E569=2,20,IF(E569=3,10,IF(E569&lt;&gt;"",1,0))))+IF(F569=1,30,IF(F569=2,20,IF(F569=3,10,IF(F569&lt;&gt;"",1,0))))+IF(G569=1,30,IF(G569=2,20,IF(G569=3,10,IF(G569&lt;&gt;"",1,0))))+IF(H569=1,30,IF(H569=2,20,IF(H569=3,10,IF(H569&lt;&gt;"",1,0))))))</f>
        <v/>
      </c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14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>
        <f>IF(AND(C570="",OR(E570="",E570=0)),"",(IF(E570=1,30,IF(E570=2,20,IF(E570=3,10,IF(E570&lt;&gt;"",1,0))))+IF(F570=1,30,IF(F570=2,20,IF(F570=3,10,IF(F570&lt;&gt;"",1,0))))+IF(G570=1,30,IF(G570=2,20,IF(G570=3,10,IF(G570&lt;&gt;"",1,0))))+IF(H570=1,30,IF(H570=2,20,IF(H570=3,10,IF(H570&lt;&gt;"",1,0))))))</f>
        <v/>
      </c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14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>
        <f>IF(AND(C571="",OR(E571="",E571=0)),"",(IF(E571=1,30,IF(E571=2,20,IF(E571=3,10,IF(E571&lt;&gt;"",1,0))))+IF(F571=1,30,IF(F571=2,20,IF(F571=3,10,IF(F571&lt;&gt;"",1,0))))+IF(G571=1,30,IF(G571=2,20,IF(G571=3,10,IF(G571&lt;&gt;"",1,0))))+IF(H571=1,30,IF(H571=2,20,IF(H571=3,10,IF(H571&lt;&gt;"",1,0))))))</f>
        <v/>
      </c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14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>
        <f>IF(AND(C572="",OR(E572="",E572=0)),"",(IF(E572=1,30,IF(E572=2,20,IF(E572=3,10,IF(E572&lt;&gt;"",1,0))))+IF(F572=1,30,IF(F572=2,20,IF(F572=3,10,IF(F572&lt;&gt;"",1,0))))+IF(G572=1,30,IF(G572=2,20,IF(G572=3,10,IF(G572&lt;&gt;"",1,0))))+IF(H572=1,30,IF(H572=2,20,IF(H572=3,10,IF(H572&lt;&gt;"",1,0))))))</f>
        <v/>
      </c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14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>
        <f>IF(AND(C573="",OR(E573="",E573=0)),"",(IF(E573=1,30,IF(E573=2,20,IF(E573=3,10,IF(E573&lt;&gt;"",1,0))))+IF(F573=1,30,IF(F573=2,20,IF(F573=3,10,IF(F573&lt;&gt;"",1,0))))+IF(G573=1,30,IF(G573=2,20,IF(G573=3,10,IF(G573&lt;&gt;"",1,0))))+IF(H573=1,30,IF(H573=2,20,IF(H573=3,10,IF(H573&lt;&gt;"",1,0))))))</f>
        <v/>
      </c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14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>
        <f>IF(AND(C574="",OR(E574="",E574=0)),"",(IF(E574=1,30,IF(E574=2,20,IF(E574=3,10,IF(E574&lt;&gt;"",1,0))))+IF(F574=1,30,IF(F574=2,20,IF(F574=3,10,IF(F574&lt;&gt;"",1,0))))+IF(G574=1,30,IF(G574=2,20,IF(G574=3,10,IF(G574&lt;&gt;"",1,0))))+IF(H574=1,30,IF(H574=2,20,IF(H574=3,10,IF(H574&lt;&gt;"",1,0))))))</f>
        <v/>
      </c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14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>
        <f>IF(AND(C575="",OR(E575="",E575=0)),"",(IF(E575=1,30,IF(E575=2,20,IF(E575=3,10,IF(E575&lt;&gt;"",1,0))))+IF(F575=1,30,IF(F575=2,20,IF(F575=3,10,IF(F575&lt;&gt;"",1,0))))+IF(G575=1,30,IF(G575=2,20,IF(G575=3,10,IF(G575&lt;&gt;"",1,0))))+IF(H575=1,30,IF(H575=2,20,IF(H575=3,10,IF(H575&lt;&gt;"",1,0))))))</f>
        <v/>
      </c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14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>
        <f>IF(AND(C576="",OR(E576="",E576=0)),"",(IF(E576=1,30,IF(E576=2,20,IF(E576=3,10,IF(E576&lt;&gt;"",1,0))))+IF(F576=1,30,IF(F576=2,20,IF(F576=3,10,IF(F576&lt;&gt;"",1,0))))+IF(G576=1,30,IF(G576=2,20,IF(G576=3,10,IF(G576&lt;&gt;"",1,0))))+IF(H576=1,30,IF(H576=2,20,IF(H576=3,10,IF(H576&lt;&gt;"",1,0))))))</f>
        <v/>
      </c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14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>
        <f>IF(AND(C577="",OR(E577="",E577=0)),"",(IF(E577=1,30,IF(E577=2,20,IF(E577=3,10,IF(E577&lt;&gt;"",1,0))))+IF(F577=1,30,IF(F577=2,20,IF(F577=3,10,IF(F577&lt;&gt;"",1,0))))+IF(G577=1,30,IF(G577=2,20,IF(G577=3,10,IF(G577&lt;&gt;"",1,0))))+IF(H577=1,30,IF(H577=2,20,IF(H577=3,10,IF(H577&lt;&gt;"",1,0))))))</f>
        <v/>
      </c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14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>
        <f>IF(AND(C578="",OR(E578="",E578=0)),"",(IF(E578=1,30,IF(E578=2,20,IF(E578=3,10,IF(E578&lt;&gt;"",1,0))))+IF(F578=1,30,IF(F578=2,20,IF(F578=3,10,IF(F578&lt;&gt;"",1,0))))+IF(G578=1,30,IF(G578=2,20,IF(G578=3,10,IF(G578&lt;&gt;"",1,0))))+IF(H578=1,30,IF(H578=2,20,IF(H578=3,10,IF(H578&lt;&gt;"",1,0))))))</f>
        <v/>
      </c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14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>
        <f>IF(AND(C579="",OR(E579="",E579=0)),"",(IF(E579=1,30,IF(E579=2,20,IF(E579=3,10,IF(E579&lt;&gt;"",1,0))))+IF(F579=1,30,IF(F579=2,20,IF(F579=3,10,IF(F579&lt;&gt;"",1,0))))+IF(G579=1,30,IF(G579=2,20,IF(G579=3,10,IF(G579&lt;&gt;"",1,0))))+IF(H579=1,30,IF(H579=2,20,IF(H579=3,10,IF(H579&lt;&gt;"",1,0))))))</f>
        <v/>
      </c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14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>
        <f>IF(AND(C580="",OR(E580="",E580=0)),"",(IF(E580=1,30,IF(E580=2,20,IF(E580=3,10,IF(E580&lt;&gt;"",1,0))))+IF(F580=1,30,IF(F580=2,20,IF(F580=3,10,IF(F580&lt;&gt;"",1,0))))+IF(G580=1,30,IF(G580=2,20,IF(G580=3,10,IF(G580&lt;&gt;"",1,0))))+IF(H580=1,30,IF(H580=2,20,IF(H580=3,10,IF(H580&lt;&gt;"",1,0))))))</f>
        <v/>
      </c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14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>
        <f>IF(AND(C581="",OR(E581="",E581=0)),"",(IF(E581=1,30,IF(E581=2,20,IF(E581=3,10,IF(E581&lt;&gt;"",1,0))))+IF(F581=1,30,IF(F581=2,20,IF(F581=3,10,IF(F581&lt;&gt;"",1,0))))+IF(G581=1,30,IF(G581=2,20,IF(G581=3,10,IF(G581&lt;&gt;"",1,0))))+IF(H581=1,30,IF(H581=2,20,IF(H581=3,10,IF(H581&lt;&gt;"",1,0))))))</f>
        <v/>
      </c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14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>
        <f>IF(AND(C582="",OR(E582="",E582=0)),"",(IF(E582=1,30,IF(E582=2,20,IF(E582=3,10,IF(E582&lt;&gt;"",1,0))))+IF(F582=1,30,IF(F582=2,20,IF(F582=3,10,IF(F582&lt;&gt;"",1,0))))+IF(G582=1,30,IF(G582=2,20,IF(G582=3,10,IF(G582&lt;&gt;"",1,0))))+IF(H582=1,30,IF(H582=2,20,IF(H582=3,10,IF(H582&lt;&gt;"",1,0))))))</f>
        <v/>
      </c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14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>
        <f>IF(AND(C583="",OR(E583="",E583=0)),"",(IF(E583=1,30,IF(E583=2,20,IF(E583=3,10,IF(E583&lt;&gt;"",1,0))))+IF(F583=1,30,IF(F583=2,20,IF(F583=3,10,IF(F583&lt;&gt;"",1,0))))+IF(G583=1,30,IF(G583=2,20,IF(G583=3,10,IF(G583&lt;&gt;"",1,0))))+IF(H583=1,30,IF(H583=2,20,IF(H583=3,10,IF(H583&lt;&gt;"",1,0))))))</f>
        <v/>
      </c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14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>
        <f>IF(AND(C584="",OR(E584="",E584=0)),"",(IF(E584=1,30,IF(E584=2,20,IF(E584=3,10,IF(E584&lt;&gt;"",1,0))))+IF(F584=1,30,IF(F584=2,20,IF(F584=3,10,IF(F584&lt;&gt;"",1,0))))+IF(G584=1,30,IF(G584=2,20,IF(G584=3,10,IF(G584&lt;&gt;"",1,0))))+IF(H584=1,30,IF(H584=2,20,IF(H584=3,10,IF(H584&lt;&gt;"",1,0))))))</f>
        <v/>
      </c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14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>
        <f>IF(AND(C585="",OR(E585="",E585=0)),"",(IF(E585=1,30,IF(E585=2,20,IF(E585=3,10,IF(E585&lt;&gt;"",1,0))))+IF(F585=1,30,IF(F585=2,20,IF(F585=3,10,IF(F585&lt;&gt;"",1,0))))+IF(G585=1,30,IF(G585=2,20,IF(G585=3,10,IF(G585&lt;&gt;"",1,0))))+IF(H585=1,30,IF(H585=2,20,IF(H585=3,10,IF(H585&lt;&gt;"",1,0))))))</f>
        <v/>
      </c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14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>
        <f>IF(AND(C586="",OR(E586="",E586=0)),"",(IF(E586=1,30,IF(E586=2,20,IF(E586=3,10,IF(E586&lt;&gt;"",1,0))))+IF(F586=1,30,IF(F586=2,20,IF(F586=3,10,IF(F586&lt;&gt;"",1,0))))+IF(G586=1,30,IF(G586=2,20,IF(G586=3,10,IF(G586&lt;&gt;"",1,0))))+IF(H586=1,30,IF(H586=2,20,IF(H586=3,10,IF(H586&lt;&gt;"",1,0))))))</f>
        <v/>
      </c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14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>
        <f>IF(AND(C587="",OR(E587="",E587=0)),"",(IF(E587=1,30,IF(E587=2,20,IF(E587=3,10,IF(E587&lt;&gt;"",1,0))))+IF(F587=1,30,IF(F587=2,20,IF(F587=3,10,IF(F587&lt;&gt;"",1,0))))+IF(G587=1,30,IF(G587=2,20,IF(G587=3,10,IF(G587&lt;&gt;"",1,0))))+IF(H587=1,30,IF(H587=2,20,IF(H587=3,10,IF(H587&lt;&gt;"",1,0))))))</f>
        <v/>
      </c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14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>
        <f>IF(AND(C588="",OR(E588="",E588=0)),"",(IF(E588=1,30,IF(E588=2,20,IF(E588=3,10,IF(E588&lt;&gt;"",1,0))))+IF(F588=1,30,IF(F588=2,20,IF(F588=3,10,IF(F588&lt;&gt;"",1,0))))+IF(G588=1,30,IF(G588=2,20,IF(G588=3,10,IF(G588&lt;&gt;"",1,0))))+IF(H588=1,30,IF(H588=2,20,IF(H588=3,10,IF(H588&lt;&gt;"",1,0))))))</f>
        <v/>
      </c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14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>
        <f>IF(AND(C589="",OR(E589="",E589=0)),"",(IF(E589=1,30,IF(E589=2,20,IF(E589=3,10,IF(E589&lt;&gt;"",1,0))))+IF(F589=1,30,IF(F589=2,20,IF(F589=3,10,IF(F589&lt;&gt;"",1,0))))+IF(G589=1,30,IF(G589=2,20,IF(G589=3,10,IF(G589&lt;&gt;"",1,0))))+IF(H589=1,30,IF(H589=2,20,IF(H589=3,10,IF(H589&lt;&gt;"",1,0))))))</f>
        <v/>
      </c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14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>
        <f>IF(AND(C590="",OR(E590="",E590=0)),"",(IF(E590=1,30,IF(E590=2,20,IF(E590=3,10,IF(E590&lt;&gt;"",1,0))))+IF(F590=1,30,IF(F590=2,20,IF(F590=3,10,IF(F590&lt;&gt;"",1,0))))+IF(G590=1,30,IF(G590=2,20,IF(G590=3,10,IF(G590&lt;&gt;"",1,0))))+IF(H590=1,30,IF(H590=2,20,IF(H590=3,10,IF(H590&lt;&gt;"",1,0))))))</f>
        <v/>
      </c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14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>
        <f>IF(AND(C591="",OR(E591="",E591=0)),"",(IF(E591=1,30,IF(E591=2,20,IF(E591=3,10,IF(E591&lt;&gt;"",1,0))))+IF(F591=1,30,IF(F591=2,20,IF(F591=3,10,IF(F591&lt;&gt;"",1,0))))+IF(G591=1,30,IF(G591=2,20,IF(G591=3,10,IF(G591&lt;&gt;"",1,0))))+IF(H591=1,30,IF(H591=2,20,IF(H591=3,10,IF(H591&lt;&gt;"",1,0))))))</f>
        <v/>
      </c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14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>
        <f>IF(AND(C592="",OR(E592="",E592=0)),"",(IF(E592=1,30,IF(E592=2,20,IF(E592=3,10,IF(E592&lt;&gt;"",1,0))))+IF(F592=1,30,IF(F592=2,20,IF(F592=3,10,IF(F592&lt;&gt;"",1,0))))+IF(G592=1,30,IF(G592=2,20,IF(G592=3,10,IF(G592&lt;&gt;"",1,0))))+IF(H592=1,30,IF(H592=2,20,IF(H592=3,10,IF(H592&lt;&gt;"",1,0))))))</f>
        <v/>
      </c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14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>
        <f>IF(AND(C593="",OR(E593="",E593=0)),"",(IF(E593=1,30,IF(E593=2,20,IF(E593=3,10,IF(E593&lt;&gt;"",1,0))))+IF(F593=1,30,IF(F593=2,20,IF(F593=3,10,IF(F593&lt;&gt;"",1,0))))+IF(G593=1,30,IF(G593=2,20,IF(G593=3,10,IF(G593&lt;&gt;"",1,0))))+IF(H593=1,30,IF(H593=2,20,IF(H593=3,10,IF(H593&lt;&gt;"",1,0))))))</f>
        <v/>
      </c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14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>
        <f>IF(AND(C594="",OR(E594="",E594=0)),"",(IF(E594=1,30,IF(E594=2,20,IF(E594=3,10,IF(E594&lt;&gt;"",1,0))))+IF(F594=1,30,IF(F594=2,20,IF(F594=3,10,IF(F594&lt;&gt;"",1,0))))+IF(G594=1,30,IF(G594=2,20,IF(G594=3,10,IF(G594&lt;&gt;"",1,0))))+IF(H594=1,30,IF(H594=2,20,IF(H594=3,10,IF(H594&lt;&gt;"",1,0))))))</f>
        <v/>
      </c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14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>
        <f>IF(AND(C595="",OR(E595="",E595=0)),"",(IF(E595=1,30,IF(E595=2,20,IF(E595=3,10,IF(E595&lt;&gt;"",1,0))))+IF(F595=1,30,IF(F595=2,20,IF(F595=3,10,IF(F595&lt;&gt;"",1,0))))+IF(G595=1,30,IF(G595=2,20,IF(G595=3,10,IF(G595&lt;&gt;"",1,0))))+IF(H595=1,30,IF(H595=2,20,IF(H595=3,10,IF(H595&lt;&gt;"",1,0))))))</f>
        <v/>
      </c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14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>
        <f>IF(AND(C596="",OR(E596="",E596=0)),"",(IF(E596=1,30,IF(E596=2,20,IF(E596=3,10,IF(E596&lt;&gt;"",1,0))))+IF(F596=1,30,IF(F596=2,20,IF(F596=3,10,IF(F596&lt;&gt;"",1,0))))+IF(G596=1,30,IF(G596=2,20,IF(G596=3,10,IF(G596&lt;&gt;"",1,0))))+IF(H596=1,30,IF(H596=2,20,IF(H596=3,10,IF(H596&lt;&gt;"",1,0))))))</f>
        <v/>
      </c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14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>
        <f>IF(AND(C597="",OR(E597="",E597=0)),"",(IF(E597=1,30,IF(E597=2,20,IF(E597=3,10,IF(E597&lt;&gt;"",1,0))))+IF(F597=1,30,IF(F597=2,20,IF(F597=3,10,IF(F597&lt;&gt;"",1,0))))+IF(G597=1,30,IF(G597=2,20,IF(G597=3,10,IF(G597&lt;&gt;"",1,0))))+IF(H597=1,30,IF(H597=2,20,IF(H597=3,10,IF(H597&lt;&gt;"",1,0))))))</f>
        <v/>
      </c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14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>
        <f>IF(AND(C598="",OR(E598="",E598=0)),"",(IF(E598=1,30,IF(E598=2,20,IF(E598=3,10,IF(E598&lt;&gt;"",1,0))))+IF(F598=1,30,IF(F598=2,20,IF(F598=3,10,IF(F598&lt;&gt;"",1,0))))+IF(G598=1,30,IF(G598=2,20,IF(G598=3,10,IF(G598&lt;&gt;"",1,0))))+IF(H598=1,30,IF(H598=2,20,IF(H598=3,10,IF(H598&lt;&gt;"",1,0))))))</f>
        <v/>
      </c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14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>
        <f>IF(AND(C599="",OR(E599="",E599=0)),"",(IF(E599=1,30,IF(E599=2,20,IF(E599=3,10,IF(E599&lt;&gt;"",1,0))))+IF(F599=1,30,IF(F599=2,20,IF(F599=3,10,IF(F599&lt;&gt;"",1,0))))+IF(G599=1,30,IF(G599=2,20,IF(G599=3,10,IF(G599&lt;&gt;"",1,0))))+IF(H599=1,30,IF(H599=2,20,IF(H599=3,10,IF(H599&lt;&gt;"",1,0))))))</f>
        <v/>
      </c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14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>
        <f>IF(AND(C600="",OR(E600="",E600=0)),"",(IF(E600=1,30,IF(E600=2,20,IF(E600=3,10,IF(E600&lt;&gt;"",1,0))))+IF(F600=1,30,IF(F600=2,20,IF(F600=3,10,IF(F600&lt;&gt;"",1,0))))+IF(G600=1,30,IF(G600=2,20,IF(G600=3,10,IF(G600&lt;&gt;"",1,0))))+IF(H600=1,30,IF(H600=2,20,IF(H600=3,10,IF(H600&lt;&gt;"",1,0))))))</f>
        <v/>
      </c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14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>
        <f>IF(AND(C601="",OR(E601="",E601=0)),"",(IF(E601=1,30,IF(E601=2,20,IF(E601=3,10,IF(E601&lt;&gt;"",1,0))))+IF(F601=1,30,IF(F601=2,20,IF(F601=3,10,IF(F601&lt;&gt;"",1,0))))+IF(G601=1,30,IF(G601=2,20,IF(G601=3,10,IF(G601&lt;&gt;"",1,0))))+IF(H601=1,30,IF(H601=2,20,IF(H601=3,10,IF(H601&lt;&gt;"",1,0))))))</f>
        <v/>
      </c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14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>
        <f>IF(AND(C602="",OR(E602="",E602=0)),"",(IF(E602=1,30,IF(E602=2,20,IF(E602=3,10,IF(E602&lt;&gt;"",1,0))))+IF(F602=1,30,IF(F602=2,20,IF(F602=3,10,IF(F602&lt;&gt;"",1,0))))+IF(G602=1,30,IF(G602=2,20,IF(G602=3,10,IF(G602&lt;&gt;"",1,0))))+IF(H602=1,30,IF(H602=2,20,IF(H602=3,10,IF(H602&lt;&gt;"",1,0))))))</f>
        <v/>
      </c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14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>
        <f>IF(AND(C603="",OR(E603="",E603=0)),"",(IF(E603=1,30,IF(E603=2,20,IF(E603=3,10,IF(E603&lt;&gt;"",1,0))))+IF(F603=1,30,IF(F603=2,20,IF(F603=3,10,IF(F603&lt;&gt;"",1,0))))+IF(G603=1,30,IF(G603=2,20,IF(G603=3,10,IF(G603&lt;&gt;"",1,0))))+IF(H603=1,30,IF(H603=2,20,IF(H603=3,10,IF(H603&lt;&gt;"",1,0))))))</f>
        <v/>
      </c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14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>
        <f>IF(AND(C604="",OR(E604="",E604=0)),"",(IF(E604=1,30,IF(E604=2,20,IF(E604=3,10,IF(E604&lt;&gt;"",1,0))))+IF(F604=1,30,IF(F604=2,20,IF(F604=3,10,IF(F604&lt;&gt;"",1,0))))+IF(G604=1,30,IF(G604=2,20,IF(G604=3,10,IF(G604&lt;&gt;"",1,0))))+IF(H604=1,30,IF(H604=2,20,IF(H604=3,10,IF(H604&lt;&gt;"",1,0))))))</f>
        <v/>
      </c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14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>
        <f>IF(AND(C605="",OR(E605="",E605=0)),"",(IF(E605=1,30,IF(E605=2,20,IF(E605=3,10,IF(E605&lt;&gt;"",1,0))))+IF(F605=1,30,IF(F605=2,20,IF(F605=3,10,IF(F605&lt;&gt;"",1,0))))+IF(G605=1,30,IF(G605=2,20,IF(G605=3,10,IF(G605&lt;&gt;"",1,0))))+IF(H605=1,30,IF(H605=2,20,IF(H605=3,10,IF(H605&lt;&gt;"",1,0))))))</f>
        <v/>
      </c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14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>
        <f>IF(AND(C606="",OR(E606="",E606=0)),"",(IF(E606=1,30,IF(E606=2,20,IF(E606=3,10,IF(E606&lt;&gt;"",1,0))))+IF(F606=1,30,IF(F606=2,20,IF(F606=3,10,IF(F606&lt;&gt;"",1,0))))+IF(G606=1,30,IF(G606=2,20,IF(G606=3,10,IF(G606&lt;&gt;"",1,0))))+IF(H606=1,30,IF(H606=2,20,IF(H606=3,10,IF(H606&lt;&gt;"",1,0))))))</f>
        <v/>
      </c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14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>
        <f>IF(AND(C607="",OR(E607="",E607=0)),"",(IF(E607=1,30,IF(E607=2,20,IF(E607=3,10,IF(E607&lt;&gt;"",1,0))))+IF(F607=1,30,IF(F607=2,20,IF(F607=3,10,IF(F607&lt;&gt;"",1,0))))+IF(G607=1,30,IF(G607=2,20,IF(G607=3,10,IF(G607&lt;&gt;"",1,0))))+IF(H607=1,30,IF(H607=2,20,IF(H607=3,10,IF(H607&lt;&gt;"",1,0))))))</f>
        <v/>
      </c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14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>
        <f>IF(AND(C608="",OR(E608="",E608=0)),"",(IF(E608=1,30,IF(E608=2,20,IF(E608=3,10,IF(E608&lt;&gt;"",1,0))))+IF(F608=1,30,IF(F608=2,20,IF(F608=3,10,IF(F608&lt;&gt;"",1,0))))+IF(G608=1,30,IF(G608=2,20,IF(G608=3,10,IF(G608&lt;&gt;"",1,0))))+IF(H608=1,30,IF(H608=2,20,IF(H608=3,10,IF(H608&lt;&gt;"",1,0))))))</f>
        <v/>
      </c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14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>
        <f>IF(AND(C609="",OR(E609="",E609=0)),"",(IF(E609=1,30,IF(E609=2,20,IF(E609=3,10,IF(E609&lt;&gt;"",1,0))))+IF(F609=1,30,IF(F609=2,20,IF(F609=3,10,IF(F609&lt;&gt;"",1,0))))+IF(G609=1,30,IF(G609=2,20,IF(G609=3,10,IF(G609&lt;&gt;"",1,0))))+IF(H609=1,30,IF(H609=2,20,IF(H609=3,10,IF(H609&lt;&gt;"",1,0))))))</f>
        <v/>
      </c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14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>
        <f>IF(AND(C610="",OR(E610="",E610=0)),"",(IF(E610=1,30,IF(E610=2,20,IF(E610=3,10,IF(E610&lt;&gt;"",1,0))))+IF(F610=1,30,IF(F610=2,20,IF(F610=3,10,IF(F610&lt;&gt;"",1,0))))+IF(G610=1,30,IF(G610=2,20,IF(G610=3,10,IF(G610&lt;&gt;"",1,0))))+IF(H610=1,30,IF(H610=2,20,IF(H610=3,10,IF(H610&lt;&gt;"",1,0))))))</f>
        <v/>
      </c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14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>
        <f>IF(AND(C611="",OR(E611="",E611=0)),"",(IF(E611=1,30,IF(E611=2,20,IF(E611=3,10,IF(E611&lt;&gt;"",1,0))))+IF(F611=1,30,IF(F611=2,20,IF(F611=3,10,IF(F611&lt;&gt;"",1,0))))+IF(G611=1,30,IF(G611=2,20,IF(G611=3,10,IF(G611&lt;&gt;"",1,0))))+IF(H611=1,30,IF(H611=2,20,IF(H611=3,10,IF(H611&lt;&gt;"",1,0))))))</f>
        <v/>
      </c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14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>
        <f>IF(AND(C612="",OR(E612="",E612=0)),"",(IF(E612=1,30,IF(E612=2,20,IF(E612=3,10,IF(E612&lt;&gt;"",1,0))))+IF(F612=1,30,IF(F612=2,20,IF(F612=3,10,IF(F612&lt;&gt;"",1,0))))+IF(G612=1,30,IF(G612=2,20,IF(G612=3,10,IF(G612&lt;&gt;"",1,0))))+IF(H612=1,30,IF(H612=2,20,IF(H612=3,10,IF(H612&lt;&gt;"",1,0))))))</f>
        <v/>
      </c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14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>
        <f>IF(AND(C613="",OR(E613="",E613=0)),"",(IF(E613=1,30,IF(E613=2,20,IF(E613=3,10,IF(E613&lt;&gt;"",1,0))))+IF(F613=1,30,IF(F613=2,20,IF(F613=3,10,IF(F613&lt;&gt;"",1,0))))+IF(G613=1,30,IF(G613=2,20,IF(G613=3,10,IF(G613&lt;&gt;"",1,0))))+IF(H613=1,30,IF(H613=2,20,IF(H613=3,10,IF(H613&lt;&gt;"",1,0))))))</f>
        <v/>
      </c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14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>
        <f>IF(AND(C614="",OR(E614="",E614=0)),"",(IF(E614=1,30,IF(E614=2,20,IF(E614=3,10,IF(E614&lt;&gt;"",1,0))))+IF(F614=1,30,IF(F614=2,20,IF(F614=3,10,IF(F614&lt;&gt;"",1,0))))+IF(G614=1,30,IF(G614=2,20,IF(G614=3,10,IF(G614&lt;&gt;"",1,0))))+IF(H614=1,30,IF(H614=2,20,IF(H614=3,10,IF(H614&lt;&gt;"",1,0))))))</f>
        <v/>
      </c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14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>
        <f>IF(AND(C615="",OR(E615="",E615=0)),"",(IF(E615=1,30,IF(E615=2,20,IF(E615=3,10,IF(E615&lt;&gt;"",1,0))))+IF(F615=1,30,IF(F615=2,20,IF(F615=3,10,IF(F615&lt;&gt;"",1,0))))+IF(G615=1,30,IF(G615=2,20,IF(G615=3,10,IF(G615&lt;&gt;"",1,0))))+IF(H615=1,30,IF(H615=2,20,IF(H615=3,10,IF(H615&lt;&gt;"",1,0))))))</f>
        <v/>
      </c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14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>
        <f>IF(AND(C616="",OR(E616="",E616=0)),"",(IF(E616=1,30,IF(E616=2,20,IF(E616=3,10,IF(E616&lt;&gt;"",1,0))))+IF(F616=1,30,IF(F616=2,20,IF(F616=3,10,IF(F616&lt;&gt;"",1,0))))+IF(G616=1,30,IF(G616=2,20,IF(G616=3,10,IF(G616&lt;&gt;"",1,0))))+IF(H616=1,30,IF(H616=2,20,IF(H616=3,10,IF(H616&lt;&gt;"",1,0))))))</f>
        <v/>
      </c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14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>
        <f>IF(AND(C617="",OR(E617="",E617=0)),"",(IF(E617=1,30,IF(E617=2,20,IF(E617=3,10,IF(E617&lt;&gt;"",1,0))))+IF(F617=1,30,IF(F617=2,20,IF(F617=3,10,IF(F617&lt;&gt;"",1,0))))+IF(G617=1,30,IF(G617=2,20,IF(G617=3,10,IF(G617&lt;&gt;"",1,0))))+IF(H617=1,30,IF(H617=2,20,IF(H617=3,10,IF(H617&lt;&gt;"",1,0))))))</f>
        <v/>
      </c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14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>
        <f>IF(AND(C618="",OR(E618="",E618=0)),"",(IF(E618=1,30,IF(E618=2,20,IF(E618=3,10,IF(E618&lt;&gt;"",1,0))))+IF(F618=1,30,IF(F618=2,20,IF(F618=3,10,IF(F618&lt;&gt;"",1,0))))+IF(G618=1,30,IF(G618=2,20,IF(G618=3,10,IF(G618&lt;&gt;"",1,0))))+IF(H618=1,30,IF(H618=2,20,IF(H618=3,10,IF(H618&lt;&gt;"",1,0))))))</f>
        <v/>
      </c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14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>
        <f>IF(AND(C619="",OR(E619="",E619=0)),"",(IF(E619=1,30,IF(E619=2,20,IF(E619=3,10,IF(E619&lt;&gt;"",1,0))))+IF(F619=1,30,IF(F619=2,20,IF(F619=3,10,IF(F619&lt;&gt;"",1,0))))+IF(G619=1,30,IF(G619=2,20,IF(G619=3,10,IF(G619&lt;&gt;"",1,0))))+IF(H619=1,30,IF(H619=2,20,IF(H619=3,10,IF(H619&lt;&gt;"",1,0))))))</f>
        <v/>
      </c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14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>
        <f>IF(AND(C620="",OR(E620="",E620=0)),"",(IF(E620=1,30,IF(E620=2,20,IF(E620=3,10,IF(E620&lt;&gt;"",1,0))))+IF(F620=1,30,IF(F620=2,20,IF(F620=3,10,IF(F620&lt;&gt;"",1,0))))+IF(G620=1,30,IF(G620=2,20,IF(G620=3,10,IF(G620&lt;&gt;"",1,0))))+IF(H620=1,30,IF(H620=2,20,IF(H620=3,10,IF(H620&lt;&gt;"",1,0))))))</f>
        <v/>
      </c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14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>
        <f>IF(AND(C621="",OR(E621="",E621=0)),"",(IF(E621=1,30,IF(E621=2,20,IF(E621=3,10,IF(E621&lt;&gt;"",1,0))))+IF(F621=1,30,IF(F621=2,20,IF(F621=3,10,IF(F621&lt;&gt;"",1,0))))+IF(G621=1,30,IF(G621=2,20,IF(G621=3,10,IF(G621&lt;&gt;"",1,0))))+IF(H621=1,30,IF(H621=2,20,IF(H621=3,10,IF(H621&lt;&gt;"",1,0))))))</f>
        <v/>
      </c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14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>
        <f>IF(AND(C622="",OR(E622="",E622=0)),"",(IF(E622=1,30,IF(E622=2,20,IF(E622=3,10,IF(E622&lt;&gt;"",1,0))))+IF(F622=1,30,IF(F622=2,20,IF(F622=3,10,IF(F622&lt;&gt;"",1,0))))+IF(G622=1,30,IF(G622=2,20,IF(G622=3,10,IF(G622&lt;&gt;"",1,0))))+IF(H622=1,30,IF(H622=2,20,IF(H622=3,10,IF(H622&lt;&gt;"",1,0))))))</f>
        <v/>
      </c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14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>
        <f>IF(AND(C623="",OR(E623="",E623=0)),"",(IF(E623=1,30,IF(E623=2,20,IF(E623=3,10,IF(E623&lt;&gt;"",1,0))))+IF(F623=1,30,IF(F623=2,20,IF(F623=3,10,IF(F623&lt;&gt;"",1,0))))+IF(G623=1,30,IF(G623=2,20,IF(G623=3,10,IF(G623&lt;&gt;"",1,0))))+IF(H623=1,30,IF(H623=2,20,IF(H623=3,10,IF(H623&lt;&gt;"",1,0))))))</f>
        <v/>
      </c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14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>
        <f>IF(AND(C624="",OR(E624="",E624=0)),"",(IF(E624=1,30,IF(E624=2,20,IF(E624=3,10,IF(E624&lt;&gt;"",1,0))))+IF(F624=1,30,IF(F624=2,20,IF(F624=3,10,IF(F624&lt;&gt;"",1,0))))+IF(G624=1,30,IF(G624=2,20,IF(G624=3,10,IF(G624&lt;&gt;"",1,0))))+IF(H624=1,30,IF(H624=2,20,IF(H624=3,10,IF(H624&lt;&gt;"",1,0))))))</f>
        <v/>
      </c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14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>
        <f>IF(AND(C625="",OR(E625="",E625=0)),"",(IF(E625=1,30,IF(E625=2,20,IF(E625=3,10,IF(E625&lt;&gt;"",1,0))))+IF(F625=1,30,IF(F625=2,20,IF(F625=3,10,IF(F625&lt;&gt;"",1,0))))+IF(G625=1,30,IF(G625=2,20,IF(G625=3,10,IF(G625&lt;&gt;"",1,0))))+IF(H625=1,30,IF(H625=2,20,IF(H625=3,10,IF(H625&lt;&gt;"",1,0))))))</f>
        <v/>
      </c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14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>
        <f>IF(AND(C626="",OR(E626="",E626=0)),"",(IF(E626=1,30,IF(E626=2,20,IF(E626=3,10,IF(E626&lt;&gt;"",1,0))))+IF(F626=1,30,IF(F626=2,20,IF(F626=3,10,IF(F626&lt;&gt;"",1,0))))+IF(G626=1,30,IF(G626=2,20,IF(G626=3,10,IF(G626&lt;&gt;"",1,0))))+IF(H626=1,30,IF(H626=2,20,IF(H626=3,10,IF(H626&lt;&gt;"",1,0))))))</f>
        <v/>
      </c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14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>
        <f>IF(AND(C627="",OR(E627="",E627=0)),"",(IF(E627=1,30,IF(E627=2,20,IF(E627=3,10,IF(E627&lt;&gt;"",1,0))))+IF(F627=1,30,IF(F627=2,20,IF(F627=3,10,IF(F627&lt;&gt;"",1,0))))+IF(G627=1,30,IF(G627=2,20,IF(G627=3,10,IF(G627&lt;&gt;"",1,0))))+IF(H627=1,30,IF(H627=2,20,IF(H627=3,10,IF(H627&lt;&gt;"",1,0))))))</f>
        <v/>
      </c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14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>
        <f>IF(AND(C628="",OR(E628="",E628=0)),"",(IF(E628=1,30,IF(E628=2,20,IF(E628=3,10,IF(E628&lt;&gt;"",1,0))))+IF(F628=1,30,IF(F628=2,20,IF(F628=3,10,IF(F628&lt;&gt;"",1,0))))+IF(G628=1,30,IF(G628=2,20,IF(G628=3,10,IF(G628&lt;&gt;"",1,0))))+IF(H628=1,30,IF(H628=2,20,IF(H628=3,10,IF(H628&lt;&gt;"",1,0))))))</f>
        <v/>
      </c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14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>
        <f>IF(AND(C629="",OR(E629="",E629=0)),"",(IF(E629=1,30,IF(E629=2,20,IF(E629=3,10,IF(E629&lt;&gt;"",1,0))))+IF(F629=1,30,IF(F629=2,20,IF(F629=3,10,IF(F629&lt;&gt;"",1,0))))+IF(G629=1,30,IF(G629=2,20,IF(G629=3,10,IF(G629&lt;&gt;"",1,0))))+IF(H629=1,30,IF(H629=2,20,IF(H629=3,10,IF(H629&lt;&gt;"",1,0))))))</f>
        <v/>
      </c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14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>
        <f>IF(AND(C630="",OR(E630="",E630=0)),"",(IF(E630=1,30,IF(E630=2,20,IF(E630=3,10,IF(E630&lt;&gt;"",1,0))))+IF(F630=1,30,IF(F630=2,20,IF(F630=3,10,IF(F630&lt;&gt;"",1,0))))+IF(G630=1,30,IF(G630=2,20,IF(G630=3,10,IF(G630&lt;&gt;"",1,0))))+IF(H630=1,30,IF(H630=2,20,IF(H630=3,10,IF(H630&lt;&gt;"",1,0))))))</f>
        <v/>
      </c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14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>
        <f>IF(AND(C631="",OR(E631="",E631=0)),"",(IF(E631=1,30,IF(E631=2,20,IF(E631=3,10,IF(E631&lt;&gt;"",1,0))))+IF(F631=1,30,IF(F631=2,20,IF(F631=3,10,IF(F631&lt;&gt;"",1,0))))+IF(G631=1,30,IF(G631=2,20,IF(G631=3,10,IF(G631&lt;&gt;"",1,0))))+IF(H631=1,30,IF(H631=2,20,IF(H631=3,10,IF(H631&lt;&gt;"",1,0))))))</f>
        <v/>
      </c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14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>
        <f>IF(AND(C632="",OR(E632="",E632=0)),"",(IF(E632=1,30,IF(E632=2,20,IF(E632=3,10,IF(E632&lt;&gt;"",1,0))))+IF(F632=1,30,IF(F632=2,20,IF(F632=3,10,IF(F632&lt;&gt;"",1,0))))+IF(G632=1,30,IF(G632=2,20,IF(G632=3,10,IF(G632&lt;&gt;"",1,0))))+IF(H632=1,30,IF(H632=2,20,IF(H632=3,10,IF(H632&lt;&gt;"",1,0))))))</f>
        <v/>
      </c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14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>
        <f>IF(AND(C633="",OR(E633="",E633=0)),"",(IF(E633=1,30,IF(E633=2,20,IF(E633=3,10,IF(E633&lt;&gt;"",1,0))))+IF(F633=1,30,IF(F633=2,20,IF(F633=3,10,IF(F633&lt;&gt;"",1,0))))+IF(G633=1,30,IF(G633=2,20,IF(G633=3,10,IF(G633&lt;&gt;"",1,0))))+IF(H633=1,30,IF(H633=2,20,IF(H633=3,10,IF(H633&lt;&gt;"",1,0))))))</f>
        <v/>
      </c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14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>
        <f>IF(AND(C634="",OR(E634="",E634=0)),"",(IF(E634=1,30,IF(E634=2,20,IF(E634=3,10,IF(E634&lt;&gt;"",1,0))))+IF(F634=1,30,IF(F634=2,20,IF(F634=3,10,IF(F634&lt;&gt;"",1,0))))+IF(G634=1,30,IF(G634=2,20,IF(G634=3,10,IF(G634&lt;&gt;"",1,0))))+IF(H634=1,30,IF(H634=2,20,IF(H634=3,10,IF(H634&lt;&gt;"",1,0))))))</f>
        <v/>
      </c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14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>
        <f>IF(AND(C635="",OR(E635="",E635=0)),"",(IF(E635=1,30,IF(E635=2,20,IF(E635=3,10,IF(E635&lt;&gt;"",1,0))))+IF(F635=1,30,IF(F635=2,20,IF(F635=3,10,IF(F635&lt;&gt;"",1,0))))+IF(G635=1,30,IF(G635=2,20,IF(G635=3,10,IF(G635&lt;&gt;"",1,0))))+IF(H635=1,30,IF(H635=2,20,IF(H635=3,10,IF(H635&lt;&gt;"",1,0))))))</f>
        <v/>
      </c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14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>
        <f>IF(AND(C636="",OR(E636="",E636=0)),"",(IF(E636=1,30,IF(E636=2,20,IF(E636=3,10,IF(E636&lt;&gt;"",1,0))))+IF(F636=1,30,IF(F636=2,20,IF(F636=3,10,IF(F636&lt;&gt;"",1,0))))+IF(G636=1,30,IF(G636=2,20,IF(G636=3,10,IF(G636&lt;&gt;"",1,0))))+IF(H636=1,30,IF(H636=2,20,IF(H636=3,10,IF(H636&lt;&gt;"",1,0))))))</f>
        <v/>
      </c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14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>
        <f>IF(AND(C637="",OR(E637="",E637=0)),"",(IF(E637=1,30,IF(E637=2,20,IF(E637=3,10,IF(E637&lt;&gt;"",1,0))))+IF(F637=1,30,IF(F637=2,20,IF(F637=3,10,IF(F637&lt;&gt;"",1,0))))+IF(G637=1,30,IF(G637=2,20,IF(G637=3,10,IF(G637&lt;&gt;"",1,0))))+IF(H637=1,30,IF(H637=2,20,IF(H637=3,10,IF(H637&lt;&gt;"",1,0))))))</f>
        <v/>
      </c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14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>
        <f>IF(AND(C638="",OR(E638="",E638=0)),"",(IF(E638=1,30,IF(E638=2,20,IF(E638=3,10,IF(E638&lt;&gt;"",1,0))))+IF(F638=1,30,IF(F638=2,20,IF(F638=3,10,IF(F638&lt;&gt;"",1,0))))+IF(G638=1,30,IF(G638=2,20,IF(G638=3,10,IF(G638&lt;&gt;"",1,0))))+IF(H638=1,30,IF(H638=2,20,IF(H638=3,10,IF(H638&lt;&gt;"",1,0))))))</f>
        <v/>
      </c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14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>
        <f>IF(AND(C639="",OR(E639="",E639=0)),"",(IF(E639=1,30,IF(E639=2,20,IF(E639=3,10,IF(E639&lt;&gt;"",1,0))))+IF(F639=1,30,IF(F639=2,20,IF(F639=3,10,IF(F639&lt;&gt;"",1,0))))+IF(G639=1,30,IF(G639=2,20,IF(G639=3,10,IF(G639&lt;&gt;"",1,0))))+IF(H639=1,30,IF(H639=2,20,IF(H639=3,10,IF(H639&lt;&gt;"",1,0))))))</f>
        <v/>
      </c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14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>
        <f>IF(AND(C640="",OR(E640="",E640=0)),"",(IF(E640=1,30,IF(E640=2,20,IF(E640=3,10,IF(E640&lt;&gt;"",1,0))))+IF(F640=1,30,IF(F640=2,20,IF(F640=3,10,IF(F640&lt;&gt;"",1,0))))+IF(G640=1,30,IF(G640=2,20,IF(G640=3,10,IF(G640&lt;&gt;"",1,0))))+IF(H640=1,30,IF(H640=2,20,IF(H640=3,10,IF(H640&lt;&gt;"",1,0))))))</f>
        <v/>
      </c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14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>
        <f>IF(AND(C641="",OR(E641="",E641=0)),"",(IF(E641=1,30,IF(E641=2,20,IF(E641=3,10,IF(E641&lt;&gt;"",1,0))))+IF(F641=1,30,IF(F641=2,20,IF(F641=3,10,IF(F641&lt;&gt;"",1,0))))+IF(G641=1,30,IF(G641=2,20,IF(G641=3,10,IF(G641&lt;&gt;"",1,0))))+IF(H641=1,30,IF(H641=2,20,IF(H641=3,10,IF(H641&lt;&gt;"",1,0))))))</f>
        <v/>
      </c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14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>
        <f>IF(AND(C642="",OR(E642="",E642=0)),"",(IF(E642=1,30,IF(E642=2,20,IF(E642=3,10,IF(E642&lt;&gt;"",1,0))))+IF(F642=1,30,IF(F642=2,20,IF(F642=3,10,IF(F642&lt;&gt;"",1,0))))+IF(G642=1,30,IF(G642=2,20,IF(G642=3,10,IF(G642&lt;&gt;"",1,0))))+IF(H642=1,30,IF(H642=2,20,IF(H642=3,10,IF(H642&lt;&gt;"",1,0))))))</f>
        <v/>
      </c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1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>
        <f>IF(AND(C643="",OR(E643="",E643=0)),"",(IF(E643=1,30,IF(E643=2,20,IF(E643=3,10,IF(E643&lt;&gt;"",1,0))))+IF(F643=1,30,IF(F643=2,20,IF(F643=3,10,IF(F643&lt;&gt;"",1,0))))+IF(G643=1,30,IF(G643=2,20,IF(G643=3,10,IF(G643&lt;&gt;"",1,0))))+IF(H643=1,30,IF(H643=2,20,IF(H643=3,10,IF(H643&lt;&gt;"",1,0))))))</f>
        <v/>
      </c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14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>
        <f>IF(AND(C644="",OR(E644="",E644=0)),"",(IF(E644=1,30,IF(E644=2,20,IF(E644=3,10,IF(E644&lt;&gt;"",1,0))))+IF(F644=1,30,IF(F644=2,20,IF(F644=3,10,IF(F644&lt;&gt;"",1,0))))+IF(G644=1,30,IF(G644=2,20,IF(G644=3,10,IF(G644&lt;&gt;"",1,0))))+IF(H644=1,30,IF(H644=2,20,IF(H644=3,10,IF(H644&lt;&gt;"",1,0))))))</f>
        <v/>
      </c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14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>
        <f>IF(AND(C645="",OR(E645="",E645=0)),"",(IF(E645=1,30,IF(E645=2,20,IF(E645=3,10,IF(E645&lt;&gt;"",1,0))))+IF(F645=1,30,IF(F645=2,20,IF(F645=3,10,IF(F645&lt;&gt;"",1,0))))+IF(G645=1,30,IF(G645=2,20,IF(G645=3,10,IF(G645&lt;&gt;"",1,0))))+IF(H645=1,30,IF(H645=2,20,IF(H645=3,10,IF(H645&lt;&gt;"",1,0))))))</f>
        <v/>
      </c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14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>
        <f>IF(AND(C646="",OR(E646="",E646=0)),"",(IF(E646=1,30,IF(E646=2,20,IF(E646=3,10,IF(E646&lt;&gt;"",1,0))))+IF(F646=1,30,IF(F646=2,20,IF(F646=3,10,IF(F646&lt;&gt;"",1,0))))+IF(G646=1,30,IF(G646=2,20,IF(G646=3,10,IF(G646&lt;&gt;"",1,0))))+IF(H646=1,30,IF(H646=2,20,IF(H646=3,10,IF(H646&lt;&gt;"",1,0))))))</f>
        <v/>
      </c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14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>
        <f>IF(AND(C647="",OR(E647="",E647=0)),"",(IF(E647=1,30,IF(E647=2,20,IF(E647=3,10,IF(E647&lt;&gt;"",1,0))))+IF(F647=1,30,IF(F647=2,20,IF(F647=3,10,IF(F647&lt;&gt;"",1,0))))+IF(G647=1,30,IF(G647=2,20,IF(G647=3,10,IF(G647&lt;&gt;"",1,0))))+IF(H647=1,30,IF(H647=2,20,IF(H647=3,10,IF(H647&lt;&gt;"",1,0))))))</f>
        <v/>
      </c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14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>
        <f>IF(AND(C648="",OR(E648="",E648=0)),"",(IF(E648=1,30,IF(E648=2,20,IF(E648=3,10,IF(E648&lt;&gt;"",1,0))))+IF(F648=1,30,IF(F648=2,20,IF(F648=3,10,IF(F648&lt;&gt;"",1,0))))+IF(G648=1,30,IF(G648=2,20,IF(G648=3,10,IF(G648&lt;&gt;"",1,0))))+IF(H648=1,30,IF(H648=2,20,IF(H648=3,10,IF(H648&lt;&gt;"",1,0))))))</f>
        <v/>
      </c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14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>
        <f>IF(AND(C649="",OR(E649="",E649=0)),"",(IF(E649=1,30,IF(E649=2,20,IF(E649=3,10,IF(E649&lt;&gt;"",1,0))))+IF(F649=1,30,IF(F649=2,20,IF(F649=3,10,IF(F649&lt;&gt;"",1,0))))+IF(G649=1,30,IF(G649=2,20,IF(G649=3,10,IF(G649&lt;&gt;"",1,0))))+IF(H649=1,30,IF(H649=2,20,IF(H649=3,10,IF(H649&lt;&gt;"",1,0))))))</f>
        <v/>
      </c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14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>
        <f>IF(AND(C650="",OR(E650="",E650=0)),"",(IF(E650=1,30,IF(E650=2,20,IF(E650=3,10,IF(E650&lt;&gt;"",1,0))))+IF(F650=1,30,IF(F650=2,20,IF(F650=3,10,IF(F650&lt;&gt;"",1,0))))+IF(G650=1,30,IF(G650=2,20,IF(G650=3,10,IF(G650&lt;&gt;"",1,0))))+IF(H650=1,30,IF(H650=2,20,IF(H650=3,10,IF(H650&lt;&gt;"",1,0))))))</f>
        <v/>
      </c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14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>
        <f>IF(AND(C651="",OR(E651="",E651=0)),"",(IF(E651=1,30,IF(E651=2,20,IF(E651=3,10,IF(E651&lt;&gt;"",1,0))))+IF(F651=1,30,IF(F651=2,20,IF(F651=3,10,IF(F651&lt;&gt;"",1,0))))+IF(G651=1,30,IF(G651=2,20,IF(G651=3,10,IF(G651&lt;&gt;"",1,0))))+IF(H651=1,30,IF(H651=2,20,IF(H651=3,10,IF(H651&lt;&gt;"",1,0))))))</f>
        <v/>
      </c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14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>
        <f>IF(AND(C652="",OR(E652="",E652=0)),"",(IF(E652=1,30,IF(E652=2,20,IF(E652=3,10,IF(E652&lt;&gt;"",1,0))))+IF(F652=1,30,IF(F652=2,20,IF(F652=3,10,IF(F652&lt;&gt;"",1,0))))+IF(G652=1,30,IF(G652=2,20,IF(G652=3,10,IF(G652&lt;&gt;"",1,0))))+IF(H652=1,30,IF(H652=2,20,IF(H652=3,10,IF(H652&lt;&gt;"",1,0))))))</f>
        <v/>
      </c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14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>
        <f>IF(AND(C653="",OR(E653="",E653=0)),"",(IF(E653=1,30,IF(E653=2,20,IF(E653=3,10,IF(E653&lt;&gt;"",1,0))))+IF(F653=1,30,IF(F653=2,20,IF(F653=3,10,IF(F653&lt;&gt;"",1,0))))+IF(G653=1,30,IF(G653=2,20,IF(G653=3,10,IF(G653&lt;&gt;"",1,0))))+IF(H653=1,30,IF(H653=2,20,IF(H653=3,10,IF(H653&lt;&gt;"",1,0))))))</f>
        <v/>
      </c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14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>
        <f>IF(AND(C654="",OR(E654="",E654=0)),"",(IF(E654=1,30,IF(E654=2,20,IF(E654=3,10,IF(E654&lt;&gt;"",1,0))))+IF(F654=1,30,IF(F654=2,20,IF(F654=3,10,IF(F654&lt;&gt;"",1,0))))+IF(G654=1,30,IF(G654=2,20,IF(G654=3,10,IF(G654&lt;&gt;"",1,0))))+IF(H654=1,30,IF(H654=2,20,IF(H654=3,10,IF(H654&lt;&gt;"",1,0))))))</f>
        <v/>
      </c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14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>
        <f>IF(AND(C655="",OR(E655="",E655=0)),"",(IF(E655=1,30,IF(E655=2,20,IF(E655=3,10,IF(E655&lt;&gt;"",1,0))))+IF(F655=1,30,IF(F655=2,20,IF(F655=3,10,IF(F655&lt;&gt;"",1,0))))+IF(G655=1,30,IF(G655=2,20,IF(G655=3,10,IF(G655&lt;&gt;"",1,0))))+IF(H655=1,30,IF(H655=2,20,IF(H655=3,10,IF(H655&lt;&gt;"",1,0))))))</f>
        <v/>
      </c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14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>
        <f>IF(AND(C656="",OR(E656="",E656=0)),"",(IF(E656=1,30,IF(E656=2,20,IF(E656=3,10,IF(E656&lt;&gt;"",1,0))))+IF(F656=1,30,IF(F656=2,20,IF(F656=3,10,IF(F656&lt;&gt;"",1,0))))+IF(G656=1,30,IF(G656=2,20,IF(G656=3,10,IF(G656&lt;&gt;"",1,0))))+IF(H656=1,30,IF(H656=2,20,IF(H656=3,10,IF(H656&lt;&gt;"",1,0))))))</f>
        <v/>
      </c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14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>
        <f>IF(AND(C657="",OR(E657="",E657=0)),"",(IF(E657=1,30,IF(E657=2,20,IF(E657=3,10,IF(E657&lt;&gt;"",1,0))))+IF(F657=1,30,IF(F657=2,20,IF(F657=3,10,IF(F657&lt;&gt;"",1,0))))+IF(G657=1,30,IF(G657=2,20,IF(G657=3,10,IF(G657&lt;&gt;"",1,0))))+IF(H657=1,30,IF(H657=2,20,IF(H657=3,10,IF(H657&lt;&gt;"",1,0))))))</f>
        <v/>
      </c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14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>
        <f>IF(AND(C658="",OR(E658="",E658=0)),"",(IF(E658=1,30,IF(E658=2,20,IF(E658=3,10,IF(E658&lt;&gt;"",1,0))))+IF(F658=1,30,IF(F658=2,20,IF(F658=3,10,IF(F658&lt;&gt;"",1,0))))+IF(G658=1,30,IF(G658=2,20,IF(G658=3,10,IF(G658&lt;&gt;"",1,0))))+IF(H658=1,30,IF(H658=2,20,IF(H658=3,10,IF(H658&lt;&gt;"",1,0))))))</f>
        <v/>
      </c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14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>
        <f>IF(AND(C659="",OR(E659="",E659=0)),"",(IF(E659=1,30,IF(E659=2,20,IF(E659=3,10,IF(E659&lt;&gt;"",1,0))))+IF(F659=1,30,IF(F659=2,20,IF(F659=3,10,IF(F659&lt;&gt;"",1,0))))+IF(G659=1,30,IF(G659=2,20,IF(G659=3,10,IF(G659&lt;&gt;"",1,0))))+IF(H659=1,30,IF(H659=2,20,IF(H659=3,10,IF(H659&lt;&gt;"",1,0))))))</f>
        <v/>
      </c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14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>
        <f>IF(AND(C660="",OR(E660="",E660=0)),"",(IF(E660=1,30,IF(E660=2,20,IF(E660=3,10,IF(E660&lt;&gt;"",1,0))))+IF(F660=1,30,IF(F660=2,20,IF(F660=3,10,IF(F660&lt;&gt;"",1,0))))+IF(G660=1,30,IF(G660=2,20,IF(G660=3,10,IF(G660&lt;&gt;"",1,0))))+IF(H660=1,30,IF(H660=2,20,IF(H660=3,10,IF(H660&lt;&gt;"",1,0))))))</f>
        <v/>
      </c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14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>
        <f>IF(AND(C661="",OR(E661="",E661=0)),"",(IF(E661=1,30,IF(E661=2,20,IF(E661=3,10,IF(E661&lt;&gt;"",1,0))))+IF(F661=1,30,IF(F661=2,20,IF(F661=3,10,IF(F661&lt;&gt;"",1,0))))+IF(G661=1,30,IF(G661=2,20,IF(G661=3,10,IF(G661&lt;&gt;"",1,0))))+IF(H661=1,30,IF(H661=2,20,IF(H661=3,10,IF(H661&lt;&gt;"",1,0))))))</f>
        <v/>
      </c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14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>
        <f>IF(AND(C662="",OR(E662="",E662=0)),"",(IF(E662=1,30,IF(E662=2,20,IF(E662=3,10,IF(E662&lt;&gt;"",1,0))))+IF(F662=1,30,IF(F662=2,20,IF(F662=3,10,IF(F662&lt;&gt;"",1,0))))+IF(G662=1,30,IF(G662=2,20,IF(G662=3,10,IF(G662&lt;&gt;"",1,0))))+IF(H662=1,30,IF(H662=2,20,IF(H662=3,10,IF(H662&lt;&gt;"",1,0))))))</f>
        <v/>
      </c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14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>
        <f>IF(AND(C663="",OR(E663="",E663=0)),"",(IF(E663=1,30,IF(E663=2,20,IF(E663=3,10,IF(E663&lt;&gt;"",1,0))))+IF(F663=1,30,IF(F663=2,20,IF(F663=3,10,IF(F663&lt;&gt;"",1,0))))+IF(G663=1,30,IF(G663=2,20,IF(G663=3,10,IF(G663&lt;&gt;"",1,0))))+IF(H663=1,30,IF(H663=2,20,IF(H663=3,10,IF(H663&lt;&gt;"",1,0))))))</f>
        <v/>
      </c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14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>
        <f>IF(AND(C664="",OR(E664="",E664=0)),"",(IF(E664=1,30,IF(E664=2,20,IF(E664=3,10,IF(E664&lt;&gt;"",1,0))))+IF(F664=1,30,IF(F664=2,20,IF(F664=3,10,IF(F664&lt;&gt;"",1,0))))+IF(G664=1,30,IF(G664=2,20,IF(G664=3,10,IF(G664&lt;&gt;"",1,0))))+IF(H664=1,30,IF(H664=2,20,IF(H664=3,10,IF(H664&lt;&gt;"",1,0))))))</f>
        <v/>
      </c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14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>
        <f>IF(AND(C665="",OR(E665="",E665=0)),"",(IF(E665=1,30,IF(E665=2,20,IF(E665=3,10,IF(E665&lt;&gt;"",1,0))))+IF(F665=1,30,IF(F665=2,20,IF(F665=3,10,IF(F665&lt;&gt;"",1,0))))+IF(G665=1,30,IF(G665=2,20,IF(G665=3,10,IF(G665&lt;&gt;"",1,0))))+IF(H665=1,30,IF(H665=2,20,IF(H665=3,10,IF(H665&lt;&gt;"",1,0))))))</f>
        <v/>
      </c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14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>
        <f>IF(AND(C666="",OR(E666="",E666=0)),"",(IF(E666=1,30,IF(E666=2,20,IF(E666=3,10,IF(E666&lt;&gt;"",1,0))))+IF(F666=1,30,IF(F666=2,20,IF(F666=3,10,IF(F666&lt;&gt;"",1,0))))+IF(G666=1,30,IF(G666=2,20,IF(G666=3,10,IF(G666&lt;&gt;"",1,0))))+IF(H666=1,30,IF(H666=2,20,IF(H666=3,10,IF(H666&lt;&gt;"",1,0))))))</f>
        <v/>
      </c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14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>
        <f>IF(AND(C667="",OR(E667="",E667=0)),"",(IF(E667=1,30,IF(E667=2,20,IF(E667=3,10,IF(E667&lt;&gt;"",1,0))))+IF(F667=1,30,IF(F667=2,20,IF(F667=3,10,IF(F667&lt;&gt;"",1,0))))+IF(G667=1,30,IF(G667=2,20,IF(G667=3,10,IF(G667&lt;&gt;"",1,0))))+IF(H667=1,30,IF(H667=2,20,IF(H667=3,10,IF(H667&lt;&gt;"",1,0))))))</f>
        <v/>
      </c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14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>
        <f>IF(AND(C668="",OR(E668="",E668=0)),"",(IF(E668=1,30,IF(E668=2,20,IF(E668=3,10,IF(E668&lt;&gt;"",1,0))))+IF(F668=1,30,IF(F668=2,20,IF(F668=3,10,IF(F668&lt;&gt;"",1,0))))+IF(G668=1,30,IF(G668=2,20,IF(G668=3,10,IF(G668&lt;&gt;"",1,0))))+IF(H668=1,30,IF(H668=2,20,IF(H668=3,10,IF(H668&lt;&gt;"",1,0))))))</f>
        <v/>
      </c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14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>
        <f>IF(AND(C669="",OR(E669="",E669=0)),"",(IF(E669=1,30,IF(E669=2,20,IF(E669=3,10,IF(E669&lt;&gt;"",1,0))))+IF(F669=1,30,IF(F669=2,20,IF(F669=3,10,IF(F669&lt;&gt;"",1,0))))+IF(G669=1,30,IF(G669=2,20,IF(G669=3,10,IF(G669&lt;&gt;"",1,0))))+IF(H669=1,30,IF(H669=2,20,IF(H669=3,10,IF(H669&lt;&gt;"",1,0))))))</f>
        <v/>
      </c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14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>
        <f>IF(AND(C670="",OR(E670="",E670=0)),"",(IF(E670=1,30,IF(E670=2,20,IF(E670=3,10,IF(E670&lt;&gt;"",1,0))))+IF(F670=1,30,IF(F670=2,20,IF(F670=3,10,IF(F670&lt;&gt;"",1,0))))+IF(G670=1,30,IF(G670=2,20,IF(G670=3,10,IF(G670&lt;&gt;"",1,0))))+IF(H670=1,30,IF(H670=2,20,IF(H670=3,10,IF(H670&lt;&gt;"",1,0))))))</f>
        <v/>
      </c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14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>
        <f>IF(AND(C671="",OR(E671="",E671=0)),"",(IF(E671=1,30,IF(E671=2,20,IF(E671=3,10,IF(E671&lt;&gt;"",1,0))))+IF(F671=1,30,IF(F671=2,20,IF(F671=3,10,IF(F671&lt;&gt;"",1,0))))+IF(G671=1,30,IF(G671=2,20,IF(G671=3,10,IF(G671&lt;&gt;"",1,0))))+IF(H671=1,30,IF(H671=2,20,IF(H671=3,10,IF(H671&lt;&gt;"",1,0))))))</f>
        <v/>
      </c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14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>
        <f>IF(AND(C672="",OR(E672="",E672=0)),"",(IF(E672=1,30,IF(E672=2,20,IF(E672=3,10,IF(E672&lt;&gt;"",1,0))))+IF(F672=1,30,IF(F672=2,20,IF(F672=3,10,IF(F672&lt;&gt;"",1,0))))+IF(G672=1,30,IF(G672=2,20,IF(G672=3,10,IF(G672&lt;&gt;"",1,0))))+IF(H672=1,30,IF(H672=2,20,IF(H672=3,10,IF(H672&lt;&gt;"",1,0))))))</f>
        <v/>
      </c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14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>
        <f>IF(AND(C673="",OR(E673="",E673=0)),"",(IF(E673=1,30,IF(E673=2,20,IF(E673=3,10,IF(E673&lt;&gt;"",1,0))))+IF(F673=1,30,IF(F673=2,20,IF(F673=3,10,IF(F673&lt;&gt;"",1,0))))+IF(G673=1,30,IF(G673=2,20,IF(G673=3,10,IF(G673&lt;&gt;"",1,0))))+IF(H673=1,30,IF(H673=2,20,IF(H673=3,10,IF(H673&lt;&gt;"",1,0))))))</f>
        <v/>
      </c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14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>
        <f>IF(AND(C674="",OR(E674="",E674=0)),"",(IF(E674=1,30,IF(E674=2,20,IF(E674=3,10,IF(E674&lt;&gt;"",1,0))))+IF(F674=1,30,IF(F674=2,20,IF(F674=3,10,IF(F674&lt;&gt;"",1,0))))+IF(G674=1,30,IF(G674=2,20,IF(G674=3,10,IF(G674&lt;&gt;"",1,0))))+IF(H674=1,30,IF(H674=2,20,IF(H674=3,10,IF(H674&lt;&gt;"",1,0))))))</f>
        <v/>
      </c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14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>
        <f>IF(AND(C675="",OR(E675="",E675=0)),"",(IF(E675=1,30,IF(E675=2,20,IF(E675=3,10,IF(E675&lt;&gt;"",1,0))))+IF(F675=1,30,IF(F675=2,20,IF(F675=3,10,IF(F675&lt;&gt;"",1,0))))+IF(G675=1,30,IF(G675=2,20,IF(G675=3,10,IF(G675&lt;&gt;"",1,0))))+IF(H675=1,30,IF(H675=2,20,IF(H675=3,10,IF(H675&lt;&gt;"",1,0))))))</f>
        <v/>
      </c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14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>
        <f>IF(AND(C676="",OR(E676="",E676=0)),"",(IF(E676=1,30,IF(E676=2,20,IF(E676=3,10,IF(E676&lt;&gt;"",1,0))))+IF(F676=1,30,IF(F676=2,20,IF(F676=3,10,IF(F676&lt;&gt;"",1,0))))+IF(G676=1,30,IF(G676=2,20,IF(G676=3,10,IF(G676&lt;&gt;"",1,0))))+IF(H676=1,30,IF(H676=2,20,IF(H676=3,10,IF(H676&lt;&gt;"",1,0))))))</f>
        <v/>
      </c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14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>
        <f>IF(AND(C677="",OR(E677="",E677=0)),"",(IF(E677=1,30,IF(E677=2,20,IF(E677=3,10,IF(E677&lt;&gt;"",1,0))))+IF(F677=1,30,IF(F677=2,20,IF(F677=3,10,IF(F677&lt;&gt;"",1,0))))+IF(G677=1,30,IF(G677=2,20,IF(G677=3,10,IF(G677&lt;&gt;"",1,0))))+IF(H677=1,30,IF(H677=2,20,IF(H677=3,10,IF(H677&lt;&gt;"",1,0))))))</f>
        <v/>
      </c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14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>
        <f>IF(AND(C678="",OR(E678="",E678=0)),"",(IF(E678=1,30,IF(E678=2,20,IF(E678=3,10,IF(E678&lt;&gt;"",1,0))))+IF(F678=1,30,IF(F678=2,20,IF(F678=3,10,IF(F678&lt;&gt;"",1,0))))+IF(G678=1,30,IF(G678=2,20,IF(G678=3,10,IF(G678&lt;&gt;"",1,0))))+IF(H678=1,30,IF(H678=2,20,IF(H678=3,10,IF(H678&lt;&gt;"",1,0))))))</f>
        <v/>
      </c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14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>
        <f>IF(AND(C679="",OR(E679="",E679=0)),"",(IF(E679=1,30,IF(E679=2,20,IF(E679=3,10,IF(E679&lt;&gt;"",1,0))))+IF(F679=1,30,IF(F679=2,20,IF(F679=3,10,IF(F679&lt;&gt;"",1,0))))+IF(G679=1,30,IF(G679=2,20,IF(G679=3,10,IF(G679&lt;&gt;"",1,0))))+IF(H679=1,30,IF(H679=2,20,IF(H679=3,10,IF(H679&lt;&gt;"",1,0))))))</f>
        <v/>
      </c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14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>
        <f>IF(AND(C680="",OR(E680="",E680=0)),"",(IF(E680=1,30,IF(E680=2,20,IF(E680=3,10,IF(E680&lt;&gt;"",1,0))))+IF(F680=1,30,IF(F680=2,20,IF(F680=3,10,IF(F680&lt;&gt;"",1,0))))+IF(G680=1,30,IF(G680=2,20,IF(G680=3,10,IF(G680&lt;&gt;"",1,0))))+IF(H680=1,30,IF(H680=2,20,IF(H680=3,10,IF(H680&lt;&gt;"",1,0))))))</f>
        <v/>
      </c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14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>
        <f>IF(AND(C681="",OR(E681="",E681=0)),"",(IF(E681=1,30,IF(E681=2,20,IF(E681=3,10,IF(E681&lt;&gt;"",1,0))))+IF(F681=1,30,IF(F681=2,20,IF(F681=3,10,IF(F681&lt;&gt;"",1,0))))+IF(G681=1,30,IF(G681=2,20,IF(G681=3,10,IF(G681&lt;&gt;"",1,0))))+IF(H681=1,30,IF(H681=2,20,IF(H681=3,10,IF(H681&lt;&gt;"",1,0))))))</f>
        <v/>
      </c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14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>
        <f>IF(AND(C682="",OR(E682="",E682=0)),"",(IF(E682=1,30,IF(E682=2,20,IF(E682=3,10,IF(E682&lt;&gt;"",1,0))))+IF(F682=1,30,IF(F682=2,20,IF(F682=3,10,IF(F682&lt;&gt;"",1,0))))+IF(G682=1,30,IF(G682=2,20,IF(G682=3,10,IF(G682&lt;&gt;"",1,0))))+IF(H682=1,30,IF(H682=2,20,IF(H682=3,10,IF(H682&lt;&gt;"",1,0))))))</f>
        <v/>
      </c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14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>
        <f>IF(AND(C683="",OR(E683="",E683=0)),"",(IF(E683=1,30,IF(E683=2,20,IF(E683=3,10,IF(E683&lt;&gt;"",1,0))))+IF(F683=1,30,IF(F683=2,20,IF(F683=3,10,IF(F683&lt;&gt;"",1,0))))+IF(G683=1,30,IF(G683=2,20,IF(G683=3,10,IF(G683&lt;&gt;"",1,0))))+IF(H683=1,30,IF(H683=2,20,IF(H683=3,10,IF(H683&lt;&gt;"",1,0))))))</f>
        <v/>
      </c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14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>
        <f>IF(AND(C684="",OR(E684="",E684=0)),"",(IF(E684=1,30,IF(E684=2,20,IF(E684=3,10,IF(E684&lt;&gt;"",1,0))))+IF(F684=1,30,IF(F684=2,20,IF(F684=3,10,IF(F684&lt;&gt;"",1,0))))+IF(G684=1,30,IF(G684=2,20,IF(G684=3,10,IF(G684&lt;&gt;"",1,0))))+IF(H684=1,30,IF(H684=2,20,IF(H684=3,10,IF(H684&lt;&gt;"",1,0))))))</f>
        <v/>
      </c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14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>
        <f>IF(AND(C685="",OR(E685="",E685=0)),"",(IF(E685=1,30,IF(E685=2,20,IF(E685=3,10,IF(E685&lt;&gt;"",1,0))))+IF(F685=1,30,IF(F685=2,20,IF(F685=3,10,IF(F685&lt;&gt;"",1,0))))+IF(G685=1,30,IF(G685=2,20,IF(G685=3,10,IF(G685&lt;&gt;"",1,0))))+IF(H685=1,30,IF(H685=2,20,IF(H685=3,10,IF(H685&lt;&gt;"",1,0))))))</f>
        <v/>
      </c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14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>
        <f>IF(AND(C686="",OR(E686="",E686=0)),"",(IF(E686=1,30,IF(E686=2,20,IF(E686=3,10,IF(E686&lt;&gt;"",1,0))))+IF(F686=1,30,IF(F686=2,20,IF(F686=3,10,IF(F686&lt;&gt;"",1,0))))+IF(G686=1,30,IF(G686=2,20,IF(G686=3,10,IF(G686&lt;&gt;"",1,0))))+IF(H686=1,30,IF(H686=2,20,IF(H686=3,10,IF(H686&lt;&gt;"",1,0))))))</f>
        <v/>
      </c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14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>
        <f>IF(AND(C687="",OR(E687="",E687=0)),"",(IF(E687=1,30,IF(E687=2,20,IF(E687=3,10,IF(E687&lt;&gt;"",1,0))))+IF(F687=1,30,IF(F687=2,20,IF(F687=3,10,IF(F687&lt;&gt;"",1,0))))+IF(G687=1,30,IF(G687=2,20,IF(G687=3,10,IF(G687&lt;&gt;"",1,0))))+IF(H687=1,30,IF(H687=2,20,IF(H687=3,10,IF(H687&lt;&gt;"",1,0))))))</f>
        <v/>
      </c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14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>
        <f>IF(AND(C688="",OR(E688="",E688=0)),"",(IF(E688=1,30,IF(E688=2,20,IF(E688=3,10,IF(E688&lt;&gt;"",1,0))))+IF(F688=1,30,IF(F688=2,20,IF(F688=3,10,IF(F688&lt;&gt;"",1,0))))+IF(G688=1,30,IF(G688=2,20,IF(G688=3,10,IF(G688&lt;&gt;"",1,0))))+IF(H688=1,30,IF(H688=2,20,IF(H688=3,10,IF(H688&lt;&gt;"",1,0))))))</f>
        <v/>
      </c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14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>
        <f>IF(AND(C689="",OR(E689="",E689=0)),"",(IF(E689=1,30,IF(E689=2,20,IF(E689=3,10,IF(E689&lt;&gt;"",1,0))))+IF(F689=1,30,IF(F689=2,20,IF(F689=3,10,IF(F689&lt;&gt;"",1,0))))+IF(G689=1,30,IF(G689=2,20,IF(G689=3,10,IF(G689&lt;&gt;"",1,0))))+IF(H689=1,30,IF(H689=2,20,IF(H689=3,10,IF(H689&lt;&gt;"",1,0))))))</f>
        <v/>
      </c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14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>
        <f>IF(AND(C690="",OR(E690="",E690=0)),"",(IF(E690=1,30,IF(E690=2,20,IF(E690=3,10,IF(E690&lt;&gt;"",1,0))))+IF(F690=1,30,IF(F690=2,20,IF(F690=3,10,IF(F690&lt;&gt;"",1,0))))+IF(G690=1,30,IF(G690=2,20,IF(G690=3,10,IF(G690&lt;&gt;"",1,0))))+IF(H690=1,30,IF(H690=2,20,IF(H690=3,10,IF(H690&lt;&gt;"",1,0))))))</f>
        <v/>
      </c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14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>
        <f>IF(AND(C691="",OR(E691="",E691=0)),"",(IF(E691=1,30,IF(E691=2,20,IF(E691=3,10,IF(E691&lt;&gt;"",1,0))))+IF(F691=1,30,IF(F691=2,20,IF(F691=3,10,IF(F691&lt;&gt;"",1,0))))+IF(G691=1,30,IF(G691=2,20,IF(G691=3,10,IF(G691&lt;&gt;"",1,0))))+IF(H691=1,30,IF(H691=2,20,IF(H691=3,10,IF(H691&lt;&gt;"",1,0))))))</f>
        <v/>
      </c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14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>
        <f>IF(AND(C692="",OR(E692="",E692=0)),"",(IF(E692=1,30,IF(E692=2,20,IF(E692=3,10,IF(E692&lt;&gt;"",1,0))))+IF(F692=1,30,IF(F692=2,20,IF(F692=3,10,IF(F692&lt;&gt;"",1,0))))+IF(G692=1,30,IF(G692=2,20,IF(G692=3,10,IF(G692&lt;&gt;"",1,0))))+IF(H692=1,30,IF(H692=2,20,IF(H692=3,10,IF(H692&lt;&gt;"",1,0))))))</f>
        <v/>
      </c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14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>
        <f>IF(AND(C693="",OR(E693="",E693=0)),"",(IF(E693=1,30,IF(E693=2,20,IF(E693=3,10,IF(E693&lt;&gt;"",1,0))))+IF(F693=1,30,IF(F693=2,20,IF(F693=3,10,IF(F693&lt;&gt;"",1,0))))+IF(G693=1,30,IF(G693=2,20,IF(G693=3,10,IF(G693&lt;&gt;"",1,0))))+IF(H693=1,30,IF(H693=2,20,IF(H693=3,10,IF(H693&lt;&gt;"",1,0))))))</f>
        <v/>
      </c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14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>
        <f>IF(AND(C694="",OR(E694="",E694=0)),"",(IF(E694=1,30,IF(E694=2,20,IF(E694=3,10,IF(E694&lt;&gt;"",1,0))))+IF(F694=1,30,IF(F694=2,20,IF(F694=3,10,IF(F694&lt;&gt;"",1,0))))+IF(G694=1,30,IF(G694=2,20,IF(G694=3,10,IF(G694&lt;&gt;"",1,0))))+IF(H694=1,30,IF(H694=2,20,IF(H694=3,10,IF(H694&lt;&gt;"",1,0))))))</f>
        <v/>
      </c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14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>
        <f>IF(AND(C695="",OR(E695="",E695=0)),"",(IF(E695=1,30,IF(E695=2,20,IF(E695=3,10,IF(E695&lt;&gt;"",1,0))))+IF(F695=1,30,IF(F695=2,20,IF(F695=3,10,IF(F695&lt;&gt;"",1,0))))+IF(G695=1,30,IF(G695=2,20,IF(G695=3,10,IF(G695&lt;&gt;"",1,0))))+IF(H695=1,30,IF(H695=2,20,IF(H695=3,10,IF(H695&lt;&gt;"",1,0))))))</f>
        <v/>
      </c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14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>
        <f>IF(AND(C696="",OR(E696="",E696=0)),"",(IF(E696=1,30,IF(E696=2,20,IF(E696=3,10,IF(E696&lt;&gt;"",1,0))))+IF(F696=1,30,IF(F696=2,20,IF(F696=3,10,IF(F696&lt;&gt;"",1,0))))+IF(G696=1,30,IF(G696=2,20,IF(G696=3,10,IF(G696&lt;&gt;"",1,0))))+IF(H696=1,30,IF(H696=2,20,IF(H696=3,10,IF(H696&lt;&gt;"",1,0))))))</f>
        <v/>
      </c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14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>
        <f>IF(AND(C697="",OR(E697="",E697=0)),"",(IF(E697=1,30,IF(E697=2,20,IF(E697=3,10,IF(E697&lt;&gt;"",1,0))))+IF(F697=1,30,IF(F697=2,20,IF(F697=3,10,IF(F697&lt;&gt;"",1,0))))+IF(G697=1,30,IF(G697=2,20,IF(G697=3,10,IF(G697&lt;&gt;"",1,0))))+IF(H697=1,30,IF(H697=2,20,IF(H697=3,10,IF(H697&lt;&gt;"",1,0))))))</f>
        <v/>
      </c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14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>
        <f>IF(AND(C698="",OR(E698="",E698=0)),"",(IF(E698=1,30,IF(E698=2,20,IF(E698=3,10,IF(E698&lt;&gt;"",1,0))))+IF(F698=1,30,IF(F698=2,20,IF(F698=3,10,IF(F698&lt;&gt;"",1,0))))+IF(G698=1,30,IF(G698=2,20,IF(G698=3,10,IF(G698&lt;&gt;"",1,0))))+IF(H698=1,30,IF(H698=2,20,IF(H698=3,10,IF(H698&lt;&gt;"",1,0))))))</f>
        <v/>
      </c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14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>
        <f>IF(AND(C699="",OR(E699="",E699=0)),"",(IF(E699=1,30,IF(E699=2,20,IF(E699=3,10,IF(E699&lt;&gt;"",1,0))))+IF(F699=1,30,IF(F699=2,20,IF(F699=3,10,IF(F699&lt;&gt;"",1,0))))+IF(G699=1,30,IF(G699=2,20,IF(G699=3,10,IF(G699&lt;&gt;"",1,0))))+IF(H699=1,30,IF(H699=2,20,IF(H699=3,10,IF(H699&lt;&gt;"",1,0))))))</f>
        <v/>
      </c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14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>
        <f>IF(AND(C700="",OR(E700="",E700=0)),"",(IF(E700=1,30,IF(E700=2,20,IF(E700=3,10,IF(E700&lt;&gt;"",1,0))))+IF(F700=1,30,IF(F700=2,20,IF(F700=3,10,IF(F700&lt;&gt;"",1,0))))+IF(G700=1,30,IF(G700=2,20,IF(G700=3,10,IF(G700&lt;&gt;"",1,0))))+IF(H700=1,30,IF(H700=2,20,IF(H700=3,10,IF(H700&lt;&gt;"",1,0))))))</f>
        <v/>
      </c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14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>
        <f>IF(AND(C701="",OR(E701="",E701=0)),"",(IF(E701=1,30,IF(E701=2,20,IF(E701=3,10,IF(E701&lt;&gt;"",1,0))))+IF(F701=1,30,IF(F701=2,20,IF(F701=3,10,IF(F701&lt;&gt;"",1,0))))+IF(G701=1,30,IF(G701=2,20,IF(G701=3,10,IF(G701&lt;&gt;"",1,0))))+IF(H701=1,30,IF(H701=2,20,IF(H701=3,10,IF(H701&lt;&gt;"",1,0))))))</f>
        <v/>
      </c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14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>
        <f>IF(AND(C702="",OR(E702="",E702=0)),"",(IF(E702=1,30,IF(E702=2,20,IF(E702=3,10,IF(E702&lt;&gt;"",1,0))))+IF(F702=1,30,IF(F702=2,20,IF(F702=3,10,IF(F702&lt;&gt;"",1,0))))+IF(G702=1,30,IF(G702=2,20,IF(G702=3,10,IF(G702&lt;&gt;"",1,0))))+IF(H702=1,30,IF(H702=2,20,IF(H702=3,10,IF(H702&lt;&gt;"",1,0))))))</f>
        <v/>
      </c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14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>
        <f>IF(AND(C703="",OR(E703="",E703=0)),"",(IF(E703=1,30,IF(E703=2,20,IF(E703=3,10,IF(E703&lt;&gt;"",1,0))))+IF(F703=1,30,IF(F703=2,20,IF(F703=3,10,IF(F703&lt;&gt;"",1,0))))+IF(G703=1,30,IF(G703=2,20,IF(G703=3,10,IF(G703&lt;&gt;"",1,0))))+IF(H703=1,30,IF(H703=2,20,IF(H703=3,10,IF(H703&lt;&gt;"",1,0))))))</f>
        <v/>
      </c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14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>
        <f>IF(AND(C704="",OR(E704="",E704=0)),"",(IF(E704=1,30,IF(E704=2,20,IF(E704=3,10,IF(E704&lt;&gt;"",1,0))))+IF(F704=1,30,IF(F704=2,20,IF(F704=3,10,IF(F704&lt;&gt;"",1,0))))+IF(G704=1,30,IF(G704=2,20,IF(G704=3,10,IF(G704&lt;&gt;"",1,0))))+IF(H704=1,30,IF(H704=2,20,IF(H704=3,10,IF(H704&lt;&gt;"",1,0))))))</f>
        <v/>
      </c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14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>
        <f>IF(AND(C705="",OR(E705="",E705=0)),"",(IF(E705=1,30,IF(E705=2,20,IF(E705=3,10,IF(E705&lt;&gt;"",1,0))))+IF(F705=1,30,IF(F705=2,20,IF(F705=3,10,IF(F705&lt;&gt;"",1,0))))+IF(G705=1,30,IF(G705=2,20,IF(G705=3,10,IF(G705&lt;&gt;"",1,0))))+IF(H705=1,30,IF(H705=2,20,IF(H705=3,10,IF(H705&lt;&gt;"",1,0))))))</f>
        <v/>
      </c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14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>
        <f>IF(AND(C706="",OR(E706="",E706=0)),"",(IF(E706=1,30,IF(E706=2,20,IF(E706=3,10,IF(E706&lt;&gt;"",1,0))))+IF(F706=1,30,IF(F706=2,20,IF(F706=3,10,IF(F706&lt;&gt;"",1,0))))+IF(G706=1,30,IF(G706=2,20,IF(G706=3,10,IF(G706&lt;&gt;"",1,0))))+IF(H706=1,30,IF(H706=2,20,IF(H706=3,10,IF(H706&lt;&gt;"",1,0))))))</f>
        <v/>
      </c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14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>
        <f>IF(AND(C707="",OR(E707="",E707=0)),"",(IF(E707=1,30,IF(E707=2,20,IF(E707=3,10,IF(E707&lt;&gt;"",1,0))))+IF(F707=1,30,IF(F707=2,20,IF(F707=3,10,IF(F707&lt;&gt;"",1,0))))+IF(G707=1,30,IF(G707=2,20,IF(G707=3,10,IF(G707&lt;&gt;"",1,0))))+IF(H707=1,30,IF(H707=2,20,IF(H707=3,10,IF(H707&lt;&gt;"",1,0))))))</f>
        <v/>
      </c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14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>
        <f>IF(AND(C708="",OR(E708="",E708=0)),"",(IF(E708=1,30,IF(E708=2,20,IF(E708=3,10,IF(E708&lt;&gt;"",1,0))))+IF(F708=1,30,IF(F708=2,20,IF(F708=3,10,IF(F708&lt;&gt;"",1,0))))+IF(G708=1,30,IF(G708=2,20,IF(G708=3,10,IF(G708&lt;&gt;"",1,0))))+IF(H708=1,30,IF(H708=2,20,IF(H708=3,10,IF(H708&lt;&gt;"",1,0))))))</f>
        <v/>
      </c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14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>
        <f>IF(AND(C709="",OR(E709="",E709=0)),"",(IF(E709=1,30,IF(E709=2,20,IF(E709=3,10,IF(E709&lt;&gt;"",1,0))))+IF(F709=1,30,IF(F709=2,20,IF(F709=3,10,IF(F709&lt;&gt;"",1,0))))+IF(G709=1,30,IF(G709=2,20,IF(G709=3,10,IF(G709&lt;&gt;"",1,0))))+IF(H709=1,30,IF(H709=2,20,IF(H709=3,10,IF(H709&lt;&gt;"",1,0))))))</f>
        <v/>
      </c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14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>
        <f>IF(AND(C710="",OR(E710="",E710=0)),"",(IF(E710=1,30,IF(E710=2,20,IF(E710=3,10,IF(E710&lt;&gt;"",1,0))))+IF(F710=1,30,IF(F710=2,20,IF(F710=3,10,IF(F710&lt;&gt;"",1,0))))+IF(G710=1,30,IF(G710=2,20,IF(G710=3,10,IF(G710&lt;&gt;"",1,0))))+IF(H710=1,30,IF(H710=2,20,IF(H710=3,10,IF(H710&lt;&gt;"",1,0))))))</f>
        <v/>
      </c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14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>
        <f>IF(AND(C711="",OR(E711="",E711=0)),"",(IF(E711=1,30,IF(E711=2,20,IF(E711=3,10,IF(E711&lt;&gt;"",1,0))))+IF(F711=1,30,IF(F711=2,20,IF(F711=3,10,IF(F711&lt;&gt;"",1,0))))+IF(G711=1,30,IF(G711=2,20,IF(G711=3,10,IF(G711&lt;&gt;"",1,0))))+IF(H711=1,30,IF(H711=2,20,IF(H711=3,10,IF(H711&lt;&gt;"",1,0))))))</f>
        <v/>
      </c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14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>
        <f>IF(AND(C712="",OR(E712="",E712=0)),"",(IF(E712=1,30,IF(E712=2,20,IF(E712=3,10,IF(E712&lt;&gt;"",1,0))))+IF(F712=1,30,IF(F712=2,20,IF(F712=3,10,IF(F712&lt;&gt;"",1,0))))+IF(G712=1,30,IF(G712=2,20,IF(G712=3,10,IF(G712&lt;&gt;"",1,0))))+IF(H712=1,30,IF(H712=2,20,IF(H712=3,10,IF(H712&lt;&gt;"",1,0))))))</f>
        <v/>
      </c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14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>
        <f>IF(AND(C713="",OR(E713="",E713=0)),"",(IF(E713=1,30,IF(E713=2,20,IF(E713=3,10,IF(E713&lt;&gt;"",1,0))))+IF(F713=1,30,IF(F713=2,20,IF(F713=3,10,IF(F713&lt;&gt;"",1,0))))+IF(G713=1,30,IF(G713=2,20,IF(G713=3,10,IF(G713&lt;&gt;"",1,0))))+IF(H713=1,30,IF(H713=2,20,IF(H713=3,10,IF(H713&lt;&gt;"",1,0))))))</f>
        <v/>
      </c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14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>
        <f>IF(AND(C714="",OR(E714="",E714=0)),"",(IF(E714=1,30,IF(E714=2,20,IF(E714=3,10,IF(E714&lt;&gt;"",1,0))))+IF(F714=1,30,IF(F714=2,20,IF(F714=3,10,IF(F714&lt;&gt;"",1,0))))+IF(G714=1,30,IF(G714=2,20,IF(G714=3,10,IF(G714&lt;&gt;"",1,0))))+IF(H714=1,30,IF(H714=2,20,IF(H714=3,10,IF(H714&lt;&gt;"",1,0))))))</f>
        <v/>
      </c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14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>
        <f>IF(AND(C715="",OR(E715="",E715=0)),"",(IF(E715=1,30,IF(E715=2,20,IF(E715=3,10,IF(E715&lt;&gt;"",1,0))))+IF(F715=1,30,IF(F715=2,20,IF(F715=3,10,IF(F715&lt;&gt;"",1,0))))+IF(G715=1,30,IF(G715=2,20,IF(G715=3,10,IF(G715&lt;&gt;"",1,0))))+IF(H715=1,30,IF(H715=2,20,IF(H715=3,10,IF(H715&lt;&gt;"",1,0))))))</f>
        <v/>
      </c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14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>
        <f>IF(AND(C716="",OR(E716="",E716=0)),"",(IF(E716=1,30,IF(E716=2,20,IF(E716=3,10,IF(E716&lt;&gt;"",1,0))))+IF(F716=1,30,IF(F716=2,20,IF(F716=3,10,IF(F716&lt;&gt;"",1,0))))+IF(G716=1,30,IF(G716=2,20,IF(G716=3,10,IF(G716&lt;&gt;"",1,0))))+IF(H716=1,30,IF(H716=2,20,IF(H716=3,10,IF(H716&lt;&gt;"",1,0))))))</f>
        <v/>
      </c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14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>
        <f>IF(AND(C717="",OR(E717="",E717=0)),"",(IF(E717=1,30,IF(E717=2,20,IF(E717=3,10,IF(E717&lt;&gt;"",1,0))))+IF(F717=1,30,IF(F717=2,20,IF(F717=3,10,IF(F717&lt;&gt;"",1,0))))+IF(G717=1,30,IF(G717=2,20,IF(G717=3,10,IF(G717&lt;&gt;"",1,0))))+IF(H717=1,30,IF(H717=2,20,IF(H717=3,10,IF(H717&lt;&gt;"",1,0))))))</f>
        <v/>
      </c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14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>
        <f>IF(AND(C718="",OR(E718="",E718=0)),"",(IF(E718=1,30,IF(E718=2,20,IF(E718=3,10,IF(E718&lt;&gt;"",1,0))))+IF(F718=1,30,IF(F718=2,20,IF(F718=3,10,IF(F718&lt;&gt;"",1,0))))+IF(G718=1,30,IF(G718=2,20,IF(G718=3,10,IF(G718&lt;&gt;"",1,0))))+IF(H718=1,30,IF(H718=2,20,IF(H718=3,10,IF(H718&lt;&gt;"",1,0))))))</f>
        <v/>
      </c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14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>
        <f>IF(AND(C719="",OR(E719="",E719=0)),"",(IF(E719=1,30,IF(E719=2,20,IF(E719=3,10,IF(E719&lt;&gt;"",1,0))))+IF(F719=1,30,IF(F719=2,20,IF(F719=3,10,IF(F719&lt;&gt;"",1,0))))+IF(G719=1,30,IF(G719=2,20,IF(G719=3,10,IF(G719&lt;&gt;"",1,0))))+IF(H719=1,30,IF(H719=2,20,IF(H719=3,10,IF(H719&lt;&gt;"",1,0))))))</f>
        <v/>
      </c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14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>
        <f>IF(AND(C720="",OR(E720="",E720=0)),"",(IF(E720=1,30,IF(E720=2,20,IF(E720=3,10,IF(E720&lt;&gt;"",1,0))))+IF(F720=1,30,IF(F720=2,20,IF(F720=3,10,IF(F720&lt;&gt;"",1,0))))+IF(G720=1,30,IF(G720=2,20,IF(G720=3,10,IF(G720&lt;&gt;"",1,0))))+IF(H720=1,30,IF(H720=2,20,IF(H720=3,10,IF(H720&lt;&gt;"",1,0))))))</f>
        <v/>
      </c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14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>
        <f>IF(AND(C721="",OR(E721="",E721=0)),"",(IF(E721=1,30,IF(E721=2,20,IF(E721=3,10,IF(E721&lt;&gt;"",1,0))))+IF(F721=1,30,IF(F721=2,20,IF(F721=3,10,IF(F721&lt;&gt;"",1,0))))+IF(G721=1,30,IF(G721=2,20,IF(G721=3,10,IF(G721&lt;&gt;"",1,0))))+IF(H721=1,30,IF(H721=2,20,IF(H721=3,10,IF(H721&lt;&gt;"",1,0))))))</f>
        <v/>
      </c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14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>
        <f>IF(AND(C722="",OR(E722="",E722=0)),"",(IF(E722=1,30,IF(E722=2,20,IF(E722=3,10,IF(E722&lt;&gt;"",1,0))))+IF(F722=1,30,IF(F722=2,20,IF(F722=3,10,IF(F722&lt;&gt;"",1,0))))+IF(G722=1,30,IF(G722=2,20,IF(G722=3,10,IF(G722&lt;&gt;"",1,0))))+IF(H722=1,30,IF(H722=2,20,IF(H722=3,10,IF(H722&lt;&gt;"",1,0))))))</f>
        <v/>
      </c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14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>
        <f>IF(AND(C723="",OR(E723="",E723=0)),"",(IF(E723=1,30,IF(E723=2,20,IF(E723=3,10,IF(E723&lt;&gt;"",1,0))))+IF(F723=1,30,IF(F723=2,20,IF(F723=3,10,IF(F723&lt;&gt;"",1,0))))+IF(G723=1,30,IF(G723=2,20,IF(G723=3,10,IF(G723&lt;&gt;"",1,0))))+IF(H723=1,30,IF(H723=2,20,IF(H723=3,10,IF(H723&lt;&gt;"",1,0))))))</f>
        <v/>
      </c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14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>
        <f>IF(AND(C724="",OR(E724="",E724=0)),"",(IF(E724=1,30,IF(E724=2,20,IF(E724=3,10,IF(E724&lt;&gt;"",1,0))))+IF(F724=1,30,IF(F724=2,20,IF(F724=3,10,IF(F724&lt;&gt;"",1,0))))+IF(G724=1,30,IF(G724=2,20,IF(G724=3,10,IF(G724&lt;&gt;"",1,0))))+IF(H724=1,30,IF(H724=2,20,IF(H724=3,10,IF(H724&lt;&gt;"",1,0))))))</f>
        <v/>
      </c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14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>
        <f>IF(AND(C725="",OR(E725="",E725=0)),"",(IF(E725=1,30,IF(E725=2,20,IF(E725=3,10,IF(E725&lt;&gt;"",1,0))))+IF(F725=1,30,IF(F725=2,20,IF(F725=3,10,IF(F725&lt;&gt;"",1,0))))+IF(G725=1,30,IF(G725=2,20,IF(G725=3,10,IF(G725&lt;&gt;"",1,0))))+IF(H725=1,30,IF(H725=2,20,IF(H725=3,10,IF(H725&lt;&gt;"",1,0))))))</f>
        <v/>
      </c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14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>
        <f>IF(AND(C726="",OR(E726="",E726=0)),"",(IF(E726=1,30,IF(E726=2,20,IF(E726=3,10,IF(E726&lt;&gt;"",1,0))))+IF(F726=1,30,IF(F726=2,20,IF(F726=3,10,IF(F726&lt;&gt;"",1,0))))+IF(G726=1,30,IF(G726=2,20,IF(G726=3,10,IF(G726&lt;&gt;"",1,0))))+IF(H726=1,30,IF(H726=2,20,IF(H726=3,10,IF(H726&lt;&gt;"",1,0))))))</f>
        <v/>
      </c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14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>
        <f>IF(AND(C727="",OR(E727="",E727=0)),"",(IF(E727=1,30,IF(E727=2,20,IF(E727=3,10,IF(E727&lt;&gt;"",1,0))))+IF(F727=1,30,IF(F727=2,20,IF(F727=3,10,IF(F727&lt;&gt;"",1,0))))+IF(G727=1,30,IF(G727=2,20,IF(G727=3,10,IF(G727&lt;&gt;"",1,0))))+IF(H727=1,30,IF(H727=2,20,IF(H727=3,10,IF(H727&lt;&gt;"",1,0))))))</f>
        <v/>
      </c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14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>
        <f>IF(AND(C728="",OR(E728="",E728=0)),"",(IF(E728=1,30,IF(E728=2,20,IF(E728=3,10,IF(E728&lt;&gt;"",1,0))))+IF(F728=1,30,IF(F728=2,20,IF(F728=3,10,IF(F728&lt;&gt;"",1,0))))+IF(G728=1,30,IF(G728=2,20,IF(G728=3,10,IF(G728&lt;&gt;"",1,0))))+IF(H728=1,30,IF(H728=2,20,IF(H728=3,10,IF(H728&lt;&gt;"",1,0))))))</f>
        <v/>
      </c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14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>
        <f>IF(AND(C729="",OR(E729="",E729=0)),"",(IF(E729=1,30,IF(E729=2,20,IF(E729=3,10,IF(E729&lt;&gt;"",1,0))))+IF(F729=1,30,IF(F729=2,20,IF(F729=3,10,IF(F729&lt;&gt;"",1,0))))+IF(G729=1,30,IF(G729=2,20,IF(G729=3,10,IF(G729&lt;&gt;"",1,0))))+IF(H729=1,30,IF(H729=2,20,IF(H729=3,10,IF(H729&lt;&gt;"",1,0))))))</f>
        <v/>
      </c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14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>
        <f>IF(AND(C730="",OR(E730="",E730=0)),"",(IF(E730=1,30,IF(E730=2,20,IF(E730=3,10,IF(E730&lt;&gt;"",1,0))))+IF(F730=1,30,IF(F730=2,20,IF(F730=3,10,IF(F730&lt;&gt;"",1,0))))+IF(G730=1,30,IF(G730=2,20,IF(G730=3,10,IF(G730&lt;&gt;"",1,0))))+IF(H730=1,30,IF(H730=2,20,IF(H730=3,10,IF(H730&lt;&gt;"",1,0))))))</f>
        <v/>
      </c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14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>
        <f>IF(AND(C731="",OR(E731="",E731=0)),"",(IF(E731=1,30,IF(E731=2,20,IF(E731=3,10,IF(E731&lt;&gt;"",1,0))))+IF(F731=1,30,IF(F731=2,20,IF(F731=3,10,IF(F731&lt;&gt;"",1,0))))+IF(G731=1,30,IF(G731=2,20,IF(G731=3,10,IF(G731&lt;&gt;"",1,0))))+IF(H731=1,30,IF(H731=2,20,IF(H731=3,10,IF(H731&lt;&gt;"",1,0))))))</f>
        <v/>
      </c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14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>
        <f>IF(AND(C732="",OR(E732="",E732=0)),"",(IF(E732=1,30,IF(E732=2,20,IF(E732=3,10,IF(E732&lt;&gt;"",1,0))))+IF(F732=1,30,IF(F732=2,20,IF(F732=3,10,IF(F732&lt;&gt;"",1,0))))+IF(G732=1,30,IF(G732=2,20,IF(G732=3,10,IF(G732&lt;&gt;"",1,0))))+IF(H732=1,30,IF(H732=2,20,IF(H732=3,10,IF(H732&lt;&gt;"",1,0))))))</f>
        <v/>
      </c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14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>
        <f>IF(AND(C733="",OR(E733="",E733=0)),"",(IF(E733=1,30,IF(E733=2,20,IF(E733=3,10,IF(E733&lt;&gt;"",1,0))))+IF(F733=1,30,IF(F733=2,20,IF(F733=3,10,IF(F733&lt;&gt;"",1,0))))+IF(G733=1,30,IF(G733=2,20,IF(G733=3,10,IF(G733&lt;&gt;"",1,0))))+IF(H733=1,30,IF(H733=2,20,IF(H733=3,10,IF(H733&lt;&gt;"",1,0))))))</f>
        <v/>
      </c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14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>
        <f>IF(AND(C734="",OR(E734="",E734=0)),"",(IF(E734=1,30,IF(E734=2,20,IF(E734=3,10,IF(E734&lt;&gt;"",1,0))))+IF(F734=1,30,IF(F734=2,20,IF(F734=3,10,IF(F734&lt;&gt;"",1,0))))+IF(G734=1,30,IF(G734=2,20,IF(G734=3,10,IF(G734&lt;&gt;"",1,0))))+IF(H734=1,30,IF(H734=2,20,IF(H734=3,10,IF(H734&lt;&gt;"",1,0))))))</f>
        <v/>
      </c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14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>
        <f>IF(AND(C735="",OR(E735="",E735=0)),"",(IF(E735=1,30,IF(E735=2,20,IF(E735=3,10,IF(E735&lt;&gt;"",1,0))))+IF(F735=1,30,IF(F735=2,20,IF(F735=3,10,IF(F735&lt;&gt;"",1,0))))+IF(G735=1,30,IF(G735=2,20,IF(G735=3,10,IF(G735&lt;&gt;"",1,0))))+IF(H735=1,30,IF(H735=2,20,IF(H735=3,10,IF(H735&lt;&gt;"",1,0))))))</f>
        <v/>
      </c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14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>
        <f>IF(AND(C736="",OR(E736="",E736=0)),"",(IF(E736=1,30,IF(E736=2,20,IF(E736=3,10,IF(E736&lt;&gt;"",1,0))))+IF(F736=1,30,IF(F736=2,20,IF(F736=3,10,IF(F736&lt;&gt;"",1,0))))+IF(G736=1,30,IF(G736=2,20,IF(G736=3,10,IF(G736&lt;&gt;"",1,0))))+IF(H736=1,30,IF(H736=2,20,IF(H736=3,10,IF(H736&lt;&gt;"",1,0))))))</f>
        <v/>
      </c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14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>
        <f>IF(AND(C737="",OR(E737="",E737=0)),"",(IF(E737=1,30,IF(E737=2,20,IF(E737=3,10,IF(E737&lt;&gt;"",1,0))))+IF(F737=1,30,IF(F737=2,20,IF(F737=3,10,IF(F737&lt;&gt;"",1,0))))+IF(G737=1,30,IF(G737=2,20,IF(G737=3,10,IF(G737&lt;&gt;"",1,0))))+IF(H737=1,30,IF(H737=2,20,IF(H737=3,10,IF(H737&lt;&gt;"",1,0))))))</f>
        <v/>
      </c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14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>
        <f>IF(AND(C738="",OR(E738="",E738=0)),"",(IF(E738=1,30,IF(E738=2,20,IF(E738=3,10,IF(E738&lt;&gt;"",1,0))))+IF(F738=1,30,IF(F738=2,20,IF(F738=3,10,IF(F738&lt;&gt;"",1,0))))+IF(G738=1,30,IF(G738=2,20,IF(G738=3,10,IF(G738&lt;&gt;"",1,0))))+IF(H738=1,30,IF(H738=2,20,IF(H738=3,10,IF(H738&lt;&gt;"",1,0))))))</f>
        <v/>
      </c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14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>
        <f>IF(AND(C739="",OR(E739="",E739=0)),"",(IF(E739=1,30,IF(E739=2,20,IF(E739=3,10,IF(E739&lt;&gt;"",1,0))))+IF(F739=1,30,IF(F739=2,20,IF(F739=3,10,IF(F739&lt;&gt;"",1,0))))+IF(G739=1,30,IF(G739=2,20,IF(G739=3,10,IF(G739&lt;&gt;"",1,0))))+IF(H739=1,30,IF(H739=2,20,IF(H739=3,10,IF(H739&lt;&gt;"",1,0))))))</f>
        <v/>
      </c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14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>
        <f>IF(AND(C740="",OR(E740="",E740=0)),"",(IF(E740=1,30,IF(E740=2,20,IF(E740=3,10,IF(E740&lt;&gt;"",1,0))))+IF(F740=1,30,IF(F740=2,20,IF(F740=3,10,IF(F740&lt;&gt;"",1,0))))+IF(G740=1,30,IF(G740=2,20,IF(G740=3,10,IF(G740&lt;&gt;"",1,0))))+IF(H740=1,30,IF(H740=2,20,IF(H740=3,10,IF(H740&lt;&gt;"",1,0))))))</f>
        <v/>
      </c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14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>
        <f>IF(AND(C741="",OR(E741="",E741=0)),"",(IF(E741=1,30,IF(E741=2,20,IF(E741=3,10,IF(E741&lt;&gt;"",1,0))))+IF(F741=1,30,IF(F741=2,20,IF(F741=3,10,IF(F741&lt;&gt;"",1,0))))+IF(G741=1,30,IF(G741=2,20,IF(G741=3,10,IF(G741&lt;&gt;"",1,0))))+IF(H741=1,30,IF(H741=2,20,IF(H741=3,10,IF(H741&lt;&gt;"",1,0))))))</f>
        <v/>
      </c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14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>
        <f>IF(AND(C742="",OR(E742="",E742=0)),"",(IF(E742=1,30,IF(E742=2,20,IF(E742=3,10,IF(E742&lt;&gt;"",1,0))))+IF(F742=1,30,IF(F742=2,20,IF(F742=3,10,IF(F742&lt;&gt;"",1,0))))+IF(G742=1,30,IF(G742=2,20,IF(G742=3,10,IF(G742&lt;&gt;"",1,0))))+IF(H742=1,30,IF(H742=2,20,IF(H742=3,10,IF(H742&lt;&gt;"",1,0))))))</f>
        <v/>
      </c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1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>
        <f>IF(AND(C743="",OR(E743="",E743=0)),"",(IF(E743=1,30,IF(E743=2,20,IF(E743=3,10,IF(E743&lt;&gt;"",1,0))))+IF(F743=1,30,IF(F743=2,20,IF(F743=3,10,IF(F743&lt;&gt;"",1,0))))+IF(G743=1,30,IF(G743=2,20,IF(G743=3,10,IF(G743&lt;&gt;"",1,0))))+IF(H743=1,30,IF(H743=2,20,IF(H743=3,10,IF(H743&lt;&gt;"",1,0))))))</f>
        <v/>
      </c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14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>
        <f>IF(AND(C744="",OR(E744="",E744=0)),"",(IF(E744=1,30,IF(E744=2,20,IF(E744=3,10,IF(E744&lt;&gt;"",1,0))))+IF(F744=1,30,IF(F744=2,20,IF(F744=3,10,IF(F744&lt;&gt;"",1,0))))+IF(G744=1,30,IF(G744=2,20,IF(G744=3,10,IF(G744&lt;&gt;"",1,0))))+IF(H744=1,30,IF(H744=2,20,IF(H744=3,10,IF(H744&lt;&gt;"",1,0))))))</f>
        <v/>
      </c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14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>
        <f>IF(AND(C745="",OR(E745="",E745=0)),"",(IF(E745=1,30,IF(E745=2,20,IF(E745=3,10,IF(E745&lt;&gt;"",1,0))))+IF(F745=1,30,IF(F745=2,20,IF(F745=3,10,IF(F745&lt;&gt;"",1,0))))+IF(G745=1,30,IF(G745=2,20,IF(G745=3,10,IF(G745&lt;&gt;"",1,0))))+IF(H745=1,30,IF(H745=2,20,IF(H745=3,10,IF(H745&lt;&gt;"",1,0))))))</f>
        <v/>
      </c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14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>
        <f>IF(AND(C746="",OR(E746="",E746=0)),"",(IF(E746=1,30,IF(E746=2,20,IF(E746=3,10,IF(E746&lt;&gt;"",1,0))))+IF(F746=1,30,IF(F746=2,20,IF(F746=3,10,IF(F746&lt;&gt;"",1,0))))+IF(G746=1,30,IF(G746=2,20,IF(G746=3,10,IF(G746&lt;&gt;"",1,0))))+IF(H746=1,30,IF(H746=2,20,IF(H746=3,10,IF(H746&lt;&gt;"",1,0))))))</f>
        <v/>
      </c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14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>
        <f>IF(AND(C747="",OR(E747="",E747=0)),"",(IF(E747=1,30,IF(E747=2,20,IF(E747=3,10,IF(E747&lt;&gt;"",1,0))))+IF(F747=1,30,IF(F747=2,20,IF(F747=3,10,IF(F747&lt;&gt;"",1,0))))+IF(G747=1,30,IF(G747=2,20,IF(G747=3,10,IF(G747&lt;&gt;"",1,0))))+IF(H747=1,30,IF(H747=2,20,IF(H747=3,10,IF(H747&lt;&gt;"",1,0))))))</f>
        <v/>
      </c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14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>
        <f>IF(AND(C748="",OR(E748="",E748=0)),"",(IF(E748=1,30,IF(E748=2,20,IF(E748=3,10,IF(E748&lt;&gt;"",1,0))))+IF(F748=1,30,IF(F748=2,20,IF(F748=3,10,IF(F748&lt;&gt;"",1,0))))+IF(G748=1,30,IF(G748=2,20,IF(G748=3,10,IF(G748&lt;&gt;"",1,0))))+IF(H748=1,30,IF(H748=2,20,IF(H748=3,10,IF(H748&lt;&gt;"",1,0))))))</f>
        <v/>
      </c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14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>
        <f>IF(AND(C749="",OR(E749="",E749=0)),"",(IF(E749=1,30,IF(E749=2,20,IF(E749=3,10,IF(E749&lt;&gt;"",1,0))))+IF(F749=1,30,IF(F749=2,20,IF(F749=3,10,IF(F749&lt;&gt;"",1,0))))+IF(G749=1,30,IF(G749=2,20,IF(G749=3,10,IF(G749&lt;&gt;"",1,0))))+IF(H749=1,30,IF(H749=2,20,IF(H749=3,10,IF(H749&lt;&gt;"",1,0))))))</f>
        <v/>
      </c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14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>
        <f>IF(AND(C750="",OR(E750="",E750=0)),"",(IF(E750=1,30,IF(E750=2,20,IF(E750=3,10,IF(E750&lt;&gt;"",1,0))))+IF(F750=1,30,IF(F750=2,20,IF(F750=3,10,IF(F750&lt;&gt;"",1,0))))+IF(G750=1,30,IF(G750=2,20,IF(G750=3,10,IF(G750&lt;&gt;"",1,0))))+IF(H750=1,30,IF(H750=2,20,IF(H750=3,10,IF(H750&lt;&gt;"",1,0))))))</f>
        <v/>
      </c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14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>
        <f>IF(AND(C751="",OR(E751="",E751=0)),"",(IF(E751=1,30,IF(E751=2,20,IF(E751=3,10,IF(E751&lt;&gt;"",1,0))))+IF(F751=1,30,IF(F751=2,20,IF(F751=3,10,IF(F751&lt;&gt;"",1,0))))+IF(G751=1,30,IF(G751=2,20,IF(G751=3,10,IF(G751&lt;&gt;"",1,0))))+IF(H751=1,30,IF(H751=2,20,IF(H751=3,10,IF(H751&lt;&gt;"",1,0))))))</f>
        <v/>
      </c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14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>
        <f>IF(AND(C752="",OR(E752="",E752=0)),"",(IF(E752=1,30,IF(E752=2,20,IF(E752=3,10,IF(E752&lt;&gt;"",1,0))))+IF(F752=1,30,IF(F752=2,20,IF(F752=3,10,IF(F752&lt;&gt;"",1,0))))+IF(G752=1,30,IF(G752=2,20,IF(G752=3,10,IF(G752&lt;&gt;"",1,0))))+IF(H752=1,30,IF(H752=2,20,IF(H752=3,10,IF(H752&lt;&gt;"",1,0))))))</f>
        <v/>
      </c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14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>
        <f>IF(AND(C753="",OR(E753="",E753=0)),"",(IF(E753=1,30,IF(E753=2,20,IF(E753=3,10,IF(E753&lt;&gt;"",1,0))))+IF(F753=1,30,IF(F753=2,20,IF(F753=3,10,IF(F753&lt;&gt;"",1,0))))+IF(G753=1,30,IF(G753=2,20,IF(G753=3,10,IF(G753&lt;&gt;"",1,0))))+IF(H753=1,30,IF(H753=2,20,IF(H753=3,10,IF(H753&lt;&gt;"",1,0))))))</f>
        <v/>
      </c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14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>
        <f>IF(AND(C754="",OR(E754="",E754=0)),"",(IF(E754=1,30,IF(E754=2,20,IF(E754=3,10,IF(E754&lt;&gt;"",1,0))))+IF(F754=1,30,IF(F754=2,20,IF(F754=3,10,IF(F754&lt;&gt;"",1,0))))+IF(G754=1,30,IF(G754=2,20,IF(G754=3,10,IF(G754&lt;&gt;"",1,0))))+IF(H754=1,30,IF(H754=2,20,IF(H754=3,10,IF(H754&lt;&gt;"",1,0))))))</f>
        <v/>
      </c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14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>
        <f>IF(AND(C755="",OR(E755="",E755=0)),"",(IF(E755=1,30,IF(E755=2,20,IF(E755=3,10,IF(E755&lt;&gt;"",1,0))))+IF(F755=1,30,IF(F755=2,20,IF(F755=3,10,IF(F755&lt;&gt;"",1,0))))+IF(G755=1,30,IF(G755=2,20,IF(G755=3,10,IF(G755&lt;&gt;"",1,0))))+IF(H755=1,30,IF(H755=2,20,IF(H755=3,10,IF(H755&lt;&gt;"",1,0))))))</f>
        <v/>
      </c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14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>
        <f>IF(AND(C756="",OR(E756="",E756=0)),"",(IF(E756=1,30,IF(E756=2,20,IF(E756=3,10,IF(E756&lt;&gt;"",1,0))))+IF(F756=1,30,IF(F756=2,20,IF(F756=3,10,IF(F756&lt;&gt;"",1,0))))+IF(G756=1,30,IF(G756=2,20,IF(G756=3,10,IF(G756&lt;&gt;"",1,0))))+IF(H756=1,30,IF(H756=2,20,IF(H756=3,10,IF(H756&lt;&gt;"",1,0))))))</f>
        <v/>
      </c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14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>
        <f>IF(AND(C757="",OR(E757="",E757=0)),"",(IF(E757=1,30,IF(E757=2,20,IF(E757=3,10,IF(E757&lt;&gt;"",1,0))))+IF(F757=1,30,IF(F757=2,20,IF(F757=3,10,IF(F757&lt;&gt;"",1,0))))+IF(G757=1,30,IF(G757=2,20,IF(G757=3,10,IF(G757&lt;&gt;"",1,0))))+IF(H757=1,30,IF(H757=2,20,IF(H757=3,10,IF(H757&lt;&gt;"",1,0))))))</f>
        <v/>
      </c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14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>
        <f>IF(AND(C758="",OR(E758="",E758=0)),"",(IF(E758=1,30,IF(E758=2,20,IF(E758=3,10,IF(E758&lt;&gt;"",1,0))))+IF(F758=1,30,IF(F758=2,20,IF(F758=3,10,IF(F758&lt;&gt;"",1,0))))+IF(G758=1,30,IF(G758=2,20,IF(G758=3,10,IF(G758&lt;&gt;"",1,0))))+IF(H758=1,30,IF(H758=2,20,IF(H758=3,10,IF(H758&lt;&gt;"",1,0))))))</f>
        <v/>
      </c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14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>
        <f>IF(AND(C759="",OR(E759="",E759=0)),"",(IF(E759=1,30,IF(E759=2,20,IF(E759=3,10,IF(E759&lt;&gt;"",1,0))))+IF(F759=1,30,IF(F759=2,20,IF(F759=3,10,IF(F759&lt;&gt;"",1,0))))+IF(G759=1,30,IF(G759=2,20,IF(G759=3,10,IF(G759&lt;&gt;"",1,0))))+IF(H759=1,30,IF(H759=2,20,IF(H759=3,10,IF(H759&lt;&gt;"",1,0))))))</f>
        <v/>
      </c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14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>
        <f>IF(AND(C760="",OR(E760="",E760=0)),"",(IF(E760=1,30,IF(E760=2,20,IF(E760=3,10,IF(E760&lt;&gt;"",1,0))))+IF(F760=1,30,IF(F760=2,20,IF(F760=3,10,IF(F760&lt;&gt;"",1,0))))+IF(G760=1,30,IF(G760=2,20,IF(G760=3,10,IF(G760&lt;&gt;"",1,0))))+IF(H760=1,30,IF(H760=2,20,IF(H760=3,10,IF(H760&lt;&gt;"",1,0))))))</f>
        <v/>
      </c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14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>
        <f>IF(AND(C761="",OR(E761="",E761=0)),"",(IF(E761=1,30,IF(E761=2,20,IF(E761=3,10,IF(E761&lt;&gt;"",1,0))))+IF(F761=1,30,IF(F761=2,20,IF(F761=3,10,IF(F761&lt;&gt;"",1,0))))+IF(G761=1,30,IF(G761=2,20,IF(G761=3,10,IF(G761&lt;&gt;"",1,0))))+IF(H761=1,30,IF(H761=2,20,IF(H761=3,10,IF(H761&lt;&gt;"",1,0))))))</f>
        <v/>
      </c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14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>
        <f>IF(AND(C762="",OR(E762="",E762=0)),"",(IF(E762=1,30,IF(E762=2,20,IF(E762=3,10,IF(E762&lt;&gt;"",1,0))))+IF(F762=1,30,IF(F762=2,20,IF(F762=3,10,IF(F762&lt;&gt;"",1,0))))+IF(G762=1,30,IF(G762=2,20,IF(G762=3,10,IF(G762&lt;&gt;"",1,0))))+IF(H762=1,30,IF(H762=2,20,IF(H762=3,10,IF(H762&lt;&gt;"",1,0))))))</f>
        <v/>
      </c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14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>
        <f>IF(AND(C763="",OR(E763="",E763=0)),"",(IF(E763=1,30,IF(E763=2,20,IF(E763=3,10,IF(E763&lt;&gt;"",1,0))))+IF(F763=1,30,IF(F763=2,20,IF(F763=3,10,IF(F763&lt;&gt;"",1,0))))+IF(G763=1,30,IF(G763=2,20,IF(G763=3,10,IF(G763&lt;&gt;"",1,0))))+IF(H763=1,30,IF(H763=2,20,IF(H763=3,10,IF(H763&lt;&gt;"",1,0))))))</f>
        <v/>
      </c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14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>
        <f>IF(AND(C764="",OR(E764="",E764=0)),"",(IF(E764=1,30,IF(E764=2,20,IF(E764=3,10,IF(E764&lt;&gt;"",1,0))))+IF(F764=1,30,IF(F764=2,20,IF(F764=3,10,IF(F764&lt;&gt;"",1,0))))+IF(G764=1,30,IF(G764=2,20,IF(G764=3,10,IF(G764&lt;&gt;"",1,0))))+IF(H764=1,30,IF(H764=2,20,IF(H764=3,10,IF(H764&lt;&gt;"",1,0))))))</f>
        <v/>
      </c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14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>
        <f>IF(AND(C765="",OR(E765="",E765=0)),"",(IF(E765=1,30,IF(E765=2,20,IF(E765=3,10,IF(E765&lt;&gt;"",1,0))))+IF(F765=1,30,IF(F765=2,20,IF(F765=3,10,IF(F765&lt;&gt;"",1,0))))+IF(G765=1,30,IF(G765=2,20,IF(G765=3,10,IF(G765&lt;&gt;"",1,0))))+IF(H765=1,30,IF(H765=2,20,IF(H765=3,10,IF(H765&lt;&gt;"",1,0))))))</f>
        <v/>
      </c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14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>
        <f>IF(AND(C766="",OR(E766="",E766=0)),"",(IF(E766=1,30,IF(E766=2,20,IF(E766=3,10,IF(E766&lt;&gt;"",1,0))))+IF(F766=1,30,IF(F766=2,20,IF(F766=3,10,IF(F766&lt;&gt;"",1,0))))+IF(G766=1,30,IF(G766=2,20,IF(G766=3,10,IF(G766&lt;&gt;"",1,0))))+IF(H766=1,30,IF(H766=2,20,IF(H766=3,10,IF(H766&lt;&gt;"",1,0))))))</f>
        <v/>
      </c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14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>
        <f>IF(AND(C767="",OR(E767="",E767=0)),"",(IF(E767=1,30,IF(E767=2,20,IF(E767=3,10,IF(E767&lt;&gt;"",1,0))))+IF(F767=1,30,IF(F767=2,20,IF(F767=3,10,IF(F767&lt;&gt;"",1,0))))+IF(G767=1,30,IF(G767=2,20,IF(G767=3,10,IF(G767&lt;&gt;"",1,0))))+IF(H767=1,30,IF(H767=2,20,IF(H767=3,10,IF(H767&lt;&gt;"",1,0))))))</f>
        <v/>
      </c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14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>
        <f>IF(AND(C768="",OR(E768="",E768=0)),"",(IF(E768=1,30,IF(E768=2,20,IF(E768=3,10,IF(E768&lt;&gt;"",1,0))))+IF(F768=1,30,IF(F768=2,20,IF(F768=3,10,IF(F768&lt;&gt;"",1,0))))+IF(G768=1,30,IF(G768=2,20,IF(G768=3,10,IF(G768&lt;&gt;"",1,0))))+IF(H768=1,30,IF(H768=2,20,IF(H768=3,10,IF(H768&lt;&gt;"",1,0))))))</f>
        <v/>
      </c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14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>
        <f>IF(AND(C769="",OR(E769="",E769=0)),"",(IF(E769=1,30,IF(E769=2,20,IF(E769=3,10,IF(E769&lt;&gt;"",1,0))))+IF(F769=1,30,IF(F769=2,20,IF(F769=3,10,IF(F769&lt;&gt;"",1,0))))+IF(G769=1,30,IF(G769=2,20,IF(G769=3,10,IF(G769&lt;&gt;"",1,0))))+IF(H769=1,30,IF(H769=2,20,IF(H769=3,10,IF(H769&lt;&gt;"",1,0))))))</f>
        <v/>
      </c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14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>
        <f>IF(AND(C770="",OR(E770="",E770=0)),"",(IF(E770=1,30,IF(E770=2,20,IF(E770=3,10,IF(E770&lt;&gt;"",1,0))))+IF(F770=1,30,IF(F770=2,20,IF(F770=3,10,IF(F770&lt;&gt;"",1,0))))+IF(G770=1,30,IF(G770=2,20,IF(G770=3,10,IF(G770&lt;&gt;"",1,0))))+IF(H770=1,30,IF(H770=2,20,IF(H770=3,10,IF(H770&lt;&gt;"",1,0))))))</f>
        <v/>
      </c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14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>
        <f>IF(AND(C771="",OR(E771="",E771=0)),"",(IF(E771=1,30,IF(E771=2,20,IF(E771=3,10,IF(E771&lt;&gt;"",1,0))))+IF(F771=1,30,IF(F771=2,20,IF(F771=3,10,IF(F771&lt;&gt;"",1,0))))+IF(G771=1,30,IF(G771=2,20,IF(G771=3,10,IF(G771&lt;&gt;"",1,0))))+IF(H771=1,30,IF(H771=2,20,IF(H771=3,10,IF(H771&lt;&gt;"",1,0))))))</f>
        <v/>
      </c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14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>
        <f>IF(AND(C772="",OR(E772="",E772=0)),"",(IF(E772=1,30,IF(E772=2,20,IF(E772=3,10,IF(E772&lt;&gt;"",1,0))))+IF(F772=1,30,IF(F772=2,20,IF(F772=3,10,IF(F772&lt;&gt;"",1,0))))+IF(G772=1,30,IF(G772=2,20,IF(G772=3,10,IF(G772&lt;&gt;"",1,0))))+IF(H772=1,30,IF(H772=2,20,IF(H772=3,10,IF(H772&lt;&gt;"",1,0))))))</f>
        <v/>
      </c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14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>
        <f>IF(AND(C773="",OR(E773="",E773=0)),"",(IF(E773=1,30,IF(E773=2,20,IF(E773=3,10,IF(E773&lt;&gt;"",1,0))))+IF(F773=1,30,IF(F773=2,20,IF(F773=3,10,IF(F773&lt;&gt;"",1,0))))+IF(G773=1,30,IF(G773=2,20,IF(G773=3,10,IF(G773&lt;&gt;"",1,0))))+IF(H773=1,30,IF(H773=2,20,IF(H773=3,10,IF(H773&lt;&gt;"",1,0))))))</f>
        <v/>
      </c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14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>
        <f>IF(AND(C774="",OR(E774="",E774=0)),"",(IF(E774=1,30,IF(E774=2,20,IF(E774=3,10,IF(E774&lt;&gt;"",1,0))))+IF(F774=1,30,IF(F774=2,20,IF(F774=3,10,IF(F774&lt;&gt;"",1,0))))+IF(G774=1,30,IF(G774=2,20,IF(G774=3,10,IF(G774&lt;&gt;"",1,0))))+IF(H774=1,30,IF(H774=2,20,IF(H774=3,10,IF(H774&lt;&gt;"",1,0))))))</f>
        <v/>
      </c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14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>
        <f>IF(AND(C775="",OR(E775="",E775=0)),"",(IF(E775=1,30,IF(E775=2,20,IF(E775=3,10,IF(E775&lt;&gt;"",1,0))))+IF(F775=1,30,IF(F775=2,20,IF(F775=3,10,IF(F775&lt;&gt;"",1,0))))+IF(G775=1,30,IF(G775=2,20,IF(G775=3,10,IF(G775&lt;&gt;"",1,0))))+IF(H775=1,30,IF(H775=2,20,IF(H775=3,10,IF(H775&lt;&gt;"",1,0))))))</f>
        <v/>
      </c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14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>
        <f>IF(AND(C776="",OR(E776="",E776=0)),"",(IF(E776=1,30,IF(E776=2,20,IF(E776=3,10,IF(E776&lt;&gt;"",1,0))))+IF(F776=1,30,IF(F776=2,20,IF(F776=3,10,IF(F776&lt;&gt;"",1,0))))+IF(G776=1,30,IF(G776=2,20,IF(G776=3,10,IF(G776&lt;&gt;"",1,0))))+IF(H776=1,30,IF(H776=2,20,IF(H776=3,10,IF(H776&lt;&gt;"",1,0))))))</f>
        <v/>
      </c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14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>
        <f>IF(AND(C777="",OR(E777="",E777=0)),"",(IF(E777=1,30,IF(E777=2,20,IF(E777=3,10,IF(E777&lt;&gt;"",1,0))))+IF(F777=1,30,IF(F777=2,20,IF(F777=3,10,IF(F777&lt;&gt;"",1,0))))+IF(G777=1,30,IF(G777=2,20,IF(G777=3,10,IF(G777&lt;&gt;"",1,0))))+IF(H777=1,30,IF(H777=2,20,IF(H777=3,10,IF(H777&lt;&gt;"",1,0))))))</f>
        <v/>
      </c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14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>
        <f>IF(AND(C778="",OR(E778="",E778=0)),"",(IF(E778=1,30,IF(E778=2,20,IF(E778=3,10,IF(E778&lt;&gt;"",1,0))))+IF(F778=1,30,IF(F778=2,20,IF(F778=3,10,IF(F778&lt;&gt;"",1,0))))+IF(G778=1,30,IF(G778=2,20,IF(G778=3,10,IF(G778&lt;&gt;"",1,0))))+IF(H778=1,30,IF(H778=2,20,IF(H778=3,10,IF(H778&lt;&gt;"",1,0))))))</f>
        <v/>
      </c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14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>
        <f>IF(AND(C779="",OR(E779="",E779=0)),"",(IF(E779=1,30,IF(E779=2,20,IF(E779=3,10,IF(E779&lt;&gt;"",1,0))))+IF(F779=1,30,IF(F779=2,20,IF(F779=3,10,IF(F779&lt;&gt;"",1,0))))+IF(G779=1,30,IF(G779=2,20,IF(G779=3,10,IF(G779&lt;&gt;"",1,0))))+IF(H779=1,30,IF(H779=2,20,IF(H779=3,10,IF(H779&lt;&gt;"",1,0))))))</f>
        <v/>
      </c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14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>
        <f>IF(AND(C780="",OR(E780="",E780=0)),"",(IF(E780=1,30,IF(E780=2,20,IF(E780=3,10,IF(E780&lt;&gt;"",1,0))))+IF(F780=1,30,IF(F780=2,20,IF(F780=3,10,IF(F780&lt;&gt;"",1,0))))+IF(G780=1,30,IF(G780=2,20,IF(G780=3,10,IF(G780&lt;&gt;"",1,0))))+IF(H780=1,30,IF(H780=2,20,IF(H780=3,10,IF(H780&lt;&gt;"",1,0))))))</f>
        <v/>
      </c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14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>
        <f>IF(AND(C781="",OR(E781="",E781=0)),"",(IF(E781=1,30,IF(E781=2,20,IF(E781=3,10,IF(E781&lt;&gt;"",1,0))))+IF(F781=1,30,IF(F781=2,20,IF(F781=3,10,IF(F781&lt;&gt;"",1,0))))+IF(G781=1,30,IF(G781=2,20,IF(G781=3,10,IF(G781&lt;&gt;"",1,0))))+IF(H781=1,30,IF(H781=2,20,IF(H781=3,10,IF(H781&lt;&gt;"",1,0))))))</f>
        <v/>
      </c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14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>
        <f>IF(AND(C782="",OR(E782="",E782=0)),"",(IF(E782=1,30,IF(E782=2,20,IF(E782=3,10,IF(E782&lt;&gt;"",1,0))))+IF(F782=1,30,IF(F782=2,20,IF(F782=3,10,IF(F782&lt;&gt;"",1,0))))+IF(G782=1,30,IF(G782=2,20,IF(G782=3,10,IF(G782&lt;&gt;"",1,0))))+IF(H782=1,30,IF(H782=2,20,IF(H782=3,10,IF(H782&lt;&gt;"",1,0))))))</f>
        <v/>
      </c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14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>
        <f>IF(AND(C783="",OR(E783="",E783=0)),"",(IF(E783=1,30,IF(E783=2,20,IF(E783=3,10,IF(E783&lt;&gt;"",1,0))))+IF(F783=1,30,IF(F783=2,20,IF(F783=3,10,IF(F783&lt;&gt;"",1,0))))+IF(G783=1,30,IF(G783=2,20,IF(G783=3,10,IF(G783&lt;&gt;"",1,0))))+IF(H783=1,30,IF(H783=2,20,IF(H783=3,10,IF(H783&lt;&gt;"",1,0))))))</f>
        <v/>
      </c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14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>
        <f>IF(AND(C784="",OR(E784="",E784=0)),"",(IF(E784=1,30,IF(E784=2,20,IF(E784=3,10,IF(E784&lt;&gt;"",1,0))))+IF(F784=1,30,IF(F784=2,20,IF(F784=3,10,IF(F784&lt;&gt;"",1,0))))+IF(G784=1,30,IF(G784=2,20,IF(G784=3,10,IF(G784&lt;&gt;"",1,0))))+IF(H784=1,30,IF(H784=2,20,IF(H784=3,10,IF(H784&lt;&gt;"",1,0))))))</f>
        <v/>
      </c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14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>
        <f>IF(AND(C785="",OR(E785="",E785=0)),"",(IF(E785=1,30,IF(E785=2,20,IF(E785=3,10,IF(E785&lt;&gt;"",1,0))))+IF(F785=1,30,IF(F785=2,20,IF(F785=3,10,IF(F785&lt;&gt;"",1,0))))+IF(G785=1,30,IF(G785=2,20,IF(G785=3,10,IF(G785&lt;&gt;"",1,0))))+IF(H785=1,30,IF(H785=2,20,IF(H785=3,10,IF(H785&lt;&gt;"",1,0))))))</f>
        <v/>
      </c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14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>
        <f>IF(AND(C786="",OR(E786="",E786=0)),"",(IF(E786=1,30,IF(E786=2,20,IF(E786=3,10,IF(E786&lt;&gt;"",1,0))))+IF(F786=1,30,IF(F786=2,20,IF(F786=3,10,IF(F786&lt;&gt;"",1,0))))+IF(G786=1,30,IF(G786=2,20,IF(G786=3,10,IF(G786&lt;&gt;"",1,0))))+IF(H786=1,30,IF(H786=2,20,IF(H786=3,10,IF(H786&lt;&gt;"",1,0))))))</f>
        <v/>
      </c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14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>
        <f>IF(AND(C787="",OR(E787="",E787=0)),"",(IF(E787=1,30,IF(E787=2,20,IF(E787=3,10,IF(E787&lt;&gt;"",1,0))))+IF(F787=1,30,IF(F787=2,20,IF(F787=3,10,IF(F787&lt;&gt;"",1,0))))+IF(G787=1,30,IF(G787=2,20,IF(G787=3,10,IF(G787&lt;&gt;"",1,0))))+IF(H787=1,30,IF(H787=2,20,IF(H787=3,10,IF(H787&lt;&gt;"",1,0))))))</f>
        <v/>
      </c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14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>
        <f>IF(AND(C788="",OR(E788="",E788=0)),"",(IF(E788=1,30,IF(E788=2,20,IF(E788=3,10,IF(E788&lt;&gt;"",1,0))))+IF(F788=1,30,IF(F788=2,20,IF(F788=3,10,IF(F788&lt;&gt;"",1,0))))+IF(G788=1,30,IF(G788=2,20,IF(G788=3,10,IF(G788&lt;&gt;"",1,0))))+IF(H788=1,30,IF(H788=2,20,IF(H788=3,10,IF(H788&lt;&gt;"",1,0))))))</f>
        <v/>
      </c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14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>
        <f>IF(AND(C789="",OR(E789="",E789=0)),"",(IF(E789=1,30,IF(E789=2,20,IF(E789=3,10,IF(E789&lt;&gt;"",1,0))))+IF(F789=1,30,IF(F789=2,20,IF(F789=3,10,IF(F789&lt;&gt;"",1,0))))+IF(G789=1,30,IF(G789=2,20,IF(G789=3,10,IF(G789&lt;&gt;"",1,0))))+IF(H789=1,30,IF(H789=2,20,IF(H789=3,10,IF(H789&lt;&gt;"",1,0))))))</f>
        <v/>
      </c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14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>
        <f>IF(AND(C790="",OR(E790="",E790=0)),"",(IF(E790=1,30,IF(E790=2,20,IF(E790=3,10,IF(E790&lt;&gt;"",1,0))))+IF(F790=1,30,IF(F790=2,20,IF(F790=3,10,IF(F790&lt;&gt;"",1,0))))+IF(G790=1,30,IF(G790=2,20,IF(G790=3,10,IF(G790&lt;&gt;"",1,0))))+IF(H790=1,30,IF(H790=2,20,IF(H790=3,10,IF(H790&lt;&gt;"",1,0))))))</f>
        <v/>
      </c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14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>
        <f>IF(AND(C791="",OR(E791="",E791=0)),"",(IF(E791=1,30,IF(E791=2,20,IF(E791=3,10,IF(E791&lt;&gt;"",1,0))))+IF(F791=1,30,IF(F791=2,20,IF(F791=3,10,IF(F791&lt;&gt;"",1,0))))+IF(G791=1,30,IF(G791=2,20,IF(G791=3,10,IF(G791&lt;&gt;"",1,0))))+IF(H791=1,30,IF(H791=2,20,IF(H791=3,10,IF(H791&lt;&gt;"",1,0))))))</f>
        <v/>
      </c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14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>
        <f>IF(AND(C792="",OR(E792="",E792=0)),"",(IF(E792=1,30,IF(E792=2,20,IF(E792=3,10,IF(E792&lt;&gt;"",1,0))))+IF(F792=1,30,IF(F792=2,20,IF(F792=3,10,IF(F792&lt;&gt;"",1,0))))+IF(G792=1,30,IF(G792=2,20,IF(G792=3,10,IF(G792&lt;&gt;"",1,0))))+IF(H792=1,30,IF(H792=2,20,IF(H792=3,10,IF(H792&lt;&gt;"",1,0))))))</f>
        <v/>
      </c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14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>
        <f>IF(AND(C793="",OR(E793="",E793=0)),"",(IF(E793=1,30,IF(E793=2,20,IF(E793=3,10,IF(E793&lt;&gt;"",1,0))))+IF(F793=1,30,IF(F793=2,20,IF(F793=3,10,IF(F793&lt;&gt;"",1,0))))+IF(G793=1,30,IF(G793=2,20,IF(G793=3,10,IF(G793&lt;&gt;"",1,0))))+IF(H793=1,30,IF(H793=2,20,IF(H793=3,10,IF(H793&lt;&gt;"",1,0))))))</f>
        <v/>
      </c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14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>
        <f>IF(AND(C794="",OR(E794="",E794=0)),"",(IF(E794=1,30,IF(E794=2,20,IF(E794=3,10,IF(E794&lt;&gt;"",1,0))))+IF(F794=1,30,IF(F794=2,20,IF(F794=3,10,IF(F794&lt;&gt;"",1,0))))+IF(G794=1,30,IF(G794=2,20,IF(G794=3,10,IF(G794&lt;&gt;"",1,0))))+IF(H794=1,30,IF(H794=2,20,IF(H794=3,10,IF(H794&lt;&gt;"",1,0))))))</f>
        <v/>
      </c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14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>
        <f>IF(AND(C795="",OR(E795="",E795=0)),"",(IF(E795=1,30,IF(E795=2,20,IF(E795=3,10,IF(E795&lt;&gt;"",1,0))))+IF(F795=1,30,IF(F795=2,20,IF(F795=3,10,IF(F795&lt;&gt;"",1,0))))+IF(G795=1,30,IF(G795=2,20,IF(G795=3,10,IF(G795&lt;&gt;"",1,0))))+IF(H795=1,30,IF(H795=2,20,IF(H795=3,10,IF(H795&lt;&gt;"",1,0))))))</f>
        <v/>
      </c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14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>
        <f>IF(AND(C796="",OR(E796="",E796=0)),"",(IF(E796=1,30,IF(E796=2,20,IF(E796=3,10,IF(E796&lt;&gt;"",1,0))))+IF(F796=1,30,IF(F796=2,20,IF(F796=3,10,IF(F796&lt;&gt;"",1,0))))+IF(G796=1,30,IF(G796=2,20,IF(G796=3,10,IF(G796&lt;&gt;"",1,0))))+IF(H796=1,30,IF(H796=2,20,IF(H796=3,10,IF(H796&lt;&gt;"",1,0))))))</f>
        <v/>
      </c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14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>
        <f>IF(AND(C797="",OR(E797="",E797=0)),"",(IF(E797=1,30,IF(E797=2,20,IF(E797=3,10,IF(E797&lt;&gt;"",1,0))))+IF(F797=1,30,IF(F797=2,20,IF(F797=3,10,IF(F797&lt;&gt;"",1,0))))+IF(G797=1,30,IF(G797=2,20,IF(G797=3,10,IF(G797&lt;&gt;"",1,0))))+IF(H797=1,30,IF(H797=2,20,IF(H797=3,10,IF(H797&lt;&gt;"",1,0))))))</f>
        <v/>
      </c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14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>
        <f>IF(AND(C798="",OR(E798="",E798=0)),"",(IF(E798=1,30,IF(E798=2,20,IF(E798=3,10,IF(E798&lt;&gt;"",1,0))))+IF(F798=1,30,IF(F798=2,20,IF(F798=3,10,IF(F798&lt;&gt;"",1,0))))+IF(G798=1,30,IF(G798=2,20,IF(G798=3,10,IF(G798&lt;&gt;"",1,0))))+IF(H798=1,30,IF(H798=2,20,IF(H798=3,10,IF(H798&lt;&gt;"",1,0))))))</f>
        <v/>
      </c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14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>
        <f>IF(AND(C799="",OR(E799="",E799=0)),"",(IF(E799=1,30,IF(E799=2,20,IF(E799=3,10,IF(E799&lt;&gt;"",1,0))))+IF(F799=1,30,IF(F799=2,20,IF(F799=3,10,IF(F799&lt;&gt;"",1,0))))+IF(G799=1,30,IF(G799=2,20,IF(G799=3,10,IF(G799&lt;&gt;"",1,0))))+IF(H799=1,30,IF(H799=2,20,IF(H799=3,10,IF(H799&lt;&gt;"",1,0))))))</f>
        <v/>
      </c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14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>
        <f>IF(AND(C800="",OR(E800="",E800=0)),"",(IF(E800=1,30,IF(E800=2,20,IF(E800=3,10,IF(E800&lt;&gt;"",1,0))))+IF(F800=1,30,IF(F800=2,20,IF(F800=3,10,IF(F800&lt;&gt;"",1,0))))+IF(G800=1,30,IF(G800=2,20,IF(G800=3,10,IF(G800&lt;&gt;"",1,0))))+IF(H800=1,30,IF(H800=2,20,IF(H800=3,10,IF(H800&lt;&gt;"",1,0))))))</f>
        <v/>
      </c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14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>
        <f>IF(AND(C801="",OR(E801="",E801=0)),"",(IF(E801=1,30,IF(E801=2,20,IF(E801=3,10,IF(E801&lt;&gt;"",1,0))))+IF(F801=1,30,IF(F801=2,20,IF(F801=3,10,IF(F801&lt;&gt;"",1,0))))+IF(G801=1,30,IF(G801=2,20,IF(G801=3,10,IF(G801&lt;&gt;"",1,0))))+IF(H801=1,30,IF(H801=2,20,IF(H801=3,10,IF(H801&lt;&gt;"",1,0))))))</f>
        <v/>
      </c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14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>
        <f>IF(AND(C802="",OR(E802="",E802=0)),"",(IF(E802=1,30,IF(E802=2,20,IF(E802=3,10,IF(E802&lt;&gt;"",1,0))))+IF(F802=1,30,IF(F802=2,20,IF(F802=3,10,IF(F802&lt;&gt;"",1,0))))+IF(G802=1,30,IF(G802=2,20,IF(G802=3,10,IF(G802&lt;&gt;"",1,0))))+IF(H802=1,30,IF(H802=2,20,IF(H802=3,10,IF(H802&lt;&gt;"",1,0))))))</f>
        <v/>
      </c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14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>
        <f>IF(AND(C803="",OR(E803="",E803=0)),"",(IF(E803=1,30,IF(E803=2,20,IF(E803=3,10,IF(E803&lt;&gt;"",1,0))))+IF(F803=1,30,IF(F803=2,20,IF(F803=3,10,IF(F803&lt;&gt;"",1,0))))+IF(G803=1,30,IF(G803=2,20,IF(G803=3,10,IF(G803&lt;&gt;"",1,0))))+IF(H803=1,30,IF(H803=2,20,IF(H803=3,10,IF(H803&lt;&gt;"",1,0))))))</f>
        <v/>
      </c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14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>
        <f>IF(AND(C804="",OR(E804="",E804=0)),"",(IF(E804=1,30,IF(E804=2,20,IF(E804=3,10,IF(E804&lt;&gt;"",1,0))))+IF(F804=1,30,IF(F804=2,20,IF(F804=3,10,IF(F804&lt;&gt;"",1,0))))+IF(G804=1,30,IF(G804=2,20,IF(G804=3,10,IF(G804&lt;&gt;"",1,0))))+IF(H804=1,30,IF(H804=2,20,IF(H804=3,10,IF(H804&lt;&gt;"",1,0))))))</f>
        <v/>
      </c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14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>
        <f>IF(AND(C805="",OR(E805="",E805=0)),"",(IF(E805=1,30,IF(E805=2,20,IF(E805=3,10,IF(E805&lt;&gt;"",1,0))))+IF(F805=1,30,IF(F805=2,20,IF(F805=3,10,IF(F805&lt;&gt;"",1,0))))+IF(G805=1,30,IF(G805=2,20,IF(G805=3,10,IF(G805&lt;&gt;"",1,0))))+IF(H805=1,30,IF(H805=2,20,IF(H805=3,10,IF(H805&lt;&gt;"",1,0))))))</f>
        <v/>
      </c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14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>
        <f>IF(AND(C806="",OR(E806="",E806=0)),"",(IF(E806=1,30,IF(E806=2,20,IF(E806=3,10,IF(E806&lt;&gt;"",1,0))))+IF(F806=1,30,IF(F806=2,20,IF(F806=3,10,IF(F806&lt;&gt;"",1,0))))+IF(G806=1,30,IF(G806=2,20,IF(G806=3,10,IF(G806&lt;&gt;"",1,0))))+IF(H806=1,30,IF(H806=2,20,IF(H806=3,10,IF(H806&lt;&gt;"",1,0))))))</f>
        <v/>
      </c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14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>
        <f>IF(AND(C807="",OR(E807="",E807=0)),"",(IF(E807=1,30,IF(E807=2,20,IF(E807=3,10,IF(E807&lt;&gt;"",1,0))))+IF(F807=1,30,IF(F807=2,20,IF(F807=3,10,IF(F807&lt;&gt;"",1,0))))+IF(G807=1,30,IF(G807=2,20,IF(G807=3,10,IF(G807&lt;&gt;"",1,0))))+IF(H807=1,30,IF(H807=2,20,IF(H807=3,10,IF(H807&lt;&gt;"",1,0))))))</f>
        <v/>
      </c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14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>
        <f>IF(AND(C808="",OR(E808="",E808=0)),"",(IF(E808=1,30,IF(E808=2,20,IF(E808=3,10,IF(E808&lt;&gt;"",1,0))))+IF(F808=1,30,IF(F808=2,20,IF(F808=3,10,IF(F808&lt;&gt;"",1,0))))+IF(G808=1,30,IF(G808=2,20,IF(G808=3,10,IF(G808&lt;&gt;"",1,0))))+IF(H808=1,30,IF(H808=2,20,IF(H808=3,10,IF(H808&lt;&gt;"",1,0))))))</f>
        <v/>
      </c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14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>
        <f>IF(AND(C809="",OR(E809="",E809=0)),"",(IF(E809=1,30,IF(E809=2,20,IF(E809=3,10,IF(E809&lt;&gt;"",1,0))))+IF(F809=1,30,IF(F809=2,20,IF(F809=3,10,IF(F809&lt;&gt;"",1,0))))+IF(G809=1,30,IF(G809=2,20,IF(G809=3,10,IF(G809&lt;&gt;"",1,0))))+IF(H809=1,30,IF(H809=2,20,IF(H809=3,10,IF(H809&lt;&gt;"",1,0))))))</f>
        <v/>
      </c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14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>
        <f>IF(AND(C810="",OR(E810="",E810=0)),"",(IF(E810=1,30,IF(E810=2,20,IF(E810=3,10,IF(E810&lt;&gt;"",1,0))))+IF(F810=1,30,IF(F810=2,20,IF(F810=3,10,IF(F810&lt;&gt;"",1,0))))+IF(G810=1,30,IF(G810=2,20,IF(G810=3,10,IF(G810&lt;&gt;"",1,0))))+IF(H810=1,30,IF(H810=2,20,IF(H810=3,10,IF(H810&lt;&gt;"",1,0))))))</f>
        <v/>
      </c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14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>
        <f>IF(AND(C811="",OR(E811="",E811=0)),"",(IF(E811=1,30,IF(E811=2,20,IF(E811=3,10,IF(E811&lt;&gt;"",1,0))))+IF(F811=1,30,IF(F811=2,20,IF(F811=3,10,IF(F811&lt;&gt;"",1,0))))+IF(G811=1,30,IF(G811=2,20,IF(G811=3,10,IF(G811&lt;&gt;"",1,0))))+IF(H811=1,30,IF(H811=2,20,IF(H811=3,10,IF(H811&lt;&gt;"",1,0))))))</f>
        <v/>
      </c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14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>
        <f>IF(AND(C812="",OR(E812="",E812=0)),"",(IF(E812=1,30,IF(E812=2,20,IF(E812=3,10,IF(E812&lt;&gt;"",1,0))))+IF(F812=1,30,IF(F812=2,20,IF(F812=3,10,IF(F812&lt;&gt;"",1,0))))+IF(G812=1,30,IF(G812=2,20,IF(G812=3,10,IF(G812&lt;&gt;"",1,0))))+IF(H812=1,30,IF(H812=2,20,IF(H812=3,10,IF(H812&lt;&gt;"",1,0))))))</f>
        <v/>
      </c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14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>
        <f>IF(AND(C813="",OR(E813="",E813=0)),"",(IF(E813=1,30,IF(E813=2,20,IF(E813=3,10,IF(E813&lt;&gt;"",1,0))))+IF(F813=1,30,IF(F813=2,20,IF(F813=3,10,IF(F813&lt;&gt;"",1,0))))+IF(G813=1,30,IF(G813=2,20,IF(G813=3,10,IF(G813&lt;&gt;"",1,0))))+IF(H813=1,30,IF(H813=2,20,IF(H813=3,10,IF(H813&lt;&gt;"",1,0))))))</f>
        <v/>
      </c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14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>
        <f>IF(AND(C814="",OR(E814="",E814=0)),"",(IF(E814=1,30,IF(E814=2,20,IF(E814=3,10,IF(E814&lt;&gt;"",1,0))))+IF(F814=1,30,IF(F814=2,20,IF(F814=3,10,IF(F814&lt;&gt;"",1,0))))+IF(G814=1,30,IF(G814=2,20,IF(G814=3,10,IF(G814&lt;&gt;"",1,0))))+IF(H814=1,30,IF(H814=2,20,IF(H814=3,10,IF(H814&lt;&gt;"",1,0))))))</f>
        <v/>
      </c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14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>
        <f>IF(AND(C815="",OR(E815="",E815=0)),"",(IF(E815=1,30,IF(E815=2,20,IF(E815=3,10,IF(E815&lt;&gt;"",1,0))))+IF(F815=1,30,IF(F815=2,20,IF(F815=3,10,IF(F815&lt;&gt;"",1,0))))+IF(G815=1,30,IF(G815=2,20,IF(G815=3,10,IF(G815&lt;&gt;"",1,0))))+IF(H815=1,30,IF(H815=2,20,IF(H815=3,10,IF(H815&lt;&gt;"",1,0))))))</f>
        <v/>
      </c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14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>
        <f>IF(AND(C816="",OR(E816="",E816=0)),"",(IF(E816=1,30,IF(E816=2,20,IF(E816=3,10,IF(E816&lt;&gt;"",1,0))))+IF(F816=1,30,IF(F816=2,20,IF(F816=3,10,IF(F816&lt;&gt;"",1,0))))+IF(G816=1,30,IF(G816=2,20,IF(G816=3,10,IF(G816&lt;&gt;"",1,0))))+IF(H816=1,30,IF(H816=2,20,IF(H816=3,10,IF(H816&lt;&gt;"",1,0))))))</f>
        <v/>
      </c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14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>
        <f>IF(AND(C817="",OR(E817="",E817=0)),"",(IF(E817=1,30,IF(E817=2,20,IF(E817=3,10,IF(E817&lt;&gt;"",1,0))))+IF(F817=1,30,IF(F817=2,20,IF(F817=3,10,IF(F817&lt;&gt;"",1,0))))+IF(G817=1,30,IF(G817=2,20,IF(G817=3,10,IF(G817&lt;&gt;"",1,0))))+IF(H817=1,30,IF(H817=2,20,IF(H817=3,10,IF(H817&lt;&gt;"",1,0))))))</f>
        <v/>
      </c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14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>
        <f>IF(AND(C818="",OR(E818="",E818=0)),"",(IF(E818=1,30,IF(E818=2,20,IF(E818=3,10,IF(E818&lt;&gt;"",1,0))))+IF(F818=1,30,IF(F818=2,20,IF(F818=3,10,IF(F818&lt;&gt;"",1,0))))+IF(G818=1,30,IF(G818=2,20,IF(G818=3,10,IF(G818&lt;&gt;"",1,0))))+IF(H818=1,30,IF(H818=2,20,IF(H818=3,10,IF(H818&lt;&gt;"",1,0))))))</f>
        <v/>
      </c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14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>
        <f>IF(AND(C819="",OR(E819="",E819=0)),"",(IF(E819=1,30,IF(E819=2,20,IF(E819=3,10,IF(E819&lt;&gt;"",1,0))))+IF(F819=1,30,IF(F819=2,20,IF(F819=3,10,IF(F819&lt;&gt;"",1,0))))+IF(G819=1,30,IF(G819=2,20,IF(G819=3,10,IF(G819&lt;&gt;"",1,0))))+IF(H819=1,30,IF(H819=2,20,IF(H819=3,10,IF(H819&lt;&gt;"",1,0))))))</f>
        <v/>
      </c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14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>
        <f>IF(AND(C820="",OR(E820="",E820=0)),"",(IF(E820=1,30,IF(E820=2,20,IF(E820=3,10,IF(E820&lt;&gt;"",1,0))))+IF(F820=1,30,IF(F820=2,20,IF(F820=3,10,IF(F820&lt;&gt;"",1,0))))+IF(G820=1,30,IF(G820=2,20,IF(G820=3,10,IF(G820&lt;&gt;"",1,0))))+IF(H820=1,30,IF(H820=2,20,IF(H820=3,10,IF(H820&lt;&gt;"",1,0))))))</f>
        <v/>
      </c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14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>
        <f>IF(AND(C821="",OR(E821="",E821=0)),"",(IF(E821=1,30,IF(E821=2,20,IF(E821=3,10,IF(E821&lt;&gt;"",1,0))))+IF(F821=1,30,IF(F821=2,20,IF(F821=3,10,IF(F821&lt;&gt;"",1,0))))+IF(G821=1,30,IF(G821=2,20,IF(G821=3,10,IF(G821&lt;&gt;"",1,0))))+IF(H821=1,30,IF(H821=2,20,IF(H821=3,10,IF(H821&lt;&gt;"",1,0))))))</f>
        <v/>
      </c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14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>
        <f>IF(AND(C822="",OR(E822="",E822=0)),"",(IF(E822=1,30,IF(E822=2,20,IF(E822=3,10,IF(E822&lt;&gt;"",1,0))))+IF(F822=1,30,IF(F822=2,20,IF(F822=3,10,IF(F822&lt;&gt;"",1,0))))+IF(G822=1,30,IF(G822=2,20,IF(G822=3,10,IF(G822&lt;&gt;"",1,0))))+IF(H822=1,30,IF(H822=2,20,IF(H822=3,10,IF(H822&lt;&gt;"",1,0))))))</f>
        <v/>
      </c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14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>
        <f>IF(AND(C823="",OR(E823="",E823=0)),"",(IF(E823=1,30,IF(E823=2,20,IF(E823=3,10,IF(E823&lt;&gt;"",1,0))))+IF(F823=1,30,IF(F823=2,20,IF(F823=3,10,IF(F823&lt;&gt;"",1,0))))+IF(G823=1,30,IF(G823=2,20,IF(G823=3,10,IF(G823&lt;&gt;"",1,0))))+IF(H823=1,30,IF(H823=2,20,IF(H823=3,10,IF(H823&lt;&gt;"",1,0))))))</f>
        <v/>
      </c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14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>
        <f>IF(AND(C824="",OR(E824="",E824=0)),"",(IF(E824=1,30,IF(E824=2,20,IF(E824=3,10,IF(E824&lt;&gt;"",1,0))))+IF(F824=1,30,IF(F824=2,20,IF(F824=3,10,IF(F824&lt;&gt;"",1,0))))+IF(G824=1,30,IF(G824=2,20,IF(G824=3,10,IF(G824&lt;&gt;"",1,0))))+IF(H824=1,30,IF(H824=2,20,IF(H824=3,10,IF(H824&lt;&gt;"",1,0))))))</f>
        <v/>
      </c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14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>
        <f>IF(AND(C825="",OR(E825="",E825=0)),"",(IF(E825=1,30,IF(E825=2,20,IF(E825=3,10,IF(E825&lt;&gt;"",1,0))))+IF(F825=1,30,IF(F825=2,20,IF(F825=3,10,IF(F825&lt;&gt;"",1,0))))+IF(G825=1,30,IF(G825=2,20,IF(G825=3,10,IF(G825&lt;&gt;"",1,0))))+IF(H825=1,30,IF(H825=2,20,IF(H825=3,10,IF(H825&lt;&gt;"",1,0))))))</f>
        <v/>
      </c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14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>
        <f>IF(AND(C826="",OR(E826="",E826=0)),"",(IF(E826=1,30,IF(E826=2,20,IF(E826=3,10,IF(E826&lt;&gt;"",1,0))))+IF(F826=1,30,IF(F826=2,20,IF(F826=3,10,IF(F826&lt;&gt;"",1,0))))+IF(G826=1,30,IF(G826=2,20,IF(G826=3,10,IF(G826&lt;&gt;"",1,0))))+IF(H826=1,30,IF(H826=2,20,IF(H826=3,10,IF(H826&lt;&gt;"",1,0))))))</f>
        <v/>
      </c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14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>
        <f>IF(AND(C827="",OR(E827="",E827=0)),"",(IF(E827=1,30,IF(E827=2,20,IF(E827=3,10,IF(E827&lt;&gt;"",1,0))))+IF(F827=1,30,IF(F827=2,20,IF(F827=3,10,IF(F827&lt;&gt;"",1,0))))+IF(G827=1,30,IF(G827=2,20,IF(G827=3,10,IF(G827&lt;&gt;"",1,0))))+IF(H827=1,30,IF(H827=2,20,IF(H827=3,10,IF(H827&lt;&gt;"",1,0))))))</f>
        <v/>
      </c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14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>
        <f>IF(AND(C828="",OR(E828="",E828=0)),"",(IF(E828=1,30,IF(E828=2,20,IF(E828=3,10,IF(E828&lt;&gt;"",1,0))))+IF(F828=1,30,IF(F828=2,20,IF(F828=3,10,IF(F828&lt;&gt;"",1,0))))+IF(G828=1,30,IF(G828=2,20,IF(G828=3,10,IF(G828&lt;&gt;"",1,0))))+IF(H828=1,30,IF(H828=2,20,IF(H828=3,10,IF(H828&lt;&gt;"",1,0))))))</f>
        <v/>
      </c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14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>
        <f>IF(AND(C829="",OR(E829="",E829=0)),"",(IF(E829=1,30,IF(E829=2,20,IF(E829=3,10,IF(E829&lt;&gt;"",1,0))))+IF(F829=1,30,IF(F829=2,20,IF(F829=3,10,IF(F829&lt;&gt;"",1,0))))+IF(G829=1,30,IF(G829=2,20,IF(G829=3,10,IF(G829&lt;&gt;"",1,0))))+IF(H829=1,30,IF(H829=2,20,IF(H829=3,10,IF(H829&lt;&gt;"",1,0))))))</f>
        <v/>
      </c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14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>
        <f>IF(AND(C830="",OR(E830="",E830=0)),"",(IF(E830=1,30,IF(E830=2,20,IF(E830=3,10,IF(E830&lt;&gt;"",1,0))))+IF(F830=1,30,IF(F830=2,20,IF(F830=3,10,IF(F830&lt;&gt;"",1,0))))+IF(G830=1,30,IF(G830=2,20,IF(G830=3,10,IF(G830&lt;&gt;"",1,0))))+IF(H830=1,30,IF(H830=2,20,IF(H830=3,10,IF(H830&lt;&gt;"",1,0))))))</f>
        <v/>
      </c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14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>
        <f>IF(AND(C831="",OR(E831="",E831=0)),"",(IF(E831=1,30,IF(E831=2,20,IF(E831=3,10,IF(E831&lt;&gt;"",1,0))))+IF(F831=1,30,IF(F831=2,20,IF(F831=3,10,IF(F831&lt;&gt;"",1,0))))+IF(G831=1,30,IF(G831=2,20,IF(G831=3,10,IF(G831&lt;&gt;"",1,0))))+IF(H831=1,30,IF(H831=2,20,IF(H831=3,10,IF(H831&lt;&gt;"",1,0))))))</f>
        <v/>
      </c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14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>
        <f>IF(AND(C832="",OR(E832="",E832=0)),"",(IF(E832=1,30,IF(E832=2,20,IF(E832=3,10,IF(E832&lt;&gt;"",1,0))))+IF(F832=1,30,IF(F832=2,20,IF(F832=3,10,IF(F832&lt;&gt;"",1,0))))+IF(G832=1,30,IF(G832=2,20,IF(G832=3,10,IF(G832&lt;&gt;"",1,0))))+IF(H832=1,30,IF(H832=2,20,IF(H832=3,10,IF(H832&lt;&gt;"",1,0))))))</f>
        <v/>
      </c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14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>
        <f>IF(AND(C833="",OR(E833="",E833=0)),"",(IF(E833=1,30,IF(E833=2,20,IF(E833=3,10,IF(E833&lt;&gt;"",1,0))))+IF(F833=1,30,IF(F833=2,20,IF(F833=3,10,IF(F833&lt;&gt;"",1,0))))+IF(G833=1,30,IF(G833=2,20,IF(G833=3,10,IF(G833&lt;&gt;"",1,0))))+IF(H833=1,30,IF(H833=2,20,IF(H833=3,10,IF(H833&lt;&gt;"",1,0))))))</f>
        <v/>
      </c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14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>
        <f>IF(AND(C834="",OR(E834="",E834=0)),"",(IF(E834=1,30,IF(E834=2,20,IF(E834=3,10,IF(E834&lt;&gt;"",1,0))))+IF(F834=1,30,IF(F834=2,20,IF(F834=3,10,IF(F834&lt;&gt;"",1,0))))+IF(G834=1,30,IF(G834=2,20,IF(G834=3,10,IF(G834&lt;&gt;"",1,0))))+IF(H834=1,30,IF(H834=2,20,IF(H834=3,10,IF(H834&lt;&gt;"",1,0))))))</f>
        <v/>
      </c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14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>
        <f>IF(AND(C835="",OR(E835="",E835=0)),"",(IF(E835=1,30,IF(E835=2,20,IF(E835=3,10,IF(E835&lt;&gt;"",1,0))))+IF(F835=1,30,IF(F835=2,20,IF(F835=3,10,IF(F835&lt;&gt;"",1,0))))+IF(G835=1,30,IF(G835=2,20,IF(G835=3,10,IF(G835&lt;&gt;"",1,0))))+IF(H835=1,30,IF(H835=2,20,IF(H835=3,10,IF(H835&lt;&gt;"",1,0))))))</f>
        <v/>
      </c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14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>
        <f>IF(AND(C836="",OR(E836="",E836=0)),"",(IF(E836=1,30,IF(E836=2,20,IF(E836=3,10,IF(E836&lt;&gt;"",1,0))))+IF(F836=1,30,IF(F836=2,20,IF(F836=3,10,IF(F836&lt;&gt;"",1,0))))+IF(G836=1,30,IF(G836=2,20,IF(G836=3,10,IF(G836&lt;&gt;"",1,0))))+IF(H836=1,30,IF(H836=2,20,IF(H836=3,10,IF(H836&lt;&gt;"",1,0))))))</f>
        <v/>
      </c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14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>
        <f>IF(AND(C837="",OR(E837="",E837=0)),"",(IF(E837=1,30,IF(E837=2,20,IF(E837=3,10,IF(E837&lt;&gt;"",1,0))))+IF(F837=1,30,IF(F837=2,20,IF(F837=3,10,IF(F837&lt;&gt;"",1,0))))+IF(G837=1,30,IF(G837=2,20,IF(G837=3,10,IF(G837&lt;&gt;"",1,0))))+IF(H837=1,30,IF(H837=2,20,IF(H837=3,10,IF(H837&lt;&gt;"",1,0))))))</f>
        <v/>
      </c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14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>
        <f>IF(AND(C838="",OR(E838="",E838=0)),"",(IF(E838=1,30,IF(E838=2,20,IF(E838=3,10,IF(E838&lt;&gt;"",1,0))))+IF(F838=1,30,IF(F838=2,20,IF(F838=3,10,IF(F838&lt;&gt;"",1,0))))+IF(G838=1,30,IF(G838=2,20,IF(G838=3,10,IF(G838&lt;&gt;"",1,0))))+IF(H838=1,30,IF(H838=2,20,IF(H838=3,10,IF(H838&lt;&gt;"",1,0))))))</f>
        <v/>
      </c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14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>
        <f>IF(AND(C839="",OR(E839="",E839=0)),"",(IF(E839=1,30,IF(E839=2,20,IF(E839=3,10,IF(E839&lt;&gt;"",1,0))))+IF(F839=1,30,IF(F839=2,20,IF(F839=3,10,IF(F839&lt;&gt;"",1,0))))+IF(G839=1,30,IF(G839=2,20,IF(G839=3,10,IF(G839&lt;&gt;"",1,0))))+IF(H839=1,30,IF(H839=2,20,IF(H839=3,10,IF(H839&lt;&gt;"",1,0))))))</f>
        <v/>
      </c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14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>
        <f>IF(AND(C840="",OR(E840="",E840=0)),"",(IF(E840=1,30,IF(E840=2,20,IF(E840=3,10,IF(E840&lt;&gt;"",1,0))))+IF(F840=1,30,IF(F840=2,20,IF(F840=3,10,IF(F840&lt;&gt;"",1,0))))+IF(G840=1,30,IF(G840=2,20,IF(G840=3,10,IF(G840&lt;&gt;"",1,0))))+IF(H840=1,30,IF(H840=2,20,IF(H840=3,10,IF(H840&lt;&gt;"",1,0))))))</f>
        <v/>
      </c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14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>
        <f>IF(AND(C841="",OR(E841="",E841=0)),"",(IF(E841=1,30,IF(E841=2,20,IF(E841=3,10,IF(E841&lt;&gt;"",1,0))))+IF(F841=1,30,IF(F841=2,20,IF(F841=3,10,IF(F841&lt;&gt;"",1,0))))+IF(G841=1,30,IF(G841=2,20,IF(G841=3,10,IF(G841&lt;&gt;"",1,0))))+IF(H841=1,30,IF(H841=2,20,IF(H841=3,10,IF(H841&lt;&gt;"",1,0))))))</f>
        <v/>
      </c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14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>
        <f>IF(AND(C842="",OR(E842="",E842=0)),"",(IF(E842=1,30,IF(E842=2,20,IF(E842=3,10,IF(E842&lt;&gt;"",1,0))))+IF(F842=1,30,IF(F842=2,20,IF(F842=3,10,IF(F842&lt;&gt;"",1,0))))+IF(G842=1,30,IF(G842=2,20,IF(G842=3,10,IF(G842&lt;&gt;"",1,0))))+IF(H842=1,30,IF(H842=2,20,IF(H842=3,10,IF(H842&lt;&gt;"",1,0))))))</f>
        <v/>
      </c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1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>
        <f>IF(AND(C843="",OR(E843="",E843=0)),"",(IF(E843=1,30,IF(E843=2,20,IF(E843=3,10,IF(E843&lt;&gt;"",1,0))))+IF(F843=1,30,IF(F843=2,20,IF(F843=3,10,IF(F843&lt;&gt;"",1,0))))+IF(G843=1,30,IF(G843=2,20,IF(G843=3,10,IF(G843&lt;&gt;"",1,0))))+IF(H843=1,30,IF(H843=2,20,IF(H843=3,10,IF(H843&lt;&gt;"",1,0))))))</f>
        <v/>
      </c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14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>
        <f>IF(AND(C844="",OR(E844="",E844=0)),"",(IF(E844=1,30,IF(E844=2,20,IF(E844=3,10,IF(E844&lt;&gt;"",1,0))))+IF(F844=1,30,IF(F844=2,20,IF(F844=3,10,IF(F844&lt;&gt;"",1,0))))+IF(G844=1,30,IF(G844=2,20,IF(G844=3,10,IF(G844&lt;&gt;"",1,0))))+IF(H844=1,30,IF(H844=2,20,IF(H844=3,10,IF(H844&lt;&gt;"",1,0))))))</f>
        <v/>
      </c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14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>
        <f>IF(AND(C845="",OR(E845="",E845=0)),"",(IF(E845=1,30,IF(E845=2,20,IF(E845=3,10,IF(E845&lt;&gt;"",1,0))))+IF(F845=1,30,IF(F845=2,20,IF(F845=3,10,IF(F845&lt;&gt;"",1,0))))+IF(G845=1,30,IF(G845=2,20,IF(G845=3,10,IF(G845&lt;&gt;"",1,0))))+IF(H845=1,30,IF(H845=2,20,IF(H845=3,10,IF(H845&lt;&gt;"",1,0))))))</f>
        <v/>
      </c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14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>
        <f>IF(AND(C846="",OR(E846="",E846=0)),"",(IF(E846=1,30,IF(E846=2,20,IF(E846=3,10,IF(E846&lt;&gt;"",1,0))))+IF(F846=1,30,IF(F846=2,20,IF(F846=3,10,IF(F846&lt;&gt;"",1,0))))+IF(G846=1,30,IF(G846=2,20,IF(G846=3,10,IF(G846&lt;&gt;"",1,0))))+IF(H846=1,30,IF(H846=2,20,IF(H846=3,10,IF(H846&lt;&gt;"",1,0))))))</f>
        <v/>
      </c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14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>
        <f>IF(AND(C847="",OR(E847="",E847=0)),"",(IF(E847=1,30,IF(E847=2,20,IF(E847=3,10,IF(E847&lt;&gt;"",1,0))))+IF(F847=1,30,IF(F847=2,20,IF(F847=3,10,IF(F847&lt;&gt;"",1,0))))+IF(G847=1,30,IF(G847=2,20,IF(G847=3,10,IF(G847&lt;&gt;"",1,0))))+IF(H847=1,30,IF(H847=2,20,IF(H847=3,10,IF(H847&lt;&gt;"",1,0))))))</f>
        <v/>
      </c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14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>
        <f>IF(AND(C848="",OR(E848="",E848=0)),"",(IF(E848=1,30,IF(E848=2,20,IF(E848=3,10,IF(E848&lt;&gt;"",1,0))))+IF(F848=1,30,IF(F848=2,20,IF(F848=3,10,IF(F848&lt;&gt;"",1,0))))+IF(G848=1,30,IF(G848=2,20,IF(G848=3,10,IF(G848&lt;&gt;"",1,0))))+IF(H848=1,30,IF(H848=2,20,IF(H848=3,10,IF(H848&lt;&gt;"",1,0))))))</f>
        <v/>
      </c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14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>
        <f>IF(AND(C849="",OR(E849="",E849=0)),"",(IF(E849=1,30,IF(E849=2,20,IF(E849=3,10,IF(E849&lt;&gt;"",1,0))))+IF(F849=1,30,IF(F849=2,20,IF(F849=3,10,IF(F849&lt;&gt;"",1,0))))+IF(G849=1,30,IF(G849=2,20,IF(G849=3,10,IF(G849&lt;&gt;"",1,0))))+IF(H849=1,30,IF(H849=2,20,IF(H849=3,10,IF(H849&lt;&gt;"",1,0))))))</f>
        <v/>
      </c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14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>
        <f>IF(AND(C850="",OR(E850="",E850=0)),"",(IF(E850=1,30,IF(E850=2,20,IF(E850=3,10,IF(E850&lt;&gt;"",1,0))))+IF(F850=1,30,IF(F850=2,20,IF(F850=3,10,IF(F850&lt;&gt;"",1,0))))+IF(G850=1,30,IF(G850=2,20,IF(G850=3,10,IF(G850&lt;&gt;"",1,0))))+IF(H850=1,30,IF(H850=2,20,IF(H850=3,10,IF(H850&lt;&gt;"",1,0))))))</f>
        <v/>
      </c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14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>
        <f>IF(AND(C851="",OR(E851="",E851=0)),"",(IF(E851=1,30,IF(E851=2,20,IF(E851=3,10,IF(E851&lt;&gt;"",1,0))))+IF(F851=1,30,IF(F851=2,20,IF(F851=3,10,IF(F851&lt;&gt;"",1,0))))+IF(G851=1,30,IF(G851=2,20,IF(G851=3,10,IF(G851&lt;&gt;"",1,0))))+IF(H851=1,30,IF(H851=2,20,IF(H851=3,10,IF(H851&lt;&gt;"",1,0))))))</f>
        <v/>
      </c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14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>
        <f>IF(AND(C852="",OR(E852="",E852=0)),"",(IF(E852=1,30,IF(E852=2,20,IF(E852=3,10,IF(E852&lt;&gt;"",1,0))))+IF(F852=1,30,IF(F852=2,20,IF(F852=3,10,IF(F852&lt;&gt;"",1,0))))+IF(G852=1,30,IF(G852=2,20,IF(G852=3,10,IF(G852&lt;&gt;"",1,0))))+IF(H852=1,30,IF(H852=2,20,IF(H852=3,10,IF(H852&lt;&gt;"",1,0))))))</f>
        <v/>
      </c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14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>
        <f>IF(AND(C853="",OR(E853="",E853=0)),"",(IF(E853=1,30,IF(E853=2,20,IF(E853=3,10,IF(E853&lt;&gt;"",1,0))))+IF(F853=1,30,IF(F853=2,20,IF(F853=3,10,IF(F853&lt;&gt;"",1,0))))+IF(G853=1,30,IF(G853=2,20,IF(G853=3,10,IF(G853&lt;&gt;"",1,0))))+IF(H853=1,30,IF(H853=2,20,IF(H853=3,10,IF(H853&lt;&gt;"",1,0))))))</f>
        <v/>
      </c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14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>
        <f>IF(AND(C854="",OR(E854="",E854=0)),"",(IF(E854=1,30,IF(E854=2,20,IF(E854=3,10,IF(E854&lt;&gt;"",1,0))))+IF(F854=1,30,IF(F854=2,20,IF(F854=3,10,IF(F854&lt;&gt;"",1,0))))+IF(G854=1,30,IF(G854=2,20,IF(G854=3,10,IF(G854&lt;&gt;"",1,0))))+IF(H854=1,30,IF(H854=2,20,IF(H854=3,10,IF(H854&lt;&gt;"",1,0))))))</f>
        <v/>
      </c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14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>
        <f>IF(AND(C855="",OR(E855="",E855=0)),"",(IF(E855=1,30,IF(E855=2,20,IF(E855=3,10,IF(E855&lt;&gt;"",1,0))))+IF(F855=1,30,IF(F855=2,20,IF(F855=3,10,IF(F855&lt;&gt;"",1,0))))+IF(G855=1,30,IF(G855=2,20,IF(G855=3,10,IF(G855&lt;&gt;"",1,0))))+IF(H855=1,30,IF(H855=2,20,IF(H855=3,10,IF(H855&lt;&gt;"",1,0))))))</f>
        <v/>
      </c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14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>
        <f>IF(AND(C856="",OR(E856="",E856=0)),"",(IF(E856=1,30,IF(E856=2,20,IF(E856=3,10,IF(E856&lt;&gt;"",1,0))))+IF(F856=1,30,IF(F856=2,20,IF(F856=3,10,IF(F856&lt;&gt;"",1,0))))+IF(G856=1,30,IF(G856=2,20,IF(G856=3,10,IF(G856&lt;&gt;"",1,0))))+IF(H856=1,30,IF(H856=2,20,IF(H856=3,10,IF(H856&lt;&gt;"",1,0))))))</f>
        <v/>
      </c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14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>
        <f>IF(AND(C857="",OR(E857="",E857=0)),"",(IF(E857=1,30,IF(E857=2,20,IF(E857=3,10,IF(E857&lt;&gt;"",1,0))))+IF(F857=1,30,IF(F857=2,20,IF(F857=3,10,IF(F857&lt;&gt;"",1,0))))+IF(G857=1,30,IF(G857=2,20,IF(G857=3,10,IF(G857&lt;&gt;"",1,0))))+IF(H857=1,30,IF(H857=2,20,IF(H857=3,10,IF(H857&lt;&gt;"",1,0))))))</f>
        <v/>
      </c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14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>
        <f>IF(AND(C858="",OR(E858="",E858=0)),"",(IF(E858=1,30,IF(E858=2,20,IF(E858=3,10,IF(E858&lt;&gt;"",1,0))))+IF(F858=1,30,IF(F858=2,20,IF(F858=3,10,IF(F858&lt;&gt;"",1,0))))+IF(G858=1,30,IF(G858=2,20,IF(G858=3,10,IF(G858&lt;&gt;"",1,0))))+IF(H858=1,30,IF(H858=2,20,IF(H858=3,10,IF(H858&lt;&gt;"",1,0))))))</f>
        <v/>
      </c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14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>
        <f>IF(AND(C859="",OR(E859="",E859=0)),"",(IF(E859=1,30,IF(E859=2,20,IF(E859=3,10,IF(E859&lt;&gt;"",1,0))))+IF(F859=1,30,IF(F859=2,20,IF(F859=3,10,IF(F859&lt;&gt;"",1,0))))+IF(G859=1,30,IF(G859=2,20,IF(G859=3,10,IF(G859&lt;&gt;"",1,0))))+IF(H859=1,30,IF(H859=2,20,IF(H859=3,10,IF(H859&lt;&gt;"",1,0))))))</f>
        <v/>
      </c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14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>
        <f>IF(AND(C860="",OR(E860="",E860=0)),"",(IF(E860=1,30,IF(E860=2,20,IF(E860=3,10,IF(E860&lt;&gt;"",1,0))))+IF(F860=1,30,IF(F860=2,20,IF(F860=3,10,IF(F860&lt;&gt;"",1,0))))+IF(G860=1,30,IF(G860=2,20,IF(G860=3,10,IF(G860&lt;&gt;"",1,0))))+IF(H860=1,30,IF(H860=2,20,IF(H860=3,10,IF(H860&lt;&gt;"",1,0))))))</f>
        <v/>
      </c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14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>
        <f>IF(AND(C861="",OR(E861="",E861=0)),"",(IF(E861=1,30,IF(E861=2,20,IF(E861=3,10,IF(E861&lt;&gt;"",1,0))))+IF(F861=1,30,IF(F861=2,20,IF(F861=3,10,IF(F861&lt;&gt;"",1,0))))+IF(G861=1,30,IF(G861=2,20,IF(G861=3,10,IF(G861&lt;&gt;"",1,0))))+IF(H861=1,30,IF(H861=2,20,IF(H861=3,10,IF(H861&lt;&gt;"",1,0))))))</f>
        <v/>
      </c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14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>
        <f>IF(AND(C862="",OR(E862="",E862=0)),"",(IF(E862=1,30,IF(E862=2,20,IF(E862=3,10,IF(E862&lt;&gt;"",1,0))))+IF(F862=1,30,IF(F862=2,20,IF(F862=3,10,IF(F862&lt;&gt;"",1,0))))+IF(G862=1,30,IF(G862=2,20,IF(G862=3,10,IF(G862&lt;&gt;"",1,0))))+IF(H862=1,30,IF(H862=2,20,IF(H862=3,10,IF(H862&lt;&gt;"",1,0))))))</f>
        <v/>
      </c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14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>
        <f>IF(AND(C863="",OR(E863="",E863=0)),"",(IF(E863=1,30,IF(E863=2,20,IF(E863=3,10,IF(E863&lt;&gt;"",1,0))))+IF(F863=1,30,IF(F863=2,20,IF(F863=3,10,IF(F863&lt;&gt;"",1,0))))+IF(G863=1,30,IF(G863=2,20,IF(G863=3,10,IF(G863&lt;&gt;"",1,0))))+IF(H863=1,30,IF(H863=2,20,IF(H863=3,10,IF(H863&lt;&gt;"",1,0))))))</f>
        <v/>
      </c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14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>
        <f>IF(AND(C864="",OR(E864="",E864=0)),"",(IF(E864=1,30,IF(E864=2,20,IF(E864=3,10,IF(E864&lt;&gt;"",1,0))))+IF(F864=1,30,IF(F864=2,20,IF(F864=3,10,IF(F864&lt;&gt;"",1,0))))+IF(G864=1,30,IF(G864=2,20,IF(G864=3,10,IF(G864&lt;&gt;"",1,0))))+IF(H864=1,30,IF(H864=2,20,IF(H864=3,10,IF(H864&lt;&gt;"",1,0))))))</f>
        <v/>
      </c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14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>
        <f>IF(AND(C865="",OR(E865="",E865=0)),"",(IF(E865=1,30,IF(E865=2,20,IF(E865=3,10,IF(E865&lt;&gt;"",1,0))))+IF(F865=1,30,IF(F865=2,20,IF(F865=3,10,IF(F865&lt;&gt;"",1,0))))+IF(G865=1,30,IF(G865=2,20,IF(G865=3,10,IF(G865&lt;&gt;"",1,0))))+IF(H865=1,30,IF(H865=2,20,IF(H865=3,10,IF(H865&lt;&gt;"",1,0))))))</f>
        <v/>
      </c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14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>
        <f>IF(AND(C866="",OR(E866="",E866=0)),"",(IF(E866=1,30,IF(E866=2,20,IF(E866=3,10,IF(E866&lt;&gt;"",1,0))))+IF(F866=1,30,IF(F866=2,20,IF(F866=3,10,IF(F866&lt;&gt;"",1,0))))+IF(G866=1,30,IF(G866=2,20,IF(G866=3,10,IF(G866&lt;&gt;"",1,0))))+IF(H866=1,30,IF(H866=2,20,IF(H866=3,10,IF(H866&lt;&gt;"",1,0))))))</f>
        <v/>
      </c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14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>
        <f>IF(AND(C867="",OR(E867="",E867=0)),"",(IF(E867=1,30,IF(E867=2,20,IF(E867=3,10,IF(E867&lt;&gt;"",1,0))))+IF(F867=1,30,IF(F867=2,20,IF(F867=3,10,IF(F867&lt;&gt;"",1,0))))+IF(G867=1,30,IF(G867=2,20,IF(G867=3,10,IF(G867&lt;&gt;"",1,0))))+IF(H867=1,30,IF(H867=2,20,IF(H867=3,10,IF(H867&lt;&gt;"",1,0))))))</f>
        <v/>
      </c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14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>
        <f>IF(AND(C868="",OR(E868="",E868=0)),"",(IF(E868=1,30,IF(E868=2,20,IF(E868=3,10,IF(E868&lt;&gt;"",1,0))))+IF(F868=1,30,IF(F868=2,20,IF(F868=3,10,IF(F868&lt;&gt;"",1,0))))+IF(G868=1,30,IF(G868=2,20,IF(G868=3,10,IF(G868&lt;&gt;"",1,0))))+IF(H868=1,30,IF(H868=2,20,IF(H868=3,10,IF(H868&lt;&gt;"",1,0))))))</f>
        <v/>
      </c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14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>
        <f>IF(AND(C869="",OR(E869="",E869=0)),"",(IF(E869=1,30,IF(E869=2,20,IF(E869=3,10,IF(E869&lt;&gt;"",1,0))))+IF(F869=1,30,IF(F869=2,20,IF(F869=3,10,IF(F869&lt;&gt;"",1,0))))+IF(G869=1,30,IF(G869=2,20,IF(G869=3,10,IF(G869&lt;&gt;"",1,0))))+IF(H869=1,30,IF(H869=2,20,IF(H869=3,10,IF(H869&lt;&gt;"",1,0))))))</f>
        <v/>
      </c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14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>
        <f>IF(AND(C870="",OR(E870="",E870=0)),"",(IF(E870=1,30,IF(E870=2,20,IF(E870=3,10,IF(E870&lt;&gt;"",1,0))))+IF(F870=1,30,IF(F870=2,20,IF(F870=3,10,IF(F870&lt;&gt;"",1,0))))+IF(G870=1,30,IF(G870=2,20,IF(G870=3,10,IF(G870&lt;&gt;"",1,0))))+IF(H870=1,30,IF(H870=2,20,IF(H870=3,10,IF(H870&lt;&gt;"",1,0))))))</f>
        <v/>
      </c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14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>
        <f>IF(AND(C871="",OR(E871="",E871=0)),"",(IF(E871=1,30,IF(E871=2,20,IF(E871=3,10,IF(E871&lt;&gt;"",1,0))))+IF(F871=1,30,IF(F871=2,20,IF(F871=3,10,IF(F871&lt;&gt;"",1,0))))+IF(G871=1,30,IF(G871=2,20,IF(G871=3,10,IF(G871&lt;&gt;"",1,0))))+IF(H871=1,30,IF(H871=2,20,IF(H871=3,10,IF(H871&lt;&gt;"",1,0))))))</f>
        <v/>
      </c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14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>
        <f>IF(AND(C872="",OR(E872="",E872=0)),"",(IF(E872=1,30,IF(E872=2,20,IF(E872=3,10,IF(E872&lt;&gt;"",1,0))))+IF(F872=1,30,IF(F872=2,20,IF(F872=3,10,IF(F872&lt;&gt;"",1,0))))+IF(G872=1,30,IF(G872=2,20,IF(G872=3,10,IF(G872&lt;&gt;"",1,0))))+IF(H872=1,30,IF(H872=2,20,IF(H872=3,10,IF(H872&lt;&gt;"",1,0))))))</f>
        <v/>
      </c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14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>
        <f>IF(AND(C873="",OR(E873="",E873=0)),"",(IF(E873=1,30,IF(E873=2,20,IF(E873=3,10,IF(E873&lt;&gt;"",1,0))))+IF(F873=1,30,IF(F873=2,20,IF(F873=3,10,IF(F873&lt;&gt;"",1,0))))+IF(G873=1,30,IF(G873=2,20,IF(G873=3,10,IF(G873&lt;&gt;"",1,0))))+IF(H873=1,30,IF(H873=2,20,IF(H873=3,10,IF(H873&lt;&gt;"",1,0))))))</f>
        <v/>
      </c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14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>
        <f>IF(AND(C874="",OR(E874="",E874=0)),"",(IF(E874=1,30,IF(E874=2,20,IF(E874=3,10,IF(E874&lt;&gt;"",1,0))))+IF(F874=1,30,IF(F874=2,20,IF(F874=3,10,IF(F874&lt;&gt;"",1,0))))+IF(G874=1,30,IF(G874=2,20,IF(G874=3,10,IF(G874&lt;&gt;"",1,0))))+IF(H874=1,30,IF(H874=2,20,IF(H874=3,10,IF(H874&lt;&gt;"",1,0))))))</f>
        <v/>
      </c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14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>
        <f>IF(AND(C875="",OR(E875="",E875=0)),"",(IF(E875=1,30,IF(E875=2,20,IF(E875=3,10,IF(E875&lt;&gt;"",1,0))))+IF(F875=1,30,IF(F875=2,20,IF(F875=3,10,IF(F875&lt;&gt;"",1,0))))+IF(G875=1,30,IF(G875=2,20,IF(G875=3,10,IF(G875&lt;&gt;"",1,0))))+IF(H875=1,30,IF(H875=2,20,IF(H875=3,10,IF(H875&lt;&gt;"",1,0))))))</f>
        <v/>
      </c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14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>
        <f>IF(AND(C876="",OR(E876="",E876=0)),"",(IF(E876=1,30,IF(E876=2,20,IF(E876=3,10,IF(E876&lt;&gt;"",1,0))))+IF(F876=1,30,IF(F876=2,20,IF(F876=3,10,IF(F876&lt;&gt;"",1,0))))+IF(G876=1,30,IF(G876=2,20,IF(G876=3,10,IF(G876&lt;&gt;"",1,0))))+IF(H876=1,30,IF(H876=2,20,IF(H876=3,10,IF(H876&lt;&gt;"",1,0))))))</f>
        <v/>
      </c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14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>
        <f>IF(AND(C877="",OR(E877="",E877=0)),"",(IF(E877=1,30,IF(E877=2,20,IF(E877=3,10,IF(E877&lt;&gt;"",1,0))))+IF(F877=1,30,IF(F877=2,20,IF(F877=3,10,IF(F877&lt;&gt;"",1,0))))+IF(G877=1,30,IF(G877=2,20,IF(G877=3,10,IF(G877&lt;&gt;"",1,0))))+IF(H877=1,30,IF(H877=2,20,IF(H877=3,10,IF(H877&lt;&gt;"",1,0))))))</f>
        <v/>
      </c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14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>
        <f>IF(AND(C878="",OR(E878="",E878=0)),"",(IF(E878=1,30,IF(E878=2,20,IF(E878=3,10,IF(E878&lt;&gt;"",1,0))))+IF(F878=1,30,IF(F878=2,20,IF(F878=3,10,IF(F878&lt;&gt;"",1,0))))+IF(G878=1,30,IF(G878=2,20,IF(G878=3,10,IF(G878&lt;&gt;"",1,0))))+IF(H878=1,30,IF(H878=2,20,IF(H878=3,10,IF(H878&lt;&gt;"",1,0))))))</f>
        <v/>
      </c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14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>
        <f>IF(AND(C879="",OR(E879="",E879=0)),"",(IF(E879=1,30,IF(E879=2,20,IF(E879=3,10,IF(E879&lt;&gt;"",1,0))))+IF(F879=1,30,IF(F879=2,20,IF(F879=3,10,IF(F879&lt;&gt;"",1,0))))+IF(G879=1,30,IF(G879=2,20,IF(G879=3,10,IF(G879&lt;&gt;"",1,0))))+IF(H879=1,30,IF(H879=2,20,IF(H879=3,10,IF(H879&lt;&gt;"",1,0))))))</f>
        <v/>
      </c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14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>
        <f>IF(AND(C880="",OR(E880="",E880=0)),"",(IF(E880=1,30,IF(E880=2,20,IF(E880=3,10,IF(E880&lt;&gt;"",1,0))))+IF(F880=1,30,IF(F880=2,20,IF(F880=3,10,IF(F880&lt;&gt;"",1,0))))+IF(G880=1,30,IF(G880=2,20,IF(G880=3,10,IF(G880&lt;&gt;"",1,0))))+IF(H880=1,30,IF(H880=2,20,IF(H880=3,10,IF(H880&lt;&gt;"",1,0))))))</f>
        <v/>
      </c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14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>
        <f>IF(AND(C881="",OR(E881="",E881=0)),"",(IF(E881=1,30,IF(E881=2,20,IF(E881=3,10,IF(E881&lt;&gt;"",1,0))))+IF(F881=1,30,IF(F881=2,20,IF(F881=3,10,IF(F881&lt;&gt;"",1,0))))+IF(G881=1,30,IF(G881=2,20,IF(G881=3,10,IF(G881&lt;&gt;"",1,0))))+IF(H881=1,30,IF(H881=2,20,IF(H881=3,10,IF(H881&lt;&gt;"",1,0))))))</f>
        <v/>
      </c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14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>
        <f>IF(AND(C882="",OR(E882="",E882=0)),"",(IF(E882=1,30,IF(E882=2,20,IF(E882=3,10,IF(E882&lt;&gt;"",1,0))))+IF(F882=1,30,IF(F882=2,20,IF(F882=3,10,IF(F882&lt;&gt;"",1,0))))+IF(G882=1,30,IF(G882=2,20,IF(G882=3,10,IF(G882&lt;&gt;"",1,0))))+IF(H882=1,30,IF(H882=2,20,IF(H882=3,10,IF(H882&lt;&gt;"",1,0))))))</f>
        <v/>
      </c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14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>
        <f>IF(AND(C883="",OR(E883="",E883=0)),"",(IF(E883=1,30,IF(E883=2,20,IF(E883=3,10,IF(E883&lt;&gt;"",1,0))))+IF(F883=1,30,IF(F883=2,20,IF(F883=3,10,IF(F883&lt;&gt;"",1,0))))+IF(G883=1,30,IF(G883=2,20,IF(G883=3,10,IF(G883&lt;&gt;"",1,0))))+IF(H883=1,30,IF(H883=2,20,IF(H883=3,10,IF(H883&lt;&gt;"",1,0))))))</f>
        <v/>
      </c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14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>
        <f>IF(AND(C884="",OR(E884="",E884=0)),"",(IF(E884=1,30,IF(E884=2,20,IF(E884=3,10,IF(E884&lt;&gt;"",1,0))))+IF(F884=1,30,IF(F884=2,20,IF(F884=3,10,IF(F884&lt;&gt;"",1,0))))+IF(G884=1,30,IF(G884=2,20,IF(G884=3,10,IF(G884&lt;&gt;"",1,0))))+IF(H884=1,30,IF(H884=2,20,IF(H884=3,10,IF(H884&lt;&gt;"",1,0))))))</f>
        <v/>
      </c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14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>
        <f>IF(AND(C885="",OR(E885="",E885=0)),"",(IF(E885=1,30,IF(E885=2,20,IF(E885=3,10,IF(E885&lt;&gt;"",1,0))))+IF(F885=1,30,IF(F885=2,20,IF(F885=3,10,IF(F885&lt;&gt;"",1,0))))+IF(G885=1,30,IF(G885=2,20,IF(G885=3,10,IF(G885&lt;&gt;"",1,0))))+IF(H885=1,30,IF(H885=2,20,IF(H885=3,10,IF(H885&lt;&gt;"",1,0))))))</f>
        <v/>
      </c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14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>
        <f>IF(AND(C886="",OR(E886="",E886=0)),"",(IF(E886=1,30,IF(E886=2,20,IF(E886=3,10,IF(E886&lt;&gt;"",1,0))))+IF(F886=1,30,IF(F886=2,20,IF(F886=3,10,IF(F886&lt;&gt;"",1,0))))+IF(G886=1,30,IF(G886=2,20,IF(G886=3,10,IF(G886&lt;&gt;"",1,0))))+IF(H886=1,30,IF(H886=2,20,IF(H886=3,10,IF(H886&lt;&gt;"",1,0))))))</f>
        <v/>
      </c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14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>
        <f>IF(AND(C887="",OR(E887="",E887=0)),"",(IF(E887=1,30,IF(E887=2,20,IF(E887=3,10,IF(E887&lt;&gt;"",1,0))))+IF(F887=1,30,IF(F887=2,20,IF(F887=3,10,IF(F887&lt;&gt;"",1,0))))+IF(G887=1,30,IF(G887=2,20,IF(G887=3,10,IF(G887&lt;&gt;"",1,0))))+IF(H887=1,30,IF(H887=2,20,IF(H887=3,10,IF(H887&lt;&gt;"",1,0))))))</f>
        <v/>
      </c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14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>
        <f>IF(AND(C888="",OR(E888="",E888=0)),"",(IF(E888=1,30,IF(E888=2,20,IF(E888=3,10,IF(E888&lt;&gt;"",1,0))))+IF(F888=1,30,IF(F888=2,20,IF(F888=3,10,IF(F888&lt;&gt;"",1,0))))+IF(G888=1,30,IF(G888=2,20,IF(G888=3,10,IF(G888&lt;&gt;"",1,0))))+IF(H888=1,30,IF(H888=2,20,IF(H888=3,10,IF(H888&lt;&gt;"",1,0))))))</f>
        <v/>
      </c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14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>
        <f>IF(AND(C889="",OR(E889="",E889=0)),"",(IF(E889=1,30,IF(E889=2,20,IF(E889=3,10,IF(E889&lt;&gt;"",1,0))))+IF(F889=1,30,IF(F889=2,20,IF(F889=3,10,IF(F889&lt;&gt;"",1,0))))+IF(G889=1,30,IF(G889=2,20,IF(G889=3,10,IF(G889&lt;&gt;"",1,0))))+IF(H889=1,30,IF(H889=2,20,IF(H889=3,10,IF(H889&lt;&gt;"",1,0))))))</f>
        <v/>
      </c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14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>
        <f>IF(AND(C890="",OR(E890="",E890=0)),"",(IF(E890=1,30,IF(E890=2,20,IF(E890=3,10,IF(E890&lt;&gt;"",1,0))))+IF(F890=1,30,IF(F890=2,20,IF(F890=3,10,IF(F890&lt;&gt;"",1,0))))+IF(G890=1,30,IF(G890=2,20,IF(G890=3,10,IF(G890&lt;&gt;"",1,0))))+IF(H890=1,30,IF(H890=2,20,IF(H890=3,10,IF(H890&lt;&gt;"",1,0))))))</f>
        <v/>
      </c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14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>
        <f>IF(AND(C891="",OR(E891="",E891=0)),"",(IF(E891=1,30,IF(E891=2,20,IF(E891=3,10,IF(E891&lt;&gt;"",1,0))))+IF(F891=1,30,IF(F891=2,20,IF(F891=3,10,IF(F891&lt;&gt;"",1,0))))+IF(G891=1,30,IF(G891=2,20,IF(G891=3,10,IF(G891&lt;&gt;"",1,0))))+IF(H891=1,30,IF(H891=2,20,IF(H891=3,10,IF(H891&lt;&gt;"",1,0))))))</f>
        <v/>
      </c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14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>
        <f>IF(AND(C892="",OR(E892="",E892=0)),"",(IF(E892=1,30,IF(E892=2,20,IF(E892=3,10,IF(E892&lt;&gt;"",1,0))))+IF(F892=1,30,IF(F892=2,20,IF(F892=3,10,IF(F892&lt;&gt;"",1,0))))+IF(G892=1,30,IF(G892=2,20,IF(G892=3,10,IF(G892&lt;&gt;"",1,0))))+IF(H892=1,30,IF(H892=2,20,IF(H892=3,10,IF(H892&lt;&gt;"",1,0))))))</f>
        <v/>
      </c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14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>
        <f>IF(AND(C893="",OR(E893="",E893=0)),"",(IF(E893=1,30,IF(E893=2,20,IF(E893=3,10,IF(E893&lt;&gt;"",1,0))))+IF(F893=1,30,IF(F893=2,20,IF(F893=3,10,IF(F893&lt;&gt;"",1,0))))+IF(G893=1,30,IF(G893=2,20,IF(G893=3,10,IF(G893&lt;&gt;"",1,0))))+IF(H893=1,30,IF(H893=2,20,IF(H893=3,10,IF(H893&lt;&gt;"",1,0))))))</f>
        <v/>
      </c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14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>
        <f>IF(AND(C894="",OR(E894="",E894=0)),"",(IF(E894=1,30,IF(E894=2,20,IF(E894=3,10,IF(E894&lt;&gt;"",1,0))))+IF(F894=1,30,IF(F894=2,20,IF(F894=3,10,IF(F894&lt;&gt;"",1,0))))+IF(G894=1,30,IF(G894=2,20,IF(G894=3,10,IF(G894&lt;&gt;"",1,0))))+IF(H894=1,30,IF(H894=2,20,IF(H894=3,10,IF(H894&lt;&gt;"",1,0))))))</f>
        <v/>
      </c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14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>
        <f>IF(AND(C895="",OR(E895="",E895=0)),"",(IF(E895=1,30,IF(E895=2,20,IF(E895=3,10,IF(E895&lt;&gt;"",1,0))))+IF(F895=1,30,IF(F895=2,20,IF(F895=3,10,IF(F895&lt;&gt;"",1,0))))+IF(G895=1,30,IF(G895=2,20,IF(G895=3,10,IF(G895&lt;&gt;"",1,0))))+IF(H895=1,30,IF(H895=2,20,IF(H895=3,10,IF(H895&lt;&gt;"",1,0))))))</f>
        <v/>
      </c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14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>
        <f>IF(AND(C896="",OR(E896="",E896=0)),"",(IF(E896=1,30,IF(E896=2,20,IF(E896=3,10,IF(E896&lt;&gt;"",1,0))))+IF(F896=1,30,IF(F896=2,20,IF(F896=3,10,IF(F896&lt;&gt;"",1,0))))+IF(G896=1,30,IF(G896=2,20,IF(G896=3,10,IF(G896&lt;&gt;"",1,0))))+IF(H896=1,30,IF(H896=2,20,IF(H896=3,10,IF(H896&lt;&gt;"",1,0))))))</f>
        <v/>
      </c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14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>
        <f>IF(AND(C897="",OR(E897="",E897=0)),"",(IF(E897=1,30,IF(E897=2,20,IF(E897=3,10,IF(E897&lt;&gt;"",1,0))))+IF(F897=1,30,IF(F897=2,20,IF(F897=3,10,IF(F897&lt;&gt;"",1,0))))+IF(G897=1,30,IF(G897=2,20,IF(G897=3,10,IF(G897&lt;&gt;"",1,0))))+IF(H897=1,30,IF(H897=2,20,IF(H897=3,10,IF(H897&lt;&gt;"",1,0))))))</f>
        <v/>
      </c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14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>
        <f>IF(AND(C898="",OR(E898="",E898=0)),"",(IF(E898=1,30,IF(E898=2,20,IF(E898=3,10,IF(E898&lt;&gt;"",1,0))))+IF(F898=1,30,IF(F898=2,20,IF(F898=3,10,IF(F898&lt;&gt;"",1,0))))+IF(G898=1,30,IF(G898=2,20,IF(G898=3,10,IF(G898&lt;&gt;"",1,0))))+IF(H898=1,30,IF(H898=2,20,IF(H898=3,10,IF(H898&lt;&gt;"",1,0))))))</f>
        <v/>
      </c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14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>
        <f>IF(AND(C899="",OR(E899="",E899=0)),"",(IF(E899=1,30,IF(E899=2,20,IF(E899=3,10,IF(E899&lt;&gt;"",1,0))))+IF(F899=1,30,IF(F899=2,20,IF(F899=3,10,IF(F899&lt;&gt;"",1,0))))+IF(G899=1,30,IF(G899=2,20,IF(G899=3,10,IF(G899&lt;&gt;"",1,0))))+IF(H899=1,30,IF(H899=2,20,IF(H899=3,10,IF(H899&lt;&gt;"",1,0))))))</f>
        <v/>
      </c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14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>
        <f>IF(AND(C900="",OR(E900="",E900=0)),"",(IF(E900=1,30,IF(E900=2,20,IF(E900=3,10,IF(E900&lt;&gt;"",1,0))))+IF(F900=1,30,IF(F900=2,20,IF(F900=3,10,IF(F900&lt;&gt;"",1,0))))+IF(G900=1,30,IF(G900=2,20,IF(G900=3,10,IF(G900&lt;&gt;"",1,0))))+IF(H900=1,30,IF(H900=2,20,IF(H900=3,10,IF(H900&lt;&gt;"",1,0))))))</f>
        <v/>
      </c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14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>
        <f>IF(AND(C901="",OR(E901="",E901=0)),"",(IF(E901=1,30,IF(E901=2,20,IF(E901=3,10,IF(E901&lt;&gt;"",1,0))))+IF(F901=1,30,IF(F901=2,20,IF(F901=3,10,IF(F901&lt;&gt;"",1,0))))+IF(G901=1,30,IF(G901=2,20,IF(G901=3,10,IF(G901&lt;&gt;"",1,0))))+IF(H901=1,30,IF(H901=2,20,IF(H901=3,10,IF(H901&lt;&gt;"",1,0))))))</f>
        <v/>
      </c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14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>
        <f>IF(AND(C902="",OR(E902="",E902=0)),"",(IF(E902=1,30,IF(E902=2,20,IF(E902=3,10,IF(E902&lt;&gt;"",1,0))))+IF(F902=1,30,IF(F902=2,20,IF(F902=3,10,IF(F902&lt;&gt;"",1,0))))+IF(G902=1,30,IF(G902=2,20,IF(G902=3,10,IF(G902&lt;&gt;"",1,0))))+IF(H902=1,30,IF(H902=2,20,IF(H902=3,10,IF(H902&lt;&gt;"",1,0))))))</f>
        <v/>
      </c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14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>
        <f>IF(AND(C903="",OR(E903="",E903=0)),"",(IF(E903=1,30,IF(E903=2,20,IF(E903=3,10,IF(E903&lt;&gt;"",1,0))))+IF(F903=1,30,IF(F903=2,20,IF(F903=3,10,IF(F903&lt;&gt;"",1,0))))+IF(G903=1,30,IF(G903=2,20,IF(G903=3,10,IF(G903&lt;&gt;"",1,0))))+IF(H903=1,30,IF(H903=2,20,IF(H903=3,10,IF(H903&lt;&gt;"",1,0))))))</f>
        <v/>
      </c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14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>
        <f>IF(AND(C904="",OR(E904="",E904=0)),"",(IF(E904=1,30,IF(E904=2,20,IF(E904=3,10,IF(E904&lt;&gt;"",1,0))))+IF(F904=1,30,IF(F904=2,20,IF(F904=3,10,IF(F904&lt;&gt;"",1,0))))+IF(G904=1,30,IF(G904=2,20,IF(G904=3,10,IF(G904&lt;&gt;"",1,0))))+IF(H904=1,30,IF(H904=2,20,IF(H904=3,10,IF(H904&lt;&gt;"",1,0))))))</f>
        <v/>
      </c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14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>
        <f>IF(AND(C905="",OR(E905="",E905=0)),"",(IF(E905=1,30,IF(E905=2,20,IF(E905=3,10,IF(E905&lt;&gt;"",1,0))))+IF(F905=1,30,IF(F905=2,20,IF(F905=3,10,IF(F905&lt;&gt;"",1,0))))+IF(G905=1,30,IF(G905=2,20,IF(G905=3,10,IF(G905&lt;&gt;"",1,0))))+IF(H905=1,30,IF(H905=2,20,IF(H905=3,10,IF(H905&lt;&gt;"",1,0))))))</f>
        <v/>
      </c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14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>
        <f>IF(AND(C906="",OR(E906="",E906=0)),"",(IF(E906=1,30,IF(E906=2,20,IF(E906=3,10,IF(E906&lt;&gt;"",1,0))))+IF(F906=1,30,IF(F906=2,20,IF(F906=3,10,IF(F906&lt;&gt;"",1,0))))+IF(G906=1,30,IF(G906=2,20,IF(G906=3,10,IF(G906&lt;&gt;"",1,0))))+IF(H906=1,30,IF(H906=2,20,IF(H906=3,10,IF(H906&lt;&gt;"",1,0))))))</f>
        <v/>
      </c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14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>
        <f>IF(AND(C907="",OR(E907="",E907=0)),"",(IF(E907=1,30,IF(E907=2,20,IF(E907=3,10,IF(E907&lt;&gt;"",1,0))))+IF(F907=1,30,IF(F907=2,20,IF(F907=3,10,IF(F907&lt;&gt;"",1,0))))+IF(G907=1,30,IF(G907=2,20,IF(G907=3,10,IF(G907&lt;&gt;"",1,0))))+IF(H907=1,30,IF(H907=2,20,IF(H907=3,10,IF(H907&lt;&gt;"",1,0))))))</f>
        <v/>
      </c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14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>
        <f>IF(AND(C908="",OR(E908="",E908=0)),"",(IF(E908=1,30,IF(E908=2,20,IF(E908=3,10,IF(E908&lt;&gt;"",1,0))))+IF(F908=1,30,IF(F908=2,20,IF(F908=3,10,IF(F908&lt;&gt;"",1,0))))+IF(G908=1,30,IF(G908=2,20,IF(G908=3,10,IF(G908&lt;&gt;"",1,0))))+IF(H908=1,30,IF(H908=2,20,IF(H908=3,10,IF(H908&lt;&gt;"",1,0))))))</f>
        <v/>
      </c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14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>
        <f>IF(AND(C909="",OR(E909="",E909=0)),"",(IF(E909=1,30,IF(E909=2,20,IF(E909=3,10,IF(E909&lt;&gt;"",1,0))))+IF(F909=1,30,IF(F909=2,20,IF(F909=3,10,IF(F909&lt;&gt;"",1,0))))+IF(G909=1,30,IF(G909=2,20,IF(G909=3,10,IF(G909&lt;&gt;"",1,0))))+IF(H909=1,30,IF(H909=2,20,IF(H909=3,10,IF(H909&lt;&gt;"",1,0))))))</f>
        <v/>
      </c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14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>
        <f>IF(AND(C910="",OR(E910="",E910=0)),"",(IF(E910=1,30,IF(E910=2,20,IF(E910=3,10,IF(E910&lt;&gt;"",1,0))))+IF(F910=1,30,IF(F910=2,20,IF(F910=3,10,IF(F910&lt;&gt;"",1,0))))+IF(G910=1,30,IF(G910=2,20,IF(G910=3,10,IF(G910&lt;&gt;"",1,0))))+IF(H910=1,30,IF(H910=2,20,IF(H910=3,10,IF(H910&lt;&gt;"",1,0))))))</f>
        <v/>
      </c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14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>
        <f>IF(AND(C911="",OR(E911="",E911=0)),"",(IF(E911=1,30,IF(E911=2,20,IF(E911=3,10,IF(E911&lt;&gt;"",1,0))))+IF(F911=1,30,IF(F911=2,20,IF(F911=3,10,IF(F911&lt;&gt;"",1,0))))+IF(G911=1,30,IF(G911=2,20,IF(G911=3,10,IF(G911&lt;&gt;"",1,0))))+IF(H911=1,30,IF(H911=2,20,IF(H911=3,10,IF(H911&lt;&gt;"",1,0))))))</f>
        <v/>
      </c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14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>
        <f>IF(AND(C912="",OR(E912="",E912=0)),"",(IF(E912=1,30,IF(E912=2,20,IF(E912=3,10,IF(E912&lt;&gt;"",1,0))))+IF(F912=1,30,IF(F912=2,20,IF(F912=3,10,IF(F912&lt;&gt;"",1,0))))+IF(G912=1,30,IF(G912=2,20,IF(G912=3,10,IF(G912&lt;&gt;"",1,0))))+IF(H912=1,30,IF(H912=2,20,IF(H912=3,10,IF(H912&lt;&gt;"",1,0))))))</f>
        <v/>
      </c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14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>
        <f>IF(AND(C913="",OR(E913="",E913=0)),"",(IF(E913=1,30,IF(E913=2,20,IF(E913=3,10,IF(E913&lt;&gt;"",1,0))))+IF(F913=1,30,IF(F913=2,20,IF(F913=3,10,IF(F913&lt;&gt;"",1,0))))+IF(G913=1,30,IF(G913=2,20,IF(G913=3,10,IF(G913&lt;&gt;"",1,0))))+IF(H913=1,30,IF(H913=2,20,IF(H913=3,10,IF(H913&lt;&gt;"",1,0))))))</f>
        <v/>
      </c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14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>
        <f>IF(AND(C914="",OR(E914="",E914=0)),"",(IF(E914=1,30,IF(E914=2,20,IF(E914=3,10,IF(E914&lt;&gt;"",1,0))))+IF(F914=1,30,IF(F914=2,20,IF(F914=3,10,IF(F914&lt;&gt;"",1,0))))+IF(G914=1,30,IF(G914=2,20,IF(G914=3,10,IF(G914&lt;&gt;"",1,0))))+IF(H914=1,30,IF(H914=2,20,IF(H914=3,10,IF(H914&lt;&gt;"",1,0))))))</f>
        <v/>
      </c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14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>
        <f>IF(AND(C915="",OR(E915="",E915=0)),"",(IF(E915=1,30,IF(E915=2,20,IF(E915=3,10,IF(E915&lt;&gt;"",1,0))))+IF(F915=1,30,IF(F915=2,20,IF(F915=3,10,IF(F915&lt;&gt;"",1,0))))+IF(G915=1,30,IF(G915=2,20,IF(G915=3,10,IF(G915&lt;&gt;"",1,0))))+IF(H915=1,30,IF(H915=2,20,IF(H915=3,10,IF(H915&lt;&gt;"",1,0))))))</f>
        <v/>
      </c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14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>
        <f>IF(AND(C916="",OR(E916="",E916=0)),"",(IF(E916=1,30,IF(E916=2,20,IF(E916=3,10,IF(E916&lt;&gt;"",1,0))))+IF(F916=1,30,IF(F916=2,20,IF(F916=3,10,IF(F916&lt;&gt;"",1,0))))+IF(G916=1,30,IF(G916=2,20,IF(G916=3,10,IF(G916&lt;&gt;"",1,0))))+IF(H916=1,30,IF(H916=2,20,IF(H916=3,10,IF(H916&lt;&gt;"",1,0))))))</f>
        <v/>
      </c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14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>
        <f>IF(AND(C917="",OR(E917="",E917=0)),"",(IF(E917=1,30,IF(E917=2,20,IF(E917=3,10,IF(E917&lt;&gt;"",1,0))))+IF(F917=1,30,IF(F917=2,20,IF(F917=3,10,IF(F917&lt;&gt;"",1,0))))+IF(G917=1,30,IF(G917=2,20,IF(G917=3,10,IF(G917&lt;&gt;"",1,0))))+IF(H917=1,30,IF(H917=2,20,IF(H917=3,10,IF(H917&lt;&gt;"",1,0))))))</f>
        <v/>
      </c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14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>
        <f>IF(AND(C918="",OR(E918="",E918=0)),"",(IF(E918=1,30,IF(E918=2,20,IF(E918=3,10,IF(E918&lt;&gt;"",1,0))))+IF(F918=1,30,IF(F918=2,20,IF(F918=3,10,IF(F918&lt;&gt;"",1,0))))+IF(G918=1,30,IF(G918=2,20,IF(G918=3,10,IF(G918&lt;&gt;"",1,0))))+IF(H918=1,30,IF(H918=2,20,IF(H918=3,10,IF(H918&lt;&gt;"",1,0))))))</f>
        <v/>
      </c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14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>
        <f>IF(AND(C919="",OR(E919="",E919=0)),"",(IF(E919=1,30,IF(E919=2,20,IF(E919=3,10,IF(E919&lt;&gt;"",1,0))))+IF(F919=1,30,IF(F919=2,20,IF(F919=3,10,IF(F919&lt;&gt;"",1,0))))+IF(G919=1,30,IF(G919=2,20,IF(G919=3,10,IF(G919&lt;&gt;"",1,0))))+IF(H919=1,30,IF(H919=2,20,IF(H919=3,10,IF(H919&lt;&gt;"",1,0))))))</f>
        <v/>
      </c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14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>
        <f>IF(AND(C920="",OR(E920="",E920=0)),"",(IF(E920=1,30,IF(E920=2,20,IF(E920=3,10,IF(E920&lt;&gt;"",1,0))))+IF(F920=1,30,IF(F920=2,20,IF(F920=3,10,IF(F920&lt;&gt;"",1,0))))+IF(G920=1,30,IF(G920=2,20,IF(G920=3,10,IF(G920&lt;&gt;"",1,0))))+IF(H920=1,30,IF(H920=2,20,IF(H920=3,10,IF(H920&lt;&gt;"",1,0))))))</f>
        <v/>
      </c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14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>
        <f>IF(AND(C921="",OR(E921="",E921=0)),"",(IF(E921=1,30,IF(E921=2,20,IF(E921=3,10,IF(E921&lt;&gt;"",1,0))))+IF(F921=1,30,IF(F921=2,20,IF(F921=3,10,IF(F921&lt;&gt;"",1,0))))+IF(G921=1,30,IF(G921=2,20,IF(G921=3,10,IF(G921&lt;&gt;"",1,0))))+IF(H921=1,30,IF(H921=2,20,IF(H921=3,10,IF(H921&lt;&gt;"",1,0))))))</f>
        <v/>
      </c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14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>
        <f>IF(AND(C922="",OR(E922="",E922=0)),"",(IF(E922=1,30,IF(E922=2,20,IF(E922=3,10,IF(E922&lt;&gt;"",1,0))))+IF(F922=1,30,IF(F922=2,20,IF(F922=3,10,IF(F922&lt;&gt;"",1,0))))+IF(G922=1,30,IF(G922=2,20,IF(G922=3,10,IF(G922&lt;&gt;"",1,0))))+IF(H922=1,30,IF(H922=2,20,IF(H922=3,10,IF(H922&lt;&gt;"",1,0))))))</f>
        <v/>
      </c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14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>
        <f>IF(AND(C923="",OR(E923="",E923=0)),"",(IF(E923=1,30,IF(E923=2,20,IF(E923=3,10,IF(E923&lt;&gt;"",1,0))))+IF(F923=1,30,IF(F923=2,20,IF(F923=3,10,IF(F923&lt;&gt;"",1,0))))+IF(G923=1,30,IF(G923=2,20,IF(G923=3,10,IF(G923&lt;&gt;"",1,0))))+IF(H923=1,30,IF(H923=2,20,IF(H923=3,10,IF(H923&lt;&gt;"",1,0))))))</f>
        <v/>
      </c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14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>
        <f>IF(AND(C924="",OR(E924="",E924=0)),"",(IF(E924=1,30,IF(E924=2,20,IF(E924=3,10,IF(E924&lt;&gt;"",1,0))))+IF(F924=1,30,IF(F924=2,20,IF(F924=3,10,IF(F924&lt;&gt;"",1,0))))+IF(G924=1,30,IF(G924=2,20,IF(G924=3,10,IF(G924&lt;&gt;"",1,0))))+IF(H924=1,30,IF(H924=2,20,IF(H924=3,10,IF(H924&lt;&gt;"",1,0))))))</f>
        <v/>
      </c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14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>
        <f>IF(AND(C925="",OR(E925="",E925=0)),"",(IF(E925=1,30,IF(E925=2,20,IF(E925=3,10,IF(E925&lt;&gt;"",1,0))))+IF(F925=1,30,IF(F925=2,20,IF(F925=3,10,IF(F925&lt;&gt;"",1,0))))+IF(G925=1,30,IF(G925=2,20,IF(G925=3,10,IF(G925&lt;&gt;"",1,0))))+IF(H925=1,30,IF(H925=2,20,IF(H925=3,10,IF(H925&lt;&gt;"",1,0))))))</f>
        <v/>
      </c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14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>
        <f>IF(AND(C926="",OR(E926="",E926=0)),"",(IF(E926=1,30,IF(E926=2,20,IF(E926=3,10,IF(E926&lt;&gt;"",1,0))))+IF(F926=1,30,IF(F926=2,20,IF(F926=3,10,IF(F926&lt;&gt;"",1,0))))+IF(G926=1,30,IF(G926=2,20,IF(G926=3,10,IF(G926&lt;&gt;"",1,0))))+IF(H926=1,30,IF(H926=2,20,IF(H926=3,10,IF(H926&lt;&gt;"",1,0))))))</f>
        <v/>
      </c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14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>
        <f>IF(AND(C927="",OR(E927="",E927=0)),"",(IF(E927=1,30,IF(E927=2,20,IF(E927=3,10,IF(E927&lt;&gt;"",1,0))))+IF(F927=1,30,IF(F927=2,20,IF(F927=3,10,IF(F927&lt;&gt;"",1,0))))+IF(G927=1,30,IF(G927=2,20,IF(G927=3,10,IF(G927&lt;&gt;"",1,0))))+IF(H927=1,30,IF(H927=2,20,IF(H927=3,10,IF(H927&lt;&gt;"",1,0))))))</f>
        <v/>
      </c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14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>
        <f>IF(AND(C928="",OR(E928="",E928=0)),"",(IF(E928=1,30,IF(E928=2,20,IF(E928=3,10,IF(E928&lt;&gt;"",1,0))))+IF(F928=1,30,IF(F928=2,20,IF(F928=3,10,IF(F928&lt;&gt;"",1,0))))+IF(G928=1,30,IF(G928=2,20,IF(G928=3,10,IF(G928&lt;&gt;"",1,0))))+IF(H928=1,30,IF(H928=2,20,IF(H928=3,10,IF(H928&lt;&gt;"",1,0))))))</f>
        <v/>
      </c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14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>
        <f>IF(AND(C929="",OR(E929="",E929=0)),"",(IF(E929=1,30,IF(E929=2,20,IF(E929=3,10,IF(E929&lt;&gt;"",1,0))))+IF(F929=1,30,IF(F929=2,20,IF(F929=3,10,IF(F929&lt;&gt;"",1,0))))+IF(G929=1,30,IF(G929=2,20,IF(G929=3,10,IF(G929&lt;&gt;"",1,0))))+IF(H929=1,30,IF(H929=2,20,IF(H929=3,10,IF(H929&lt;&gt;"",1,0))))))</f>
        <v/>
      </c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14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>
        <f>IF(AND(C930="",OR(E930="",E930=0)),"",(IF(E930=1,30,IF(E930=2,20,IF(E930=3,10,IF(E930&lt;&gt;"",1,0))))+IF(F930=1,30,IF(F930=2,20,IF(F930=3,10,IF(F930&lt;&gt;"",1,0))))+IF(G930=1,30,IF(G930=2,20,IF(G930=3,10,IF(G930&lt;&gt;"",1,0))))+IF(H930=1,30,IF(H930=2,20,IF(H930=3,10,IF(H930&lt;&gt;"",1,0))))))</f>
        <v/>
      </c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14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>
        <f>IF(AND(C931="",OR(E931="",E931=0)),"",(IF(E931=1,30,IF(E931=2,20,IF(E931=3,10,IF(E931&lt;&gt;"",1,0))))+IF(F931=1,30,IF(F931=2,20,IF(F931=3,10,IF(F931&lt;&gt;"",1,0))))+IF(G931=1,30,IF(G931=2,20,IF(G931=3,10,IF(G931&lt;&gt;"",1,0))))+IF(H931=1,30,IF(H931=2,20,IF(H931=3,10,IF(H931&lt;&gt;"",1,0))))))</f>
        <v/>
      </c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14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>
        <f>IF(AND(C932="",OR(E932="",E932=0)),"",(IF(E932=1,30,IF(E932=2,20,IF(E932=3,10,IF(E932&lt;&gt;"",1,0))))+IF(F932=1,30,IF(F932=2,20,IF(F932=3,10,IF(F932&lt;&gt;"",1,0))))+IF(G932=1,30,IF(G932=2,20,IF(G932=3,10,IF(G932&lt;&gt;"",1,0))))+IF(H932=1,30,IF(H932=2,20,IF(H932=3,10,IF(H932&lt;&gt;"",1,0))))))</f>
        <v/>
      </c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14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>
        <f>IF(AND(C933="",OR(E933="",E933=0)),"",(IF(E933=1,30,IF(E933=2,20,IF(E933=3,10,IF(E933&lt;&gt;"",1,0))))+IF(F933=1,30,IF(F933=2,20,IF(F933=3,10,IF(F933&lt;&gt;"",1,0))))+IF(G933=1,30,IF(G933=2,20,IF(G933=3,10,IF(G933&lt;&gt;"",1,0))))+IF(H933=1,30,IF(H933=2,20,IF(H933=3,10,IF(H933&lt;&gt;"",1,0))))))</f>
        <v/>
      </c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14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>
        <f>IF(AND(C934="",OR(E934="",E934=0)),"",(IF(E934=1,30,IF(E934=2,20,IF(E934=3,10,IF(E934&lt;&gt;"",1,0))))+IF(F934=1,30,IF(F934=2,20,IF(F934=3,10,IF(F934&lt;&gt;"",1,0))))+IF(G934=1,30,IF(G934=2,20,IF(G934=3,10,IF(G934&lt;&gt;"",1,0))))+IF(H934=1,30,IF(H934=2,20,IF(H934=3,10,IF(H934&lt;&gt;"",1,0))))))</f>
        <v/>
      </c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14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>
        <f>IF(AND(C935="",OR(E935="",E935=0)),"",(IF(E935=1,30,IF(E935=2,20,IF(E935=3,10,IF(E935&lt;&gt;"",1,0))))+IF(F935=1,30,IF(F935=2,20,IF(F935=3,10,IF(F935&lt;&gt;"",1,0))))+IF(G935=1,30,IF(G935=2,20,IF(G935=3,10,IF(G935&lt;&gt;"",1,0))))+IF(H935=1,30,IF(H935=2,20,IF(H935=3,10,IF(H935&lt;&gt;"",1,0))))))</f>
        <v/>
      </c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14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>
        <f>IF(AND(C936="",OR(E936="",E936=0)),"",(IF(E936=1,30,IF(E936=2,20,IF(E936=3,10,IF(E936&lt;&gt;"",1,0))))+IF(F936=1,30,IF(F936=2,20,IF(F936=3,10,IF(F936&lt;&gt;"",1,0))))+IF(G936=1,30,IF(G936=2,20,IF(G936=3,10,IF(G936&lt;&gt;"",1,0))))+IF(H936=1,30,IF(H936=2,20,IF(H936=3,10,IF(H936&lt;&gt;"",1,0))))))</f>
        <v/>
      </c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14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>
        <f>IF(AND(C937="",OR(E937="",E937=0)),"",(IF(E937=1,30,IF(E937=2,20,IF(E937=3,10,IF(E937&lt;&gt;"",1,0))))+IF(F937=1,30,IF(F937=2,20,IF(F937=3,10,IF(F937&lt;&gt;"",1,0))))+IF(G937=1,30,IF(G937=2,20,IF(G937=3,10,IF(G937&lt;&gt;"",1,0))))+IF(H937=1,30,IF(H937=2,20,IF(H937=3,10,IF(H937&lt;&gt;"",1,0))))))</f>
        <v/>
      </c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14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>
        <f>IF(AND(C938="",OR(E938="",E938=0)),"",(IF(E938=1,30,IF(E938=2,20,IF(E938=3,10,IF(E938&lt;&gt;"",1,0))))+IF(F938=1,30,IF(F938=2,20,IF(F938=3,10,IF(F938&lt;&gt;"",1,0))))+IF(G938=1,30,IF(G938=2,20,IF(G938=3,10,IF(G938&lt;&gt;"",1,0))))+IF(H938=1,30,IF(H938=2,20,IF(H938=3,10,IF(H938&lt;&gt;"",1,0))))))</f>
        <v/>
      </c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14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>
        <f>IF(AND(C939="",OR(E939="",E939=0)),"",(IF(E939=1,30,IF(E939=2,20,IF(E939=3,10,IF(E939&lt;&gt;"",1,0))))+IF(F939=1,30,IF(F939=2,20,IF(F939=3,10,IF(F939&lt;&gt;"",1,0))))+IF(G939=1,30,IF(G939=2,20,IF(G939=3,10,IF(G939&lt;&gt;"",1,0))))+IF(H939=1,30,IF(H939=2,20,IF(H939=3,10,IF(H939&lt;&gt;"",1,0))))))</f>
        <v/>
      </c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14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>
        <f>IF(AND(C940="",OR(E940="",E940=0)),"",(IF(E940=1,30,IF(E940=2,20,IF(E940=3,10,IF(E940&lt;&gt;"",1,0))))+IF(F940=1,30,IF(F940=2,20,IF(F940=3,10,IF(F940&lt;&gt;"",1,0))))+IF(G940=1,30,IF(G940=2,20,IF(G940=3,10,IF(G940&lt;&gt;"",1,0))))+IF(H940=1,30,IF(H940=2,20,IF(H940=3,10,IF(H940&lt;&gt;"",1,0))))))</f>
        <v/>
      </c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14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>
        <f>IF(AND(C941="",OR(E941="",E941=0)),"",(IF(E941=1,30,IF(E941=2,20,IF(E941=3,10,IF(E941&lt;&gt;"",1,0))))+IF(F941=1,30,IF(F941=2,20,IF(F941=3,10,IF(F941&lt;&gt;"",1,0))))+IF(G941=1,30,IF(G941=2,20,IF(G941=3,10,IF(G941&lt;&gt;"",1,0))))+IF(H941=1,30,IF(H941=2,20,IF(H941=3,10,IF(H941&lt;&gt;"",1,0))))))</f>
        <v/>
      </c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14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>
        <f>IF(AND(C942="",OR(E942="",E942=0)),"",(IF(E942=1,30,IF(E942=2,20,IF(E942=3,10,IF(E942&lt;&gt;"",1,0))))+IF(F942=1,30,IF(F942=2,20,IF(F942=3,10,IF(F942&lt;&gt;"",1,0))))+IF(G942=1,30,IF(G942=2,20,IF(G942=3,10,IF(G942&lt;&gt;"",1,0))))+IF(H942=1,30,IF(H942=2,20,IF(H942=3,10,IF(H942&lt;&gt;"",1,0))))))</f>
        <v/>
      </c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1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>
        <f>IF(AND(C943="",OR(E943="",E943=0)),"",(IF(E943=1,30,IF(E943=2,20,IF(E943=3,10,IF(E943&lt;&gt;"",1,0))))+IF(F943=1,30,IF(F943=2,20,IF(F943=3,10,IF(F943&lt;&gt;"",1,0))))+IF(G943=1,30,IF(G943=2,20,IF(G943=3,10,IF(G943&lt;&gt;"",1,0))))+IF(H943=1,30,IF(H943=2,20,IF(H943=3,10,IF(H943&lt;&gt;"",1,0))))))</f>
        <v/>
      </c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14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>
        <f>IF(AND(C944="",OR(E944="",E944=0)),"",(IF(E944=1,30,IF(E944=2,20,IF(E944=3,10,IF(E944&lt;&gt;"",1,0))))+IF(F944=1,30,IF(F944=2,20,IF(F944=3,10,IF(F944&lt;&gt;"",1,0))))+IF(G944=1,30,IF(G944=2,20,IF(G944=3,10,IF(G944&lt;&gt;"",1,0))))+IF(H944=1,30,IF(H944=2,20,IF(H944=3,10,IF(H944&lt;&gt;"",1,0))))))</f>
        <v/>
      </c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14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>
        <f>IF(AND(C945="",OR(E945="",E945=0)),"",(IF(E945=1,30,IF(E945=2,20,IF(E945=3,10,IF(E945&lt;&gt;"",1,0))))+IF(F945=1,30,IF(F945=2,20,IF(F945=3,10,IF(F945&lt;&gt;"",1,0))))+IF(G945=1,30,IF(G945=2,20,IF(G945=3,10,IF(G945&lt;&gt;"",1,0))))+IF(H945=1,30,IF(H945=2,20,IF(H945=3,10,IF(H945&lt;&gt;"",1,0))))))</f>
        <v/>
      </c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14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>
        <f>IF(AND(C946="",OR(E946="",E946=0)),"",(IF(E946=1,30,IF(E946=2,20,IF(E946=3,10,IF(E946&lt;&gt;"",1,0))))+IF(F946=1,30,IF(F946=2,20,IF(F946=3,10,IF(F946&lt;&gt;"",1,0))))+IF(G946=1,30,IF(G946=2,20,IF(G946=3,10,IF(G946&lt;&gt;"",1,0))))+IF(H946=1,30,IF(H946=2,20,IF(H946=3,10,IF(H946&lt;&gt;"",1,0))))))</f>
        <v/>
      </c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14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>
        <f>IF(AND(C947="",OR(E947="",E947=0)),"",(IF(E947=1,30,IF(E947=2,20,IF(E947=3,10,IF(E947&lt;&gt;"",1,0))))+IF(F947=1,30,IF(F947=2,20,IF(F947=3,10,IF(F947&lt;&gt;"",1,0))))+IF(G947=1,30,IF(G947=2,20,IF(G947=3,10,IF(G947&lt;&gt;"",1,0))))+IF(H947=1,30,IF(H947=2,20,IF(H947=3,10,IF(H947&lt;&gt;"",1,0))))))</f>
        <v/>
      </c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14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>
        <f>IF(AND(C948="",OR(E948="",E948=0)),"",(IF(E948=1,30,IF(E948=2,20,IF(E948=3,10,IF(E948&lt;&gt;"",1,0))))+IF(F948=1,30,IF(F948=2,20,IF(F948=3,10,IF(F948&lt;&gt;"",1,0))))+IF(G948=1,30,IF(G948=2,20,IF(G948=3,10,IF(G948&lt;&gt;"",1,0))))+IF(H948=1,30,IF(H948=2,20,IF(H948=3,10,IF(H948&lt;&gt;"",1,0))))))</f>
        <v/>
      </c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14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>
        <f>IF(AND(C949="",OR(E949="",E949=0)),"",(IF(E949=1,30,IF(E949=2,20,IF(E949=3,10,IF(E949&lt;&gt;"",1,0))))+IF(F949=1,30,IF(F949=2,20,IF(F949=3,10,IF(F949&lt;&gt;"",1,0))))+IF(G949=1,30,IF(G949=2,20,IF(G949=3,10,IF(G949&lt;&gt;"",1,0))))+IF(H949=1,30,IF(H949=2,20,IF(H949=3,10,IF(H949&lt;&gt;"",1,0))))))</f>
        <v/>
      </c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14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>
        <f>IF(AND(C950="",OR(E950="",E950=0)),"",(IF(E950=1,30,IF(E950=2,20,IF(E950=3,10,IF(E950&lt;&gt;"",1,0))))+IF(F950=1,30,IF(F950=2,20,IF(F950=3,10,IF(F950&lt;&gt;"",1,0))))+IF(G950=1,30,IF(G950=2,20,IF(G950=3,10,IF(G950&lt;&gt;"",1,0))))+IF(H950=1,30,IF(H950=2,20,IF(H950=3,10,IF(H950&lt;&gt;"",1,0))))))</f>
        <v/>
      </c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14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>
        <f>IF(AND(C951="",OR(E951="",E951=0)),"",(IF(E951=1,30,IF(E951=2,20,IF(E951=3,10,IF(E951&lt;&gt;"",1,0))))+IF(F951=1,30,IF(F951=2,20,IF(F951=3,10,IF(F951&lt;&gt;"",1,0))))+IF(G951=1,30,IF(G951=2,20,IF(G951=3,10,IF(G951&lt;&gt;"",1,0))))+IF(H951=1,30,IF(H951=2,20,IF(H951=3,10,IF(H951&lt;&gt;"",1,0))))))</f>
        <v/>
      </c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14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>
        <f>IF(AND(C952="",OR(E952="",E952=0)),"",(IF(E952=1,30,IF(E952=2,20,IF(E952=3,10,IF(E952&lt;&gt;"",1,0))))+IF(F952=1,30,IF(F952=2,20,IF(F952=3,10,IF(F952&lt;&gt;"",1,0))))+IF(G952=1,30,IF(G952=2,20,IF(G952=3,10,IF(G952&lt;&gt;"",1,0))))+IF(H952=1,30,IF(H952=2,20,IF(H952=3,10,IF(H952&lt;&gt;"",1,0))))))</f>
        <v/>
      </c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14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>
        <f>IF(AND(C953="",OR(E953="",E953=0)),"",(IF(E953=1,30,IF(E953=2,20,IF(E953=3,10,IF(E953&lt;&gt;"",1,0))))+IF(F953=1,30,IF(F953=2,20,IF(F953=3,10,IF(F953&lt;&gt;"",1,0))))+IF(G953=1,30,IF(G953=2,20,IF(G953=3,10,IF(G953&lt;&gt;"",1,0))))+IF(H953=1,30,IF(H953=2,20,IF(H953=3,10,IF(H953&lt;&gt;"",1,0))))))</f>
        <v/>
      </c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14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>
        <f>IF(AND(C954="",OR(E954="",E954=0)),"",(IF(E954=1,30,IF(E954=2,20,IF(E954=3,10,IF(E954&lt;&gt;"",1,0))))+IF(F954=1,30,IF(F954=2,20,IF(F954=3,10,IF(F954&lt;&gt;"",1,0))))+IF(G954=1,30,IF(G954=2,20,IF(G954=3,10,IF(G954&lt;&gt;"",1,0))))+IF(H954=1,30,IF(H954=2,20,IF(H954=3,10,IF(H954&lt;&gt;"",1,0))))))</f>
        <v/>
      </c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14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>
        <f>IF(AND(C955="",OR(E955="",E955=0)),"",(IF(E955=1,30,IF(E955=2,20,IF(E955=3,10,IF(E955&lt;&gt;"",1,0))))+IF(F955=1,30,IF(F955=2,20,IF(F955=3,10,IF(F955&lt;&gt;"",1,0))))+IF(G955=1,30,IF(G955=2,20,IF(G955=3,10,IF(G955&lt;&gt;"",1,0))))+IF(H955=1,30,IF(H955=2,20,IF(H955=3,10,IF(H955&lt;&gt;"",1,0))))))</f>
        <v/>
      </c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14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>
        <f>IF(AND(C956="",OR(E956="",E956=0)),"",(IF(E956=1,30,IF(E956=2,20,IF(E956=3,10,IF(E956&lt;&gt;"",1,0))))+IF(F956=1,30,IF(F956=2,20,IF(F956=3,10,IF(F956&lt;&gt;"",1,0))))+IF(G956=1,30,IF(G956=2,20,IF(G956=3,10,IF(G956&lt;&gt;"",1,0))))+IF(H956=1,30,IF(H956=2,20,IF(H956=3,10,IF(H956&lt;&gt;"",1,0))))))</f>
        <v/>
      </c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14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>
        <f>IF(AND(C957="",OR(E957="",E957=0)),"",(IF(E957=1,30,IF(E957=2,20,IF(E957=3,10,IF(E957&lt;&gt;"",1,0))))+IF(F957=1,30,IF(F957=2,20,IF(F957=3,10,IF(F957&lt;&gt;"",1,0))))+IF(G957=1,30,IF(G957=2,20,IF(G957=3,10,IF(G957&lt;&gt;"",1,0))))+IF(H957=1,30,IF(H957=2,20,IF(H957=3,10,IF(H957&lt;&gt;"",1,0))))))</f>
        <v/>
      </c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14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>
        <f>IF(AND(C958="",OR(E958="",E958=0)),"",(IF(E958=1,30,IF(E958=2,20,IF(E958=3,10,IF(E958&lt;&gt;"",1,0))))+IF(F958=1,30,IF(F958=2,20,IF(F958=3,10,IF(F958&lt;&gt;"",1,0))))+IF(G958=1,30,IF(G958=2,20,IF(G958=3,10,IF(G958&lt;&gt;"",1,0))))+IF(H958=1,30,IF(H958=2,20,IF(H958=3,10,IF(H958&lt;&gt;"",1,0))))))</f>
        <v/>
      </c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14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>
        <f>IF(AND(C959="",OR(E959="",E959=0)),"",(IF(E959=1,30,IF(E959=2,20,IF(E959=3,10,IF(E959&lt;&gt;"",1,0))))+IF(F959=1,30,IF(F959=2,20,IF(F959=3,10,IF(F959&lt;&gt;"",1,0))))+IF(G959=1,30,IF(G959=2,20,IF(G959=3,10,IF(G959&lt;&gt;"",1,0))))+IF(H959=1,30,IF(H959=2,20,IF(H959=3,10,IF(H959&lt;&gt;"",1,0))))))</f>
        <v/>
      </c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14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>
        <f>IF(AND(C960="",OR(E960="",E960=0)),"",(IF(E960=1,30,IF(E960=2,20,IF(E960=3,10,IF(E960&lt;&gt;"",1,0))))+IF(F960=1,30,IF(F960=2,20,IF(F960=3,10,IF(F960&lt;&gt;"",1,0))))+IF(G960=1,30,IF(G960=2,20,IF(G960=3,10,IF(G960&lt;&gt;"",1,0))))+IF(H960=1,30,IF(H960=2,20,IF(H960=3,10,IF(H960&lt;&gt;"",1,0))))))</f>
        <v/>
      </c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14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>
        <f>IF(AND(C961="",OR(E961="",E961=0)),"",(IF(E961=1,30,IF(E961=2,20,IF(E961=3,10,IF(E961&lt;&gt;"",1,0))))+IF(F961=1,30,IF(F961=2,20,IF(F961=3,10,IF(F961&lt;&gt;"",1,0))))+IF(G961=1,30,IF(G961=2,20,IF(G961=3,10,IF(G961&lt;&gt;"",1,0))))+IF(H961=1,30,IF(H961=2,20,IF(H961=3,10,IF(H961&lt;&gt;"",1,0))))))</f>
        <v/>
      </c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14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>
        <f>IF(AND(C962="",OR(E962="",E962=0)),"",(IF(E962=1,30,IF(E962=2,20,IF(E962=3,10,IF(E962&lt;&gt;"",1,0))))+IF(F962=1,30,IF(F962=2,20,IF(F962=3,10,IF(F962&lt;&gt;"",1,0))))+IF(G962=1,30,IF(G962=2,20,IF(G962=3,10,IF(G962&lt;&gt;"",1,0))))+IF(H962=1,30,IF(H962=2,20,IF(H962=3,10,IF(H962&lt;&gt;"",1,0))))))</f>
        <v/>
      </c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14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>
        <f>IF(AND(C963="",OR(E963="",E963=0)),"",(IF(E963=1,30,IF(E963=2,20,IF(E963=3,10,IF(E963&lt;&gt;"",1,0))))+IF(F963=1,30,IF(F963=2,20,IF(F963=3,10,IF(F963&lt;&gt;"",1,0))))+IF(G963=1,30,IF(G963=2,20,IF(G963=3,10,IF(G963&lt;&gt;"",1,0))))+IF(H963=1,30,IF(H963=2,20,IF(H963=3,10,IF(H963&lt;&gt;"",1,0))))))</f>
        <v/>
      </c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14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>
        <f>IF(AND(C964="",OR(E964="",E964=0)),"",(IF(E964=1,30,IF(E964=2,20,IF(E964=3,10,IF(E964&lt;&gt;"",1,0))))+IF(F964=1,30,IF(F964=2,20,IF(F964=3,10,IF(F964&lt;&gt;"",1,0))))+IF(G964=1,30,IF(G964=2,20,IF(G964=3,10,IF(G964&lt;&gt;"",1,0))))+IF(H964=1,30,IF(H964=2,20,IF(H964=3,10,IF(H964&lt;&gt;"",1,0))))))</f>
        <v/>
      </c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14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>
        <f>IF(AND(C965="",OR(E965="",E965=0)),"",(IF(E965=1,30,IF(E965=2,20,IF(E965=3,10,IF(E965&lt;&gt;"",1,0))))+IF(F965=1,30,IF(F965=2,20,IF(F965=3,10,IF(F965&lt;&gt;"",1,0))))+IF(G965=1,30,IF(G965=2,20,IF(G965=3,10,IF(G965&lt;&gt;"",1,0))))+IF(H965=1,30,IF(H965=2,20,IF(H965=3,10,IF(H965&lt;&gt;"",1,0))))))</f>
        <v/>
      </c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14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>
        <f>IF(AND(C966="",OR(E966="",E966=0)),"",(IF(E966=1,30,IF(E966=2,20,IF(E966=3,10,IF(E966&lt;&gt;"",1,0))))+IF(F966=1,30,IF(F966=2,20,IF(F966=3,10,IF(F966&lt;&gt;"",1,0))))+IF(G966=1,30,IF(G966=2,20,IF(G966=3,10,IF(G966&lt;&gt;"",1,0))))+IF(H966=1,30,IF(H966=2,20,IF(H966=3,10,IF(H966&lt;&gt;"",1,0))))))</f>
        <v/>
      </c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14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>
        <f>IF(AND(C967="",OR(E967="",E967=0)),"",(IF(E967=1,30,IF(E967=2,20,IF(E967=3,10,IF(E967&lt;&gt;"",1,0))))+IF(F967=1,30,IF(F967=2,20,IF(F967=3,10,IF(F967&lt;&gt;"",1,0))))+IF(G967=1,30,IF(G967=2,20,IF(G967=3,10,IF(G967&lt;&gt;"",1,0))))+IF(H967=1,30,IF(H967=2,20,IF(H967=3,10,IF(H967&lt;&gt;"",1,0))))))</f>
        <v/>
      </c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14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>
        <f>IF(AND(C968="",OR(E968="",E968=0)),"",(IF(E968=1,30,IF(E968=2,20,IF(E968=3,10,IF(E968&lt;&gt;"",1,0))))+IF(F968=1,30,IF(F968=2,20,IF(F968=3,10,IF(F968&lt;&gt;"",1,0))))+IF(G968=1,30,IF(G968=2,20,IF(G968=3,10,IF(G968&lt;&gt;"",1,0))))+IF(H968=1,30,IF(H968=2,20,IF(H968=3,10,IF(H968&lt;&gt;"",1,0))))))</f>
        <v/>
      </c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14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>
        <f>IF(AND(C969="",OR(E969="",E969=0)),"",(IF(E969=1,30,IF(E969=2,20,IF(E969=3,10,IF(E969&lt;&gt;"",1,0))))+IF(F969=1,30,IF(F969=2,20,IF(F969=3,10,IF(F969&lt;&gt;"",1,0))))+IF(G969=1,30,IF(G969=2,20,IF(G969=3,10,IF(G969&lt;&gt;"",1,0))))+IF(H969=1,30,IF(H969=2,20,IF(H969=3,10,IF(H969&lt;&gt;"",1,0))))))</f>
        <v/>
      </c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14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>
        <f>IF(AND(C970="",OR(E970="",E970=0)),"",(IF(E970=1,30,IF(E970=2,20,IF(E970=3,10,IF(E970&lt;&gt;"",1,0))))+IF(F970=1,30,IF(F970=2,20,IF(F970=3,10,IF(F970&lt;&gt;"",1,0))))+IF(G970=1,30,IF(G970=2,20,IF(G970=3,10,IF(G970&lt;&gt;"",1,0))))+IF(H970=1,30,IF(H970=2,20,IF(H970=3,10,IF(H970&lt;&gt;"",1,0))))))</f>
        <v/>
      </c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14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>
        <f>IF(AND(C971="",OR(E971="",E971=0)),"",(IF(E971=1,30,IF(E971=2,20,IF(E971=3,10,IF(E971&lt;&gt;"",1,0))))+IF(F971=1,30,IF(F971=2,20,IF(F971=3,10,IF(F971&lt;&gt;"",1,0))))+IF(G971=1,30,IF(G971=2,20,IF(G971=3,10,IF(G971&lt;&gt;"",1,0))))+IF(H971=1,30,IF(H971=2,20,IF(H971=3,10,IF(H971&lt;&gt;"",1,0))))))</f>
        <v/>
      </c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14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>
        <f>IF(AND(C972="",OR(E972="",E972=0)),"",(IF(E972=1,30,IF(E972=2,20,IF(E972=3,10,IF(E972&lt;&gt;"",1,0))))+IF(F972=1,30,IF(F972=2,20,IF(F972=3,10,IF(F972&lt;&gt;"",1,0))))+IF(G972=1,30,IF(G972=2,20,IF(G972=3,10,IF(G972&lt;&gt;"",1,0))))+IF(H972=1,30,IF(H972=2,20,IF(H972=3,10,IF(H972&lt;&gt;"",1,0))))))</f>
        <v/>
      </c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14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>
        <f>IF(AND(C973="",OR(E973="",E973=0)),"",(IF(E973=1,30,IF(E973=2,20,IF(E973=3,10,IF(E973&lt;&gt;"",1,0))))+IF(F973=1,30,IF(F973=2,20,IF(F973=3,10,IF(F973&lt;&gt;"",1,0))))+IF(G973=1,30,IF(G973=2,20,IF(G973=3,10,IF(G973&lt;&gt;"",1,0))))+IF(H973=1,30,IF(H973=2,20,IF(H973=3,10,IF(H973&lt;&gt;"",1,0))))))</f>
        <v/>
      </c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14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>
        <f>IF(AND(C974="",OR(E974="",E974=0)),"",(IF(E974=1,30,IF(E974=2,20,IF(E974=3,10,IF(E974&lt;&gt;"",1,0))))+IF(F974=1,30,IF(F974=2,20,IF(F974=3,10,IF(F974&lt;&gt;"",1,0))))+IF(G974=1,30,IF(G974=2,20,IF(G974=3,10,IF(G974&lt;&gt;"",1,0))))+IF(H974=1,30,IF(H974=2,20,IF(H974=3,10,IF(H974&lt;&gt;"",1,0))))))</f>
        <v/>
      </c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14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>
        <f>IF(AND(C975="",OR(E975="",E975=0)),"",(IF(E975=1,30,IF(E975=2,20,IF(E975=3,10,IF(E975&lt;&gt;"",1,0))))+IF(F975=1,30,IF(F975=2,20,IF(F975=3,10,IF(F975&lt;&gt;"",1,0))))+IF(G975=1,30,IF(G975=2,20,IF(G975=3,10,IF(G975&lt;&gt;"",1,0))))+IF(H975=1,30,IF(H975=2,20,IF(H975=3,10,IF(H975&lt;&gt;"",1,0))))))</f>
        <v/>
      </c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14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>
        <f>IF(AND(C976="",OR(E976="",E976=0)),"",(IF(E976=1,30,IF(E976=2,20,IF(E976=3,10,IF(E976&lt;&gt;"",1,0))))+IF(F976=1,30,IF(F976=2,20,IF(F976=3,10,IF(F976&lt;&gt;"",1,0))))+IF(G976=1,30,IF(G976=2,20,IF(G976=3,10,IF(G976&lt;&gt;"",1,0))))+IF(H976=1,30,IF(H976=2,20,IF(H976=3,10,IF(H976&lt;&gt;"",1,0))))))</f>
        <v/>
      </c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14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>
        <f>IF(AND(C977="",OR(E977="",E977=0)),"",(IF(E977=1,30,IF(E977=2,20,IF(E977=3,10,IF(E977&lt;&gt;"",1,0))))+IF(F977=1,30,IF(F977=2,20,IF(F977=3,10,IF(F977&lt;&gt;"",1,0))))+IF(G977=1,30,IF(G977=2,20,IF(G977=3,10,IF(G977&lt;&gt;"",1,0))))+IF(H977=1,30,IF(H977=2,20,IF(H977=3,10,IF(H977&lt;&gt;"",1,0))))))</f>
        <v/>
      </c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14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>
        <f>IF(AND(C978="",OR(E978="",E978=0)),"",(IF(E978=1,30,IF(E978=2,20,IF(E978=3,10,IF(E978&lt;&gt;"",1,0))))+IF(F978=1,30,IF(F978=2,20,IF(F978=3,10,IF(F978&lt;&gt;"",1,0))))+IF(G978=1,30,IF(G978=2,20,IF(G978=3,10,IF(G978&lt;&gt;"",1,0))))+IF(H978=1,30,IF(H978=2,20,IF(H978=3,10,IF(H978&lt;&gt;"",1,0))))))</f>
        <v/>
      </c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14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>
        <f>IF(AND(C979="",OR(E979="",E979=0)),"",(IF(E979=1,30,IF(E979=2,20,IF(E979=3,10,IF(E979&lt;&gt;"",1,0))))+IF(F979=1,30,IF(F979=2,20,IF(F979=3,10,IF(F979&lt;&gt;"",1,0))))+IF(G979=1,30,IF(G979=2,20,IF(G979=3,10,IF(G979&lt;&gt;"",1,0))))+IF(H979=1,30,IF(H979=2,20,IF(H979=3,10,IF(H979&lt;&gt;"",1,0))))))</f>
        <v/>
      </c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14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>
        <f>IF(AND(C980="",OR(E980="",E980=0)),"",(IF(E980=1,30,IF(E980=2,20,IF(E980=3,10,IF(E980&lt;&gt;"",1,0))))+IF(F980=1,30,IF(F980=2,20,IF(F980=3,10,IF(F980&lt;&gt;"",1,0))))+IF(G980=1,30,IF(G980=2,20,IF(G980=3,10,IF(G980&lt;&gt;"",1,0))))+IF(H980=1,30,IF(H980=2,20,IF(H980=3,10,IF(H980&lt;&gt;"",1,0))))))</f>
        <v/>
      </c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14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>
        <f>IF(AND(C981="",OR(E981="",E981=0)),"",(IF(E981=1,30,IF(E981=2,20,IF(E981=3,10,IF(E981&lt;&gt;"",1,0))))+IF(F981=1,30,IF(F981=2,20,IF(F981=3,10,IF(F981&lt;&gt;"",1,0))))+IF(G981=1,30,IF(G981=2,20,IF(G981=3,10,IF(G981&lt;&gt;"",1,0))))+IF(H981=1,30,IF(H981=2,20,IF(H981=3,10,IF(H981&lt;&gt;"",1,0))))))</f>
        <v/>
      </c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14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>
        <f>IF(AND(C982="",OR(E982="",E982=0)),"",(IF(E982=1,30,IF(E982=2,20,IF(E982=3,10,IF(E982&lt;&gt;"",1,0))))+IF(F982=1,30,IF(F982=2,20,IF(F982=3,10,IF(F982&lt;&gt;"",1,0))))+IF(G982=1,30,IF(G982=2,20,IF(G982=3,10,IF(G982&lt;&gt;"",1,0))))+IF(H982=1,30,IF(H982=2,20,IF(H982=3,10,IF(H982&lt;&gt;"",1,0))))))</f>
        <v/>
      </c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14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>
        <f>IF(AND(C983="",OR(E983="",E983=0)),"",(IF(E983=1,30,IF(E983=2,20,IF(E983=3,10,IF(E983&lt;&gt;"",1,0))))+IF(F983=1,30,IF(F983=2,20,IF(F983=3,10,IF(F983&lt;&gt;"",1,0))))+IF(G983=1,30,IF(G983=2,20,IF(G983=3,10,IF(G983&lt;&gt;"",1,0))))+IF(H983=1,30,IF(H983=2,20,IF(H983=3,10,IF(H983&lt;&gt;"",1,0))))))</f>
        <v/>
      </c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14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>
        <f>IF(AND(C984="",OR(E984="",E984=0)),"",(IF(E984=1,30,IF(E984=2,20,IF(E984=3,10,IF(E984&lt;&gt;"",1,0))))+IF(F984=1,30,IF(F984=2,20,IF(F984=3,10,IF(F984&lt;&gt;"",1,0))))+IF(G984=1,30,IF(G984=2,20,IF(G984=3,10,IF(G984&lt;&gt;"",1,0))))+IF(H984=1,30,IF(H984=2,20,IF(H984=3,10,IF(H984&lt;&gt;"",1,0))))))</f>
        <v/>
      </c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14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>
        <f>IF(AND(C985="",OR(E985="",E985=0)),"",(IF(E985=1,30,IF(E985=2,20,IF(E985=3,10,IF(E985&lt;&gt;"",1,0))))+IF(F985=1,30,IF(F985=2,20,IF(F985=3,10,IF(F985&lt;&gt;"",1,0))))+IF(G985=1,30,IF(G985=2,20,IF(G985=3,10,IF(G985&lt;&gt;"",1,0))))+IF(H985=1,30,IF(H985=2,20,IF(H985=3,10,IF(H985&lt;&gt;"",1,0))))))</f>
        <v/>
      </c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14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>
        <f>IF(AND(C986="",OR(E986="",E986=0)),"",(IF(E986=1,30,IF(E986=2,20,IF(E986=3,10,IF(E986&lt;&gt;"",1,0))))+IF(F986=1,30,IF(F986=2,20,IF(F986=3,10,IF(F986&lt;&gt;"",1,0))))+IF(G986=1,30,IF(G986=2,20,IF(G986=3,10,IF(G986&lt;&gt;"",1,0))))+IF(H986=1,30,IF(H986=2,20,IF(H986=3,10,IF(H986&lt;&gt;"",1,0))))))</f>
        <v/>
      </c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14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>
        <f>IF(AND(C987="",OR(E987="",E987=0)),"",(IF(E987=1,30,IF(E987=2,20,IF(E987=3,10,IF(E987&lt;&gt;"",1,0))))+IF(F987=1,30,IF(F987=2,20,IF(F987=3,10,IF(F987&lt;&gt;"",1,0))))+IF(G987=1,30,IF(G987=2,20,IF(G987=3,10,IF(G987&lt;&gt;"",1,0))))+IF(H987=1,30,IF(H987=2,20,IF(H987=3,10,IF(H987&lt;&gt;"",1,0))))))</f>
        <v/>
      </c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14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>
        <f>IF(AND(C988="",OR(E988="",E988=0)),"",(IF(E988=1,30,IF(E988=2,20,IF(E988=3,10,IF(E988&lt;&gt;"",1,0))))+IF(F988=1,30,IF(F988=2,20,IF(F988=3,10,IF(F988&lt;&gt;"",1,0))))+IF(G988=1,30,IF(G988=2,20,IF(G988=3,10,IF(G988&lt;&gt;"",1,0))))+IF(H988=1,30,IF(H988=2,20,IF(H988=3,10,IF(H988&lt;&gt;"",1,0))))))</f>
        <v/>
      </c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14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>
        <f>IF(AND(C989="",OR(E989="",E989=0)),"",(IF(E989=1,30,IF(E989=2,20,IF(E989=3,10,IF(E989&lt;&gt;"",1,0))))+IF(F989=1,30,IF(F989=2,20,IF(F989=3,10,IF(F989&lt;&gt;"",1,0))))+IF(G989=1,30,IF(G989=2,20,IF(G989=3,10,IF(G989&lt;&gt;"",1,0))))+IF(H989=1,30,IF(H989=2,20,IF(H989=3,10,IF(H989&lt;&gt;"",1,0))))))</f>
        <v/>
      </c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14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>
        <f>IF(AND(C990="",OR(E990="",E990=0)),"",(IF(E990=1,30,IF(E990=2,20,IF(E990=3,10,IF(E990&lt;&gt;"",1,0))))+IF(F990=1,30,IF(F990=2,20,IF(F990=3,10,IF(F990&lt;&gt;"",1,0))))+IF(G990=1,30,IF(G990=2,20,IF(G990=3,10,IF(G990&lt;&gt;"",1,0))))+IF(H990=1,30,IF(H990=2,20,IF(H990=3,10,IF(H990&lt;&gt;"",1,0))))))</f>
        <v/>
      </c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14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>
        <f>IF(AND(C991="",OR(E991="",E991=0)),"",(IF(E991=1,30,IF(E991=2,20,IF(E991=3,10,IF(E991&lt;&gt;"",1,0))))+IF(F991=1,30,IF(F991=2,20,IF(F991=3,10,IF(F991&lt;&gt;"",1,0))))+IF(G991=1,30,IF(G991=2,20,IF(G991=3,10,IF(G991&lt;&gt;"",1,0))))+IF(H991=1,30,IF(H991=2,20,IF(H991=3,10,IF(H991&lt;&gt;"",1,0))))))</f>
        <v/>
      </c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14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>
        <f>IF(AND(C992="",OR(E992="",E992=0)),"",(IF(E992=1,30,IF(E992=2,20,IF(E992=3,10,IF(E992&lt;&gt;"",1,0))))+IF(F992=1,30,IF(F992=2,20,IF(F992=3,10,IF(F992&lt;&gt;"",1,0))))+IF(G992=1,30,IF(G992=2,20,IF(G992=3,10,IF(G992&lt;&gt;"",1,0))))+IF(H992=1,30,IF(H992=2,20,IF(H992=3,10,IF(H992&lt;&gt;"",1,0))))))</f>
        <v/>
      </c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14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>
        <f>IF(AND(C993="",OR(E993="",E993=0)),"",(IF(E993=1,30,IF(E993=2,20,IF(E993=3,10,IF(E993&lt;&gt;"",1,0))))+IF(F993=1,30,IF(F993=2,20,IF(F993=3,10,IF(F993&lt;&gt;"",1,0))))+IF(G993=1,30,IF(G993=2,20,IF(G993=3,10,IF(G993&lt;&gt;"",1,0))))+IF(H993=1,30,IF(H993=2,20,IF(H993=3,10,IF(H993&lt;&gt;"",1,0))))))</f>
        <v/>
      </c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14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>
        <f>IF(AND(C994="",OR(E994="",E994=0)),"",(IF(E994=1,30,IF(E994=2,20,IF(E994=3,10,IF(E994&lt;&gt;"",1,0))))+IF(F994=1,30,IF(F994=2,20,IF(F994=3,10,IF(F994&lt;&gt;"",1,0))))+IF(G994=1,30,IF(G994=2,20,IF(G994=3,10,IF(G994&lt;&gt;"",1,0))))+IF(H994=1,30,IF(H994=2,20,IF(H994=3,10,IF(H994&lt;&gt;"",1,0))))))</f>
        <v/>
      </c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14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>
        <f>IF(AND(C995="",OR(E995="",E995=0)),"",(IF(E995=1,30,IF(E995=2,20,IF(E995=3,10,IF(E995&lt;&gt;"",1,0))))+IF(F995=1,30,IF(F995=2,20,IF(F995=3,10,IF(F995&lt;&gt;"",1,0))))+IF(G995=1,30,IF(G995=2,20,IF(G995=3,10,IF(G995&lt;&gt;"",1,0))))+IF(H995=1,30,IF(H995=2,20,IF(H995=3,10,IF(H995&lt;&gt;"",1,0))))))</f>
        <v/>
      </c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14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>
        <f>IF(AND(C996="",OR(E996="",E996=0)),"",(IF(E996=1,30,IF(E996=2,20,IF(E996=3,10,IF(E996&lt;&gt;"",1,0))))+IF(F996=1,30,IF(F996=2,20,IF(F996=3,10,IF(F996&lt;&gt;"",1,0))))+IF(G996=1,30,IF(G996=2,20,IF(G996=3,10,IF(G996&lt;&gt;"",1,0))))+IF(H996=1,30,IF(H996=2,20,IF(H996=3,10,IF(H996&lt;&gt;"",1,0))))))</f>
        <v/>
      </c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14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>
        <f>IF(AND(C997="",OR(E997="",E997=0)),"",(IF(E997=1,30,IF(E997=2,20,IF(E997=3,10,IF(E997&lt;&gt;"",1,0))))+IF(F997=1,30,IF(F997=2,20,IF(F997=3,10,IF(F997&lt;&gt;"",1,0))))+IF(G997=1,30,IF(G997=2,20,IF(G997=3,10,IF(G997&lt;&gt;"",1,0))))+IF(H997=1,30,IF(H997=2,20,IF(H997=3,10,IF(H997&lt;&gt;"",1,0))))))</f>
        <v/>
      </c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14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>
        <f>IF(AND(C998="",OR(E998="",E998=0)),"",(IF(E998=1,30,IF(E998=2,20,IF(E998=3,10,IF(E998&lt;&gt;"",1,0))))+IF(F998=1,30,IF(F998=2,20,IF(F998=3,10,IF(F998&lt;&gt;"",1,0))))+IF(G998=1,30,IF(G998=2,20,IF(G998=3,10,IF(G998&lt;&gt;"",1,0))))+IF(H998=1,30,IF(H998=2,20,IF(H998=3,10,IF(H998&lt;&gt;"",1,0))))))</f>
        <v/>
      </c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14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>
        <f>IF(AND(C999="",OR(E999="",E999=0)),"",(IF(E999=1,30,IF(E999=2,20,IF(E999=3,10,IF(E999&lt;&gt;"",1,0))))+IF(F999=1,30,IF(F999=2,20,IF(F999=3,10,IF(F999&lt;&gt;"",1,0))))+IF(G999=1,30,IF(G999=2,20,IF(G999=3,10,IF(G999&lt;&gt;"",1,0))))+IF(H999=1,30,IF(H999=2,20,IF(H999=3,10,IF(H999&lt;&gt;"",1,0))))))</f>
        <v/>
      </c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14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>
        <f>IF(AND(C1000="",OR(E1000="",E1000=0)),"",(IF(E1000=1,30,IF(E1000=2,20,IF(E1000=3,10,IF(E1000&lt;&gt;"",1,0))))+IF(F1000=1,30,IF(F1000=2,20,IF(F1000=3,10,IF(F1000&lt;&gt;"",1,0))))+IF(G1000=1,30,IF(G1000=2,20,IF(G1000=3,10,IF(G1000&lt;&gt;"",1,0))))+IF(H1000=1,30,IF(H1000=2,20,IF(H1000=3,10,IF(H1000&lt;&gt;"",1,0))))))</f>
        <v/>
      </c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B$3:$I$103"/>
  <mergeCells count="1">
    <mergeCell ref="B2:I2"/>
  </mergeCells>
  <conditionalFormatting sqref="B4:I103">
    <cfRule type="expression" priority="1" dxfId="0">
      <formula>$D4="Bgirl"</formula>
    </cfRule>
  </conditionalFormatting>
  <dataValidations count="1">
    <dataValidation sqref="D4:D103" showDropDown="0" showInputMessage="0" showErrorMessage="0" allowBlank="1" type="list">
      <formula1>"1 год обучения,до 3 лет опыта,до 6 лет,7-9 лет,10-13 лет,Kids Pro,Bgirl"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3" min="1" max="1"/>
    <col width="5" customWidth="1" style="143" min="2" max="2"/>
    <col width="22" customWidth="1" style="143" min="3" max="3"/>
    <col width="16" customWidth="1" style="143" min="4" max="4"/>
    <col width="24.14" customWidth="1" style="143" min="5" max="8"/>
    <col width="15.14" customWidth="1" style="143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6" customHeight="1" s="143">
      <c r="A2" s="1" t="n"/>
      <c r="B2" s="160" t="inlineStr">
        <is>
          <t>☀️ Summer  —  РЕЗУЛЬТАТЫ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30" customHeight="1" s="143">
      <c r="A3" s="1" t="n"/>
      <c r="B3" s="31" t="inlineStr">
        <is>
          <t>№</t>
        </is>
      </c>
      <c r="C3" s="31" t="inlineStr">
        <is>
          <t>Имя участника</t>
        </is>
      </c>
      <c r="D3" s="31" t="inlineStr">
        <is>
          <t>Номинация</t>
        </is>
      </c>
      <c r="E3" s="30" t="inlineStr">
        <is>
          <t>Место (осн.)</t>
        </is>
      </c>
      <c r="F3" s="30" t="inlineStr">
        <is>
          <t>Доп. ном.1</t>
        </is>
      </c>
      <c r="G3" s="30" t="inlineStr">
        <is>
          <t>Доп. ном.2</t>
        </is>
      </c>
      <c r="H3" s="30" t="inlineStr">
        <is>
          <t>Доп. ном.3</t>
        </is>
      </c>
      <c r="I3" s="31" t="inlineStr">
        <is>
          <t>Баллы (x1)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143">
      <c r="A4" s="1" t="n"/>
      <c r="B4" s="32">
        <f>'👥 Участники'!B4</f>
        <v/>
      </c>
      <c r="C4" s="33">
        <f>'👥 Участники'!C4</f>
        <v/>
      </c>
      <c r="D4" s="34">
        <f>'👥 Участники'!D4</f>
        <v/>
      </c>
      <c r="E4" s="40" t="n"/>
      <c r="F4" s="40" t="n"/>
      <c r="G4" s="40" t="n"/>
      <c r="H4" s="40" t="n"/>
      <c r="I4" s="36">
        <f>IF(AND(C4="",OR(E4="",E4=0)),"",(IF(E4=1,30,IF(E4=2,20,IF(E4=3,10,IF(E4&lt;&gt;"",1,0))))+IF(F4=1,30,IF(F4=2,20,IF(F4=3,10,IF(F4&lt;&gt;"",1,0))))+IF(G4=1,30,IF(G4=2,20,IF(G4=3,10,IF(G4&lt;&gt;"",1,0))))+IF(H4=1,30,IF(H4=2,20,IF(H4=3,10,IF(H4&lt;&gt;"",1,0))))))</f>
        <v/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143">
      <c r="A5" s="1" t="n"/>
      <c r="B5" s="37">
        <f>'👥 Участники'!B5</f>
        <v/>
      </c>
      <c r="C5" s="38">
        <f>'👥 Участники'!C5</f>
        <v/>
      </c>
      <c r="D5" s="39">
        <f>'👥 Участники'!D5</f>
        <v/>
      </c>
      <c r="E5" s="40" t="n"/>
      <c r="F5" s="40" t="n"/>
      <c r="G5" s="40" t="n"/>
      <c r="H5" s="40" t="n"/>
      <c r="I5" s="36">
        <f>IF(AND(C5="",OR(E5="",E5=0)),"",(IF(E5=1,30,IF(E5=2,20,IF(E5=3,10,IF(E5&lt;&gt;"",1,0))))+IF(F5=1,30,IF(F5=2,20,IF(F5=3,10,IF(F5&lt;&gt;"",1,0))))+IF(G5=1,30,IF(G5=2,20,IF(G5=3,10,IF(G5&lt;&gt;"",1,0))))+IF(H5=1,30,IF(H5=2,20,IF(H5=3,10,IF(H5&lt;&gt;"",1,0))))))</f>
        <v/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9.5" customHeight="1" s="143">
      <c r="A6" s="1" t="n"/>
      <c r="B6" s="32">
        <f>'👥 Участники'!B6</f>
        <v/>
      </c>
      <c r="C6" s="33">
        <f>'👥 Участники'!C6</f>
        <v/>
      </c>
      <c r="D6" s="34">
        <f>'👥 Участники'!D6</f>
        <v/>
      </c>
      <c r="E6" s="40" t="n"/>
      <c r="F6" s="40" t="n"/>
      <c r="G6" s="40" t="n"/>
      <c r="H6" s="40" t="n"/>
      <c r="I6" s="36">
        <f>IF(AND(C6="",OR(E6="",E6=0)),"",(IF(E6=1,30,IF(E6=2,20,IF(E6=3,10,IF(E6&lt;&gt;"",1,0))))+IF(F6=1,30,IF(F6=2,20,IF(F6=3,10,IF(F6&lt;&gt;"",1,0))))+IF(G6=1,30,IF(G6=2,20,IF(G6=3,10,IF(G6&lt;&gt;"",1,0))))+IF(H6=1,30,IF(H6=2,20,IF(H6=3,10,IF(H6&lt;&gt;"",1,0))))))</f>
        <v/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143">
      <c r="A7" s="1" t="n"/>
      <c r="B7" s="37">
        <f>'👥 Участники'!B7</f>
        <v/>
      </c>
      <c r="C7" s="38">
        <f>'👥 Участники'!C7</f>
        <v/>
      </c>
      <c r="D7" s="39">
        <f>'👥 Участники'!D7</f>
        <v/>
      </c>
      <c r="E7" s="40" t="n"/>
      <c r="F7" s="40" t="n"/>
      <c r="G7" s="40" t="n"/>
      <c r="H7" s="40" t="n"/>
      <c r="I7" s="36">
        <f>IF(AND(C7="",OR(E7="",E7=0)),"",(IF(E7=1,30,IF(E7=2,20,IF(E7=3,10,IF(E7&lt;&gt;"",1,0))))+IF(F7=1,30,IF(F7=2,20,IF(F7=3,10,IF(F7&lt;&gt;"",1,0))))+IF(G7=1,30,IF(G7=2,20,IF(G7=3,10,IF(G7&lt;&gt;"",1,0))))+IF(H7=1,30,IF(H7=2,20,IF(H7=3,10,IF(H7&lt;&gt;"",1,0))))))</f>
        <v/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143">
      <c r="A8" s="1" t="n"/>
      <c r="B8" s="32">
        <f>'👥 Участники'!B8</f>
        <v/>
      </c>
      <c r="C8" s="33">
        <f>'👥 Участники'!C8</f>
        <v/>
      </c>
      <c r="D8" s="34">
        <f>'👥 Участники'!D8</f>
        <v/>
      </c>
      <c r="E8" s="40" t="n"/>
      <c r="F8" s="40" t="n"/>
      <c r="G8" s="40" t="n"/>
      <c r="H8" s="40" t="n"/>
      <c r="I8" s="36">
        <f>IF(AND(C8="",OR(E8="",E8=0)),"",(IF(E8=1,30,IF(E8=2,20,IF(E8=3,10,IF(E8&lt;&gt;"",1,0))))+IF(F8=1,30,IF(F8=2,20,IF(F8=3,10,IF(F8&lt;&gt;"",1,0))))+IF(G8=1,30,IF(G8=2,20,IF(G8=3,10,IF(G8&lt;&gt;"",1,0))))+IF(H8=1,30,IF(H8=2,20,IF(H8=3,10,IF(H8&lt;&gt;"",1,0))))))</f>
        <v/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143">
      <c r="A9" s="1" t="n"/>
      <c r="B9" s="37">
        <f>'👥 Участники'!B9</f>
        <v/>
      </c>
      <c r="C9" s="38">
        <f>'👥 Участники'!C9</f>
        <v/>
      </c>
      <c r="D9" s="39">
        <f>'👥 Участники'!D9</f>
        <v/>
      </c>
      <c r="E9" s="40" t="n"/>
      <c r="F9" s="40" t="n"/>
      <c r="G9" s="40" t="n"/>
      <c r="H9" s="40" t="n"/>
      <c r="I9" s="36">
        <f>IF(AND(C9="",OR(E9="",E9=0)),"",(IF(E9=1,30,IF(E9=2,20,IF(E9=3,10,IF(E9&lt;&gt;"",1,0))))+IF(F9=1,30,IF(F9=2,20,IF(F9=3,10,IF(F9&lt;&gt;"",1,0))))+IF(G9=1,30,IF(G9=2,20,IF(G9=3,10,IF(G9&lt;&gt;"",1,0))))+IF(H9=1,30,IF(H9=2,20,IF(H9=3,10,IF(H9&lt;&gt;"",1,0))))))</f>
        <v/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143">
      <c r="A10" s="1" t="n"/>
      <c r="B10" s="32">
        <f>'👥 Участники'!B10</f>
        <v/>
      </c>
      <c r="C10" s="33">
        <f>'👥 Участники'!C10</f>
        <v/>
      </c>
      <c r="D10" s="34">
        <f>'👥 Участники'!D10</f>
        <v/>
      </c>
      <c r="E10" s="40" t="n"/>
      <c r="F10" s="40" t="n"/>
      <c r="G10" s="40" t="n"/>
      <c r="H10" s="40" t="n"/>
      <c r="I10" s="36">
        <f>IF(AND(C10="",OR(E10="",E10=0)),"",(IF(E10=1,30,IF(E10=2,20,IF(E10=3,10,IF(E10&lt;&gt;"",1,0))))+IF(F10=1,30,IF(F10=2,20,IF(F10=3,10,IF(F10&lt;&gt;"",1,0))))+IF(G10=1,30,IF(G10=2,20,IF(G10=3,10,IF(G10&lt;&gt;"",1,0))))+IF(H10=1,30,IF(H10=2,20,IF(H10=3,10,IF(H10&lt;&gt;"",1,0))))))</f>
        <v/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143">
      <c r="A11" s="1" t="n"/>
      <c r="B11" s="37">
        <f>'👥 Участники'!B11</f>
        <v/>
      </c>
      <c r="C11" s="38">
        <f>'👥 Участники'!C11</f>
        <v/>
      </c>
      <c r="D11" s="39">
        <f>'👥 Участники'!D11</f>
        <v/>
      </c>
      <c r="E11" s="40" t="n"/>
      <c r="F11" s="40" t="n"/>
      <c r="G11" s="40" t="n"/>
      <c r="H11" s="40" t="n"/>
      <c r="I11" s="36">
        <f>IF(AND(C11="",OR(E11="",E11=0)),"",(IF(E11=1,30,IF(E11=2,20,IF(E11=3,10,IF(E11&lt;&gt;"",1,0))))+IF(F11=1,30,IF(F11=2,20,IF(F11=3,10,IF(F11&lt;&gt;"",1,0))))+IF(G11=1,30,IF(G11=2,20,IF(G11=3,10,IF(G11&lt;&gt;"",1,0))))+IF(H11=1,30,IF(H11=2,20,IF(H11=3,10,IF(H11&lt;&gt;"",1,0))))))</f>
        <v/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9.5" customHeight="1" s="143">
      <c r="A12" s="1" t="n"/>
      <c r="B12" s="32">
        <f>'👥 Участники'!B12</f>
        <v/>
      </c>
      <c r="C12" s="33">
        <f>'👥 Участники'!C12</f>
        <v/>
      </c>
      <c r="D12" s="34">
        <f>'👥 Участники'!D12</f>
        <v/>
      </c>
      <c r="E12" s="40" t="n"/>
      <c r="F12" s="40" t="n"/>
      <c r="G12" s="40" t="n"/>
      <c r="H12" s="40" t="n"/>
      <c r="I12" s="36">
        <f>IF(AND(C12="",OR(E12="",E12=0)),"",(IF(E12=1,30,IF(E12=2,20,IF(E12=3,10,IF(E12&lt;&gt;"",1,0))))+IF(F12=1,30,IF(F12=2,20,IF(F12=3,10,IF(F12&lt;&gt;"",1,0))))+IF(G12=1,30,IF(G12=2,20,IF(G12=3,10,IF(G12&lt;&gt;"",1,0))))+IF(H12=1,30,IF(H12=2,20,IF(H12=3,10,IF(H12&lt;&gt;"",1,0))))))</f>
        <v/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9.5" customHeight="1" s="143">
      <c r="A13" s="1" t="n"/>
      <c r="B13" s="37">
        <f>'👥 Участники'!B13</f>
        <v/>
      </c>
      <c r="C13" s="38">
        <f>'👥 Участники'!C13</f>
        <v/>
      </c>
      <c r="D13" s="39">
        <f>'👥 Участники'!D13</f>
        <v/>
      </c>
      <c r="E13" s="40" t="n"/>
      <c r="F13" s="40" t="n"/>
      <c r="G13" s="40" t="n"/>
      <c r="H13" s="40" t="n"/>
      <c r="I13" s="36">
        <f>IF(AND(C13="",OR(E13="",E13=0)),"",(IF(E13=1,30,IF(E13=2,20,IF(E13=3,10,IF(E13&lt;&gt;"",1,0))))+IF(F13=1,30,IF(F13=2,20,IF(F13=3,10,IF(F13&lt;&gt;"",1,0))))+IF(G13=1,30,IF(G13=2,20,IF(G13=3,10,IF(G13&lt;&gt;"",1,0))))+IF(H13=1,30,IF(H13=2,20,IF(H13=3,10,IF(H13&lt;&gt;"",1,0))))))</f>
        <v/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9.5" customHeight="1" s="143">
      <c r="A14" s="1" t="n"/>
      <c r="B14" s="32">
        <f>'👥 Участники'!B14</f>
        <v/>
      </c>
      <c r="C14" s="33">
        <f>'👥 Участники'!C14</f>
        <v/>
      </c>
      <c r="D14" s="34">
        <f>'👥 Участники'!D14</f>
        <v/>
      </c>
      <c r="E14" s="40" t="n"/>
      <c r="F14" s="40" t="n"/>
      <c r="G14" s="40" t="n"/>
      <c r="H14" s="40" t="n"/>
      <c r="I14" s="36">
        <f>IF(AND(C14="",OR(E14="",E14=0)),"",(IF(E14=1,30,IF(E14=2,20,IF(E14=3,10,IF(E14&lt;&gt;"",1,0))))+IF(F14=1,30,IF(F14=2,20,IF(F14=3,10,IF(F14&lt;&gt;"",1,0))))+IF(G14=1,30,IF(G14=2,20,IF(G14=3,10,IF(G14&lt;&gt;"",1,0))))+IF(H14=1,30,IF(H14=2,20,IF(H14=3,10,IF(H14&lt;&gt;"",1,0))))))</f>
        <v/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9.5" customHeight="1" s="143">
      <c r="A15" s="1" t="n"/>
      <c r="B15" s="37">
        <f>'👥 Участники'!B15</f>
        <v/>
      </c>
      <c r="C15" s="38">
        <f>'👥 Участники'!C15</f>
        <v/>
      </c>
      <c r="D15" s="39">
        <f>'👥 Участники'!D15</f>
        <v/>
      </c>
      <c r="E15" s="40" t="n"/>
      <c r="F15" s="40" t="n"/>
      <c r="G15" s="40" t="n"/>
      <c r="H15" s="40" t="n"/>
      <c r="I15" s="36">
        <f>IF(AND(C15="",OR(E15="",E15=0)),"",(IF(E15=1,30,IF(E15=2,20,IF(E15=3,10,IF(E15&lt;&gt;"",1,0))))+IF(F15=1,30,IF(F15=2,20,IF(F15=3,10,IF(F15&lt;&gt;"",1,0))))+IF(G15=1,30,IF(G15=2,20,IF(G15=3,10,IF(G15&lt;&gt;"",1,0))))+IF(H15=1,30,IF(H15=2,20,IF(H15=3,10,IF(H15&lt;&gt;"",1,0))))))</f>
        <v/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9.5" customHeight="1" s="143">
      <c r="A16" s="1" t="n"/>
      <c r="B16" s="32">
        <f>'👥 Участники'!B16</f>
        <v/>
      </c>
      <c r="C16" s="33">
        <f>'👥 Участники'!C16</f>
        <v/>
      </c>
      <c r="D16" s="34">
        <f>'👥 Участники'!D16</f>
        <v/>
      </c>
      <c r="E16" s="40" t="n"/>
      <c r="F16" s="40" t="n"/>
      <c r="G16" s="40" t="n"/>
      <c r="H16" s="40" t="n"/>
      <c r="I16" s="36">
        <f>IF(AND(C16="",OR(E16="",E16=0)),"",(IF(E16=1,30,IF(E16=2,20,IF(E16=3,10,IF(E16&lt;&gt;"",1,0))))+IF(F16=1,30,IF(F16=2,20,IF(F16=3,10,IF(F16&lt;&gt;"",1,0))))+IF(G16=1,30,IF(G16=2,20,IF(G16=3,10,IF(G16&lt;&gt;"",1,0))))+IF(H16=1,30,IF(H16=2,20,IF(H16=3,10,IF(H16&lt;&gt;"",1,0))))))</f>
        <v/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9.5" customHeight="1" s="143">
      <c r="A17" s="1" t="n"/>
      <c r="B17" s="37">
        <f>'👥 Участники'!B17</f>
        <v/>
      </c>
      <c r="C17" s="38">
        <f>'👥 Участники'!C17</f>
        <v/>
      </c>
      <c r="D17" s="39">
        <f>'👥 Участники'!D17</f>
        <v/>
      </c>
      <c r="E17" s="40" t="n"/>
      <c r="F17" s="40" t="n"/>
      <c r="G17" s="40" t="n"/>
      <c r="H17" s="40" t="n"/>
      <c r="I17" s="36">
        <f>IF(AND(C17="",OR(E17="",E17=0)),"",(IF(E17=1,30,IF(E17=2,20,IF(E17=3,10,IF(E17&lt;&gt;"",1,0))))+IF(F17=1,30,IF(F17=2,20,IF(F17=3,10,IF(F17&lt;&gt;"",1,0))))+IF(G17=1,30,IF(G17=2,20,IF(G17=3,10,IF(G17&lt;&gt;"",1,0))))+IF(H17=1,30,IF(H17=2,20,IF(H17=3,10,IF(H17&lt;&gt;"",1,0))))))</f>
        <v/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9.5" customHeight="1" s="143">
      <c r="A18" s="1" t="n"/>
      <c r="B18" s="32">
        <f>'👥 Участники'!B18</f>
        <v/>
      </c>
      <c r="C18" s="33">
        <f>'👥 Участники'!C18</f>
        <v/>
      </c>
      <c r="D18" s="34">
        <f>'👥 Участники'!D18</f>
        <v/>
      </c>
      <c r="E18" s="40" t="n"/>
      <c r="F18" s="40" t="n"/>
      <c r="G18" s="40" t="n"/>
      <c r="H18" s="40" t="n"/>
      <c r="I18" s="36">
        <f>IF(AND(C18="",OR(E18="",E18=0)),"",(IF(E18=1,30,IF(E18=2,20,IF(E18=3,10,IF(E18&lt;&gt;"",1,0))))+IF(F18=1,30,IF(F18=2,20,IF(F18=3,10,IF(F18&lt;&gt;"",1,0))))+IF(G18=1,30,IF(G18=2,20,IF(G18=3,10,IF(G18&lt;&gt;"",1,0))))+IF(H18=1,30,IF(H18=2,20,IF(H18=3,10,IF(H18&lt;&gt;"",1,0))))))</f>
        <v/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9.5" customHeight="1" s="143">
      <c r="A19" s="1" t="n"/>
      <c r="B19" s="37">
        <f>'👥 Участники'!B19</f>
        <v/>
      </c>
      <c r="C19" s="38">
        <f>'👥 Участники'!C19</f>
        <v/>
      </c>
      <c r="D19" s="39">
        <f>'👥 Участники'!D19</f>
        <v/>
      </c>
      <c r="E19" s="40" t="n"/>
      <c r="F19" s="40" t="n"/>
      <c r="G19" s="40" t="n"/>
      <c r="H19" s="40" t="n"/>
      <c r="I19" s="36">
        <f>IF(AND(C19="",OR(E19="",E19=0)),"",(IF(E19=1,30,IF(E19=2,20,IF(E19=3,10,IF(E19&lt;&gt;"",1,0))))+IF(F19=1,30,IF(F19=2,20,IF(F19=3,10,IF(F19&lt;&gt;"",1,0))))+IF(G19=1,30,IF(G19=2,20,IF(G19=3,10,IF(G19&lt;&gt;"",1,0))))+IF(H19=1,30,IF(H19=2,20,IF(H19=3,10,IF(H19&lt;&gt;"",1,0))))))</f>
        <v/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9.5" customHeight="1" s="143">
      <c r="A20" s="1" t="n"/>
      <c r="B20" s="32">
        <f>'👥 Участники'!B20</f>
        <v/>
      </c>
      <c r="C20" s="33">
        <f>'👥 Участники'!C20</f>
        <v/>
      </c>
      <c r="D20" s="34">
        <f>'👥 Участники'!D20</f>
        <v/>
      </c>
      <c r="E20" s="40" t="n"/>
      <c r="F20" s="40" t="n"/>
      <c r="G20" s="40" t="n"/>
      <c r="H20" s="40" t="n"/>
      <c r="I20" s="36">
        <f>IF(AND(C20="",OR(E20="",E20=0)),"",(IF(E20=1,30,IF(E20=2,20,IF(E20=3,10,IF(E20&lt;&gt;"",1,0))))+IF(F20=1,30,IF(F20=2,20,IF(F20=3,10,IF(F20&lt;&gt;"",1,0))))+IF(G20=1,30,IF(G20=2,20,IF(G20=3,10,IF(G20&lt;&gt;"",1,0))))+IF(H20=1,30,IF(H20=2,20,IF(H20=3,10,IF(H20&lt;&gt;"",1,0))))))</f>
        <v/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9.5" customHeight="1" s="143">
      <c r="A21" s="1" t="n"/>
      <c r="B21" s="37">
        <f>'👥 Участники'!B21</f>
        <v/>
      </c>
      <c r="C21" s="38">
        <f>'👥 Участники'!C21</f>
        <v/>
      </c>
      <c r="D21" s="39">
        <f>'👥 Участники'!D21</f>
        <v/>
      </c>
      <c r="E21" s="40" t="n"/>
      <c r="F21" s="40" t="n"/>
      <c r="G21" s="40" t="n"/>
      <c r="H21" s="40" t="n"/>
      <c r="I21" s="36">
        <f>IF(AND(C21="",OR(E21="",E21=0)),"",(IF(E21=1,30,IF(E21=2,20,IF(E21=3,10,IF(E21&lt;&gt;"",1,0))))+IF(F21=1,30,IF(F21=2,20,IF(F21=3,10,IF(F21&lt;&gt;"",1,0))))+IF(G21=1,30,IF(G21=2,20,IF(G21=3,10,IF(G21&lt;&gt;"",1,0))))+IF(H21=1,30,IF(H21=2,20,IF(H21=3,10,IF(H21&lt;&gt;"",1,0))))))</f>
        <v/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9.5" customHeight="1" s="143">
      <c r="A22" s="1" t="n"/>
      <c r="B22" s="32">
        <f>'👥 Участники'!B22</f>
        <v/>
      </c>
      <c r="C22" s="33">
        <f>'👥 Участники'!C22</f>
        <v/>
      </c>
      <c r="D22" s="34">
        <f>'👥 Участники'!D22</f>
        <v/>
      </c>
      <c r="E22" s="40" t="n"/>
      <c r="F22" s="40" t="n"/>
      <c r="G22" s="40" t="n"/>
      <c r="H22" s="40" t="n"/>
      <c r="I22" s="36">
        <f>IF(AND(C22="",OR(E22="",E22=0)),"",(IF(E22=1,30,IF(E22=2,20,IF(E22=3,10,IF(E22&lt;&gt;"",1,0))))+IF(F22=1,30,IF(F22=2,20,IF(F22=3,10,IF(F22&lt;&gt;"",1,0))))+IF(G22=1,30,IF(G22=2,20,IF(G22=3,10,IF(G22&lt;&gt;"",1,0))))+IF(H22=1,30,IF(H22=2,20,IF(H22=3,10,IF(H22&lt;&gt;"",1,0))))))</f>
        <v/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9.5" customHeight="1" s="143">
      <c r="A23" s="1" t="n"/>
      <c r="B23" s="37">
        <f>'👥 Участники'!B23</f>
        <v/>
      </c>
      <c r="C23" s="38">
        <f>'👥 Участники'!C23</f>
        <v/>
      </c>
      <c r="D23" s="39">
        <f>'👥 Участники'!D23</f>
        <v/>
      </c>
      <c r="E23" s="40" t="n"/>
      <c r="F23" s="40" t="n"/>
      <c r="G23" s="40" t="n"/>
      <c r="H23" s="40" t="n"/>
      <c r="I23" s="36">
        <f>IF(AND(C23="",OR(E23="",E23=0)),"",(IF(E23=1,30,IF(E23=2,20,IF(E23=3,10,IF(E23&lt;&gt;"",1,0))))+IF(F23=1,30,IF(F23=2,20,IF(F23=3,10,IF(F23&lt;&gt;"",1,0))))+IF(G23=1,30,IF(G23=2,20,IF(G23=3,10,IF(G23&lt;&gt;"",1,0))))+IF(H23=1,30,IF(H23=2,20,IF(H23=3,10,IF(H23&lt;&gt;"",1,0))))))</f>
        <v/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9.5" customHeight="1" s="143">
      <c r="A24" s="1" t="n"/>
      <c r="B24" s="32">
        <f>'👥 Участники'!B24</f>
        <v/>
      </c>
      <c r="C24" s="33">
        <f>'👥 Участники'!C24</f>
        <v/>
      </c>
      <c r="D24" s="34">
        <f>'👥 Участники'!D24</f>
        <v/>
      </c>
      <c r="E24" s="40" t="n"/>
      <c r="F24" s="40" t="n"/>
      <c r="G24" s="40" t="n"/>
      <c r="H24" s="40" t="n"/>
      <c r="I24" s="36">
        <f>IF(AND(C24="",OR(E24="",E24=0)),"",(IF(E24=1,30,IF(E24=2,20,IF(E24=3,10,IF(E24&lt;&gt;"",1,0))))+IF(F24=1,30,IF(F24=2,20,IF(F24=3,10,IF(F24&lt;&gt;"",1,0))))+IF(G24=1,30,IF(G24=2,20,IF(G24=3,10,IF(G24&lt;&gt;"",1,0))))+IF(H24=1,30,IF(H24=2,20,IF(H24=3,10,IF(H24&lt;&gt;"",1,0))))))</f>
        <v/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9.5" customHeight="1" s="143">
      <c r="A25" s="1" t="n"/>
      <c r="B25" s="37">
        <f>'👥 Участники'!B25</f>
        <v/>
      </c>
      <c r="C25" s="38">
        <f>'👥 Участники'!C25</f>
        <v/>
      </c>
      <c r="D25" s="39">
        <f>'👥 Участники'!D25</f>
        <v/>
      </c>
      <c r="E25" s="40" t="n"/>
      <c r="F25" s="40" t="n"/>
      <c r="G25" s="40" t="n"/>
      <c r="H25" s="40" t="n"/>
      <c r="I25" s="36">
        <f>IF(AND(C25="",OR(E25="",E25=0)),"",(IF(E25=1,30,IF(E25=2,20,IF(E25=3,10,IF(E25&lt;&gt;"",1,0))))+IF(F25=1,30,IF(F25=2,20,IF(F25=3,10,IF(F25&lt;&gt;"",1,0))))+IF(G25=1,30,IF(G25=2,20,IF(G25=3,10,IF(G25&lt;&gt;"",1,0))))+IF(H25=1,30,IF(H25=2,20,IF(H25=3,10,IF(H25&lt;&gt;"",1,0))))))</f>
        <v/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9.5" customHeight="1" s="143">
      <c r="A26" s="1" t="n"/>
      <c r="B26" s="32">
        <f>'👥 Участники'!B26</f>
        <v/>
      </c>
      <c r="C26" s="33">
        <f>'👥 Участники'!C26</f>
        <v/>
      </c>
      <c r="D26" s="34">
        <f>'👥 Участники'!D26</f>
        <v/>
      </c>
      <c r="E26" s="40" t="n"/>
      <c r="F26" s="40" t="n"/>
      <c r="G26" s="40" t="n"/>
      <c r="H26" s="40" t="n"/>
      <c r="I26" s="36">
        <f>IF(AND(C26="",OR(E26="",E26=0)),"",(IF(E26=1,30,IF(E26=2,20,IF(E26=3,10,IF(E26&lt;&gt;"",1,0))))+IF(F26=1,30,IF(F26=2,20,IF(F26=3,10,IF(F26&lt;&gt;"",1,0))))+IF(G26=1,30,IF(G26=2,20,IF(G26=3,10,IF(G26&lt;&gt;"",1,0))))+IF(H26=1,30,IF(H26=2,20,IF(H26=3,10,IF(H26&lt;&gt;"",1,0)))))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9.5" customHeight="1" s="143">
      <c r="A27" s="1" t="n"/>
      <c r="B27" s="37">
        <f>'👥 Участники'!B27</f>
        <v/>
      </c>
      <c r="C27" s="38">
        <f>'👥 Участники'!C27</f>
        <v/>
      </c>
      <c r="D27" s="39">
        <f>'👥 Участники'!D27</f>
        <v/>
      </c>
      <c r="E27" s="40" t="n"/>
      <c r="F27" s="40" t="n"/>
      <c r="G27" s="40" t="n"/>
      <c r="H27" s="40" t="n"/>
      <c r="I27" s="36">
        <f>IF(AND(C27="",OR(E27="",E27=0)),"",(IF(E27=1,30,IF(E27=2,20,IF(E27=3,10,IF(E27&lt;&gt;"",1,0))))+IF(F27=1,30,IF(F27=2,20,IF(F27=3,10,IF(F27&lt;&gt;"",1,0))))+IF(G27=1,30,IF(G27=2,20,IF(G27=3,10,IF(G27&lt;&gt;"",1,0))))+IF(H27=1,30,IF(H27=2,20,IF(H27=3,10,IF(H27&lt;&gt;"",1,0))))))</f>
        <v/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9.5" customHeight="1" s="143">
      <c r="A28" s="1" t="n"/>
      <c r="B28" s="32">
        <f>'👥 Участники'!B28</f>
        <v/>
      </c>
      <c r="C28" s="33">
        <f>'👥 Участники'!C28</f>
        <v/>
      </c>
      <c r="D28" s="34">
        <f>'👥 Участники'!D28</f>
        <v/>
      </c>
      <c r="E28" s="40" t="n"/>
      <c r="F28" s="40" t="n"/>
      <c r="G28" s="40" t="n"/>
      <c r="H28" s="40" t="n"/>
      <c r="I28" s="36">
        <f>IF(AND(C28="",OR(E28="",E28=0)),"",(IF(E28=1,30,IF(E28=2,20,IF(E28=3,10,IF(E28&lt;&gt;"",1,0))))+IF(F28=1,30,IF(F28=2,20,IF(F28=3,10,IF(F28&lt;&gt;"",1,0))))+IF(G28=1,30,IF(G28=2,20,IF(G28=3,10,IF(G28&lt;&gt;"",1,0))))+IF(H28=1,30,IF(H28=2,20,IF(H28=3,10,IF(H28&lt;&gt;"",1,0))))))</f>
        <v/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9.5" customHeight="1" s="143">
      <c r="A29" s="1" t="n"/>
      <c r="B29" s="37">
        <f>'👥 Участники'!B29</f>
        <v/>
      </c>
      <c r="C29" s="38">
        <f>'👥 Участники'!C29</f>
        <v/>
      </c>
      <c r="D29" s="39">
        <f>'👥 Участники'!D29</f>
        <v/>
      </c>
      <c r="E29" s="40" t="n"/>
      <c r="F29" s="40" t="n"/>
      <c r="G29" s="40" t="n"/>
      <c r="H29" s="40" t="n"/>
      <c r="I29" s="36">
        <f>IF(AND(C29="",OR(E29="",E29=0)),"",(IF(E29=1,30,IF(E29=2,20,IF(E29=3,10,IF(E29&lt;&gt;"",1,0))))+IF(F29=1,30,IF(F29=2,20,IF(F29=3,10,IF(F29&lt;&gt;"",1,0))))+IF(G29=1,30,IF(G29=2,20,IF(G29=3,10,IF(G29&lt;&gt;"",1,0))))+IF(H29=1,30,IF(H29=2,20,IF(H29=3,10,IF(H29&lt;&gt;"",1,0))))))</f>
        <v/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9.5" customHeight="1" s="143">
      <c r="A30" s="1" t="n"/>
      <c r="B30" s="32">
        <f>'👥 Участники'!B30</f>
        <v/>
      </c>
      <c r="C30" s="33">
        <f>'👥 Участники'!C30</f>
        <v/>
      </c>
      <c r="D30" s="34">
        <f>'👥 Участники'!D30</f>
        <v/>
      </c>
      <c r="E30" s="40" t="n"/>
      <c r="F30" s="40" t="n"/>
      <c r="G30" s="40" t="n"/>
      <c r="H30" s="40" t="n"/>
      <c r="I30" s="36">
        <f>IF(AND(C30="",OR(E30="",E30=0)),"",(IF(E30=1,30,IF(E30=2,20,IF(E30=3,10,IF(E30&lt;&gt;"",1,0))))+IF(F30=1,30,IF(F30=2,20,IF(F30=3,10,IF(F30&lt;&gt;"",1,0))))+IF(G30=1,30,IF(G30=2,20,IF(G30=3,10,IF(G30&lt;&gt;"",1,0))))+IF(H30=1,30,IF(H30=2,20,IF(H30=3,10,IF(H30&lt;&gt;"",1,0))))))</f>
        <v/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9.5" customHeight="1" s="143">
      <c r="A31" s="1" t="n"/>
      <c r="B31" s="37">
        <f>'👥 Участники'!B31</f>
        <v/>
      </c>
      <c r="C31" s="38">
        <f>'👥 Участники'!C31</f>
        <v/>
      </c>
      <c r="D31" s="39">
        <f>'👥 Участники'!D31</f>
        <v/>
      </c>
      <c r="E31" s="40" t="n"/>
      <c r="F31" s="40" t="n"/>
      <c r="G31" s="40" t="n"/>
      <c r="H31" s="40" t="n"/>
      <c r="I31" s="36">
        <f>IF(AND(C31="",OR(E31="",E31=0)),"",(IF(E31=1,30,IF(E31=2,20,IF(E31=3,10,IF(E31&lt;&gt;"",1,0))))+IF(F31=1,30,IF(F31=2,20,IF(F31=3,10,IF(F31&lt;&gt;"",1,0))))+IF(G31=1,30,IF(G31=2,20,IF(G31=3,10,IF(G31&lt;&gt;"",1,0))))+IF(H31=1,30,IF(H31=2,20,IF(H31=3,10,IF(H31&lt;&gt;"",1,0))))))</f>
        <v/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9.5" customHeight="1" s="143">
      <c r="A32" s="1" t="n"/>
      <c r="B32" s="32">
        <f>'👥 Участники'!B32</f>
        <v/>
      </c>
      <c r="C32" s="33">
        <f>'👥 Участники'!C32</f>
        <v/>
      </c>
      <c r="D32" s="34">
        <f>'👥 Участники'!D32</f>
        <v/>
      </c>
      <c r="E32" s="40" t="n"/>
      <c r="F32" s="40" t="n"/>
      <c r="G32" s="40" t="n"/>
      <c r="H32" s="40" t="n"/>
      <c r="I32" s="36">
        <f>IF(AND(C32="",OR(E32="",E32=0)),"",(IF(E32=1,30,IF(E32=2,20,IF(E32=3,10,IF(E32&lt;&gt;"",1,0))))+IF(F32=1,30,IF(F32=2,20,IF(F32=3,10,IF(F32&lt;&gt;"",1,0))))+IF(G32=1,30,IF(G32=2,20,IF(G32=3,10,IF(G32&lt;&gt;"",1,0))))+IF(H32=1,30,IF(H32=2,20,IF(H32=3,10,IF(H32&lt;&gt;"",1,0))))))</f>
        <v/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9.5" customHeight="1" s="143">
      <c r="A33" s="1" t="n"/>
      <c r="B33" s="37">
        <f>'👥 Участники'!B33</f>
        <v/>
      </c>
      <c r="C33" s="38">
        <f>'👥 Участники'!C33</f>
        <v/>
      </c>
      <c r="D33" s="39">
        <f>'👥 Участники'!D33</f>
        <v/>
      </c>
      <c r="E33" s="40" t="n"/>
      <c r="F33" s="40" t="n"/>
      <c r="G33" s="40" t="n"/>
      <c r="H33" s="40" t="n"/>
      <c r="I33" s="36">
        <f>IF(AND(C33="",OR(E33="",E33=0)),"",(IF(E33=1,30,IF(E33=2,20,IF(E33=3,10,IF(E33&lt;&gt;"",1,0))))+IF(F33=1,30,IF(F33=2,20,IF(F33=3,10,IF(F33&lt;&gt;"",1,0))))+IF(G33=1,30,IF(G33=2,20,IF(G33=3,10,IF(G33&lt;&gt;"",1,0))))+IF(H33=1,30,IF(H33=2,20,IF(H33=3,10,IF(H33&lt;&gt;"",1,0))))))</f>
        <v/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9.5" customHeight="1" s="143">
      <c r="A34" s="1" t="n"/>
      <c r="B34" s="32">
        <f>'👥 Участники'!B34</f>
        <v/>
      </c>
      <c r="C34" s="33">
        <f>'👥 Участники'!C34</f>
        <v/>
      </c>
      <c r="D34" s="34">
        <f>'👥 Участники'!D34</f>
        <v/>
      </c>
      <c r="E34" s="40" t="n"/>
      <c r="F34" s="40" t="n"/>
      <c r="G34" s="40" t="n"/>
      <c r="H34" s="40" t="n"/>
      <c r="I34" s="36">
        <f>IF(AND(C34="",OR(E34="",E34=0)),"",(IF(E34=1,30,IF(E34=2,20,IF(E34=3,10,IF(E34&lt;&gt;"",1,0))))+IF(F34=1,30,IF(F34=2,20,IF(F34=3,10,IF(F34&lt;&gt;"",1,0))))+IF(G34=1,30,IF(G34=2,20,IF(G34=3,10,IF(G34&lt;&gt;"",1,0))))+IF(H34=1,30,IF(H34=2,20,IF(H34=3,10,IF(H34&lt;&gt;"",1,0))))))</f>
        <v/>
      </c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9.5" customHeight="1" s="143">
      <c r="A35" s="1" t="n"/>
      <c r="B35" s="37">
        <f>'👥 Участники'!B35</f>
        <v/>
      </c>
      <c r="C35" s="38">
        <f>'👥 Участники'!C35</f>
        <v/>
      </c>
      <c r="D35" s="39">
        <f>'👥 Участники'!D35</f>
        <v/>
      </c>
      <c r="E35" s="40" t="n"/>
      <c r="F35" s="40" t="n"/>
      <c r="G35" s="40" t="n"/>
      <c r="H35" s="40" t="n"/>
      <c r="I35" s="36">
        <f>IF(AND(C35="",OR(E35="",E35=0)),"",(IF(E35=1,30,IF(E35=2,20,IF(E35=3,10,IF(E35&lt;&gt;"",1,0))))+IF(F35=1,30,IF(F35=2,20,IF(F35=3,10,IF(F35&lt;&gt;"",1,0))))+IF(G35=1,30,IF(G35=2,20,IF(G35=3,10,IF(G35&lt;&gt;"",1,0))))+IF(H35=1,30,IF(H35=2,20,IF(H35=3,10,IF(H35&lt;&gt;"",1,0)))))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9.5" customHeight="1" s="143">
      <c r="A36" s="1" t="n"/>
      <c r="B36" s="32">
        <f>'👥 Участники'!B36</f>
        <v/>
      </c>
      <c r="C36" s="33">
        <f>'👥 Участники'!C36</f>
        <v/>
      </c>
      <c r="D36" s="34">
        <f>'👥 Участники'!D36</f>
        <v/>
      </c>
      <c r="E36" s="40" t="n"/>
      <c r="F36" s="40" t="n"/>
      <c r="G36" s="40" t="n"/>
      <c r="H36" s="40" t="n"/>
      <c r="I36" s="36">
        <f>IF(AND(C36="",OR(E36="",E36=0)),"",(IF(E36=1,30,IF(E36=2,20,IF(E36=3,10,IF(E36&lt;&gt;"",1,0))))+IF(F36=1,30,IF(F36=2,20,IF(F36=3,10,IF(F36&lt;&gt;"",1,0))))+IF(G36=1,30,IF(G36=2,20,IF(G36=3,10,IF(G36&lt;&gt;"",1,0))))+IF(H36=1,30,IF(H36=2,20,IF(H36=3,10,IF(H36&lt;&gt;"",1,0))))))</f>
        <v/>
      </c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9.5" customHeight="1" s="143">
      <c r="A37" s="1" t="n"/>
      <c r="B37" s="37">
        <f>'👥 Участники'!B37</f>
        <v/>
      </c>
      <c r="C37" s="38">
        <f>'👥 Участники'!C37</f>
        <v/>
      </c>
      <c r="D37" s="39">
        <f>'👥 Участники'!D37</f>
        <v/>
      </c>
      <c r="E37" s="40" t="n"/>
      <c r="F37" s="40" t="n"/>
      <c r="G37" s="40" t="n"/>
      <c r="H37" s="40" t="n"/>
      <c r="I37" s="36">
        <f>IF(AND(C37="",OR(E37="",E37=0)),"",(IF(E37=1,30,IF(E37=2,20,IF(E37=3,10,IF(E37&lt;&gt;"",1,0))))+IF(F37=1,30,IF(F37=2,20,IF(F37=3,10,IF(F37&lt;&gt;"",1,0))))+IF(G37=1,30,IF(G37=2,20,IF(G37=3,10,IF(G37&lt;&gt;"",1,0))))+IF(H37=1,30,IF(H37=2,20,IF(H37=3,10,IF(H37&lt;&gt;"",1,0))))))</f>
        <v/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9.5" customHeight="1" s="143">
      <c r="A38" s="1" t="n"/>
      <c r="B38" s="32">
        <f>'👥 Участники'!B38</f>
        <v/>
      </c>
      <c r="C38" s="33">
        <f>'👥 Участники'!C38</f>
        <v/>
      </c>
      <c r="D38" s="34">
        <f>'👥 Участники'!D38</f>
        <v/>
      </c>
      <c r="E38" s="40" t="n"/>
      <c r="F38" s="40" t="n"/>
      <c r="G38" s="40" t="n"/>
      <c r="H38" s="40" t="n"/>
      <c r="I38" s="36">
        <f>IF(AND(C38="",OR(E38="",E38=0)),"",(IF(E38=1,30,IF(E38=2,20,IF(E38=3,10,IF(E38&lt;&gt;"",1,0))))+IF(F38=1,30,IF(F38=2,20,IF(F38=3,10,IF(F38&lt;&gt;"",1,0))))+IF(G38=1,30,IF(G38=2,20,IF(G38=3,10,IF(G38&lt;&gt;"",1,0))))+IF(H38=1,30,IF(H38=2,20,IF(H38=3,10,IF(H38&lt;&gt;"",1,0))))))</f>
        <v/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9.5" customHeight="1" s="143">
      <c r="A39" s="1" t="n"/>
      <c r="B39" s="37">
        <f>'👥 Участники'!B39</f>
        <v/>
      </c>
      <c r="C39" s="38">
        <f>'👥 Участники'!C39</f>
        <v/>
      </c>
      <c r="D39" s="39">
        <f>'👥 Участники'!D39</f>
        <v/>
      </c>
      <c r="E39" s="40" t="n"/>
      <c r="F39" s="40" t="n"/>
      <c r="G39" s="40" t="n"/>
      <c r="H39" s="40" t="n"/>
      <c r="I39" s="36">
        <f>IF(AND(C39="",OR(E39="",E39=0)),"",(IF(E39=1,30,IF(E39=2,20,IF(E39=3,10,IF(E39&lt;&gt;"",1,0))))+IF(F39=1,30,IF(F39=2,20,IF(F39=3,10,IF(F39&lt;&gt;"",1,0))))+IF(G39=1,30,IF(G39=2,20,IF(G39=3,10,IF(G39&lt;&gt;"",1,0))))+IF(H39=1,30,IF(H39=2,20,IF(H39=3,10,IF(H39&lt;&gt;"",1,0)))))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9.5" customHeight="1" s="143">
      <c r="A40" s="1" t="n"/>
      <c r="B40" s="32">
        <f>'👥 Участники'!B40</f>
        <v/>
      </c>
      <c r="C40" s="33">
        <f>'👥 Участники'!C40</f>
        <v/>
      </c>
      <c r="D40" s="34">
        <f>'👥 Участники'!D40</f>
        <v/>
      </c>
      <c r="E40" s="40" t="n"/>
      <c r="F40" s="40" t="n"/>
      <c r="G40" s="40" t="n"/>
      <c r="H40" s="40" t="n"/>
      <c r="I40" s="36">
        <f>IF(AND(C40="",OR(E40="",E40=0)),"",(IF(E40=1,30,IF(E40=2,20,IF(E40=3,10,IF(E40&lt;&gt;"",1,0))))+IF(F40=1,30,IF(F40=2,20,IF(F40=3,10,IF(F40&lt;&gt;"",1,0))))+IF(G40=1,30,IF(G40=2,20,IF(G40=3,10,IF(G40&lt;&gt;"",1,0))))+IF(H40=1,30,IF(H40=2,20,IF(H40=3,10,IF(H40&lt;&gt;"",1,0)))))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9.5" customHeight="1" s="143">
      <c r="A41" s="1" t="n"/>
      <c r="B41" s="37">
        <f>'👥 Участники'!B41</f>
        <v/>
      </c>
      <c r="C41" s="38">
        <f>'👥 Участники'!C41</f>
        <v/>
      </c>
      <c r="D41" s="39">
        <f>'👥 Участники'!D41</f>
        <v/>
      </c>
      <c r="E41" s="40" t="n"/>
      <c r="F41" s="40" t="n"/>
      <c r="G41" s="40" t="n"/>
      <c r="H41" s="40" t="n"/>
      <c r="I41" s="36">
        <f>IF(AND(C41="",OR(E41="",E41=0)),"",(IF(E41=1,30,IF(E41=2,20,IF(E41=3,10,IF(E41&lt;&gt;"",1,0))))+IF(F41=1,30,IF(F41=2,20,IF(F41=3,10,IF(F41&lt;&gt;"",1,0))))+IF(G41=1,30,IF(G41=2,20,IF(G41=3,10,IF(G41&lt;&gt;"",1,0))))+IF(H41=1,30,IF(H41=2,20,IF(H41=3,10,IF(H41&lt;&gt;"",1,0))))))</f>
        <v/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9.5" customHeight="1" s="143">
      <c r="A42" s="1" t="n"/>
      <c r="B42" s="32">
        <f>'👥 Участники'!B42</f>
        <v/>
      </c>
      <c r="C42" s="33">
        <f>'👥 Участники'!C42</f>
        <v/>
      </c>
      <c r="D42" s="34">
        <f>'👥 Участники'!D42</f>
        <v/>
      </c>
      <c r="E42" s="40" t="n"/>
      <c r="F42" s="40" t="n"/>
      <c r="G42" s="40" t="n"/>
      <c r="H42" s="40" t="n"/>
      <c r="I42" s="36">
        <f>IF(AND(C42="",OR(E42="",E42=0)),"",(IF(E42=1,30,IF(E42=2,20,IF(E42=3,10,IF(E42&lt;&gt;"",1,0))))+IF(F42=1,30,IF(F42=2,20,IF(F42=3,10,IF(F42&lt;&gt;"",1,0))))+IF(G42=1,30,IF(G42=2,20,IF(G42=3,10,IF(G42&lt;&gt;"",1,0))))+IF(H42=1,30,IF(H42=2,20,IF(H42=3,10,IF(H42&lt;&gt;"",1,0))))))</f>
        <v/>
      </c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9.5" customHeight="1" s="143">
      <c r="A43" s="1" t="n"/>
      <c r="B43" s="37">
        <f>'👥 Участники'!B43</f>
        <v/>
      </c>
      <c r="C43" s="38">
        <f>'👥 Участники'!C43</f>
        <v/>
      </c>
      <c r="D43" s="39">
        <f>'👥 Участники'!D43</f>
        <v/>
      </c>
      <c r="E43" s="40" t="n"/>
      <c r="F43" s="40" t="n"/>
      <c r="G43" s="40" t="n"/>
      <c r="H43" s="40" t="n"/>
      <c r="I43" s="36">
        <f>IF(AND(C43="",OR(E43="",E43=0)),"",(IF(E43=1,30,IF(E43=2,20,IF(E43=3,10,IF(E43&lt;&gt;"",1,0))))+IF(F43=1,30,IF(F43=2,20,IF(F43=3,10,IF(F43&lt;&gt;"",1,0))))+IF(G43=1,30,IF(G43=2,20,IF(G43=3,10,IF(G43&lt;&gt;"",1,0))))+IF(H43=1,30,IF(H43=2,20,IF(H43=3,10,IF(H43&lt;&gt;"",1,0))))))</f>
        <v/>
      </c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9.5" customHeight="1" s="143">
      <c r="A44" s="1" t="n"/>
      <c r="B44" s="32">
        <f>'👥 Участники'!B44</f>
        <v/>
      </c>
      <c r="C44" s="33">
        <f>'👥 Участники'!C44</f>
        <v/>
      </c>
      <c r="D44" s="34">
        <f>'👥 Участники'!D44</f>
        <v/>
      </c>
      <c r="E44" s="40" t="n"/>
      <c r="F44" s="40" t="n"/>
      <c r="G44" s="40" t="n"/>
      <c r="H44" s="40" t="n"/>
      <c r="I44" s="36">
        <f>IF(AND(C44="",OR(E44="",E44=0)),"",(IF(E44=1,30,IF(E44=2,20,IF(E44=3,10,IF(E44&lt;&gt;"",1,0))))+IF(F44=1,30,IF(F44=2,20,IF(F44=3,10,IF(F44&lt;&gt;"",1,0))))+IF(G44=1,30,IF(G44=2,20,IF(G44=3,10,IF(G44&lt;&gt;"",1,0))))+IF(H44=1,30,IF(H44=2,20,IF(H44=3,10,IF(H44&lt;&gt;"",1,0)))))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9.5" customHeight="1" s="143">
      <c r="A45" s="1" t="n"/>
      <c r="B45" s="37">
        <f>'👥 Участники'!B45</f>
        <v/>
      </c>
      <c r="C45" s="38">
        <f>'👥 Участники'!C45</f>
        <v/>
      </c>
      <c r="D45" s="39">
        <f>'👥 Участники'!D45</f>
        <v/>
      </c>
      <c r="E45" s="40" t="n"/>
      <c r="F45" s="40" t="n"/>
      <c r="G45" s="40" t="n"/>
      <c r="H45" s="40" t="n"/>
      <c r="I45" s="36">
        <f>IF(AND(C45="",OR(E45="",E45=0)),"",(IF(E45=1,30,IF(E45=2,20,IF(E45=3,10,IF(E45&lt;&gt;"",1,0))))+IF(F45=1,30,IF(F45=2,20,IF(F45=3,10,IF(F45&lt;&gt;"",1,0))))+IF(G45=1,30,IF(G45=2,20,IF(G45=3,10,IF(G45&lt;&gt;"",1,0))))+IF(H45=1,30,IF(H45=2,20,IF(H45=3,10,IF(H45&lt;&gt;"",1,0))))))</f>
        <v/>
      </c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9.5" customHeight="1" s="143">
      <c r="A46" s="1" t="n"/>
      <c r="B46" s="32">
        <f>'👥 Участники'!B46</f>
        <v/>
      </c>
      <c r="C46" s="33">
        <f>'👥 Участники'!C46</f>
        <v/>
      </c>
      <c r="D46" s="34">
        <f>'👥 Участники'!D46</f>
        <v/>
      </c>
      <c r="E46" s="40" t="n"/>
      <c r="F46" s="40" t="n"/>
      <c r="G46" s="40" t="n"/>
      <c r="H46" s="40" t="n"/>
      <c r="I46" s="36">
        <f>IF(AND(C46="",OR(E46="",E46=0)),"",(IF(E46=1,30,IF(E46=2,20,IF(E46=3,10,IF(E46&lt;&gt;"",1,0))))+IF(F46=1,30,IF(F46=2,20,IF(F46=3,10,IF(F46&lt;&gt;"",1,0))))+IF(G46=1,30,IF(G46=2,20,IF(G46=3,10,IF(G46&lt;&gt;"",1,0))))+IF(H46=1,30,IF(H46=2,20,IF(H46=3,10,IF(H46&lt;&gt;"",1,0))))))</f>
        <v/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9.5" customHeight="1" s="143">
      <c r="A47" s="1" t="n"/>
      <c r="B47" s="37">
        <f>'👥 Участники'!B47</f>
        <v/>
      </c>
      <c r="C47" s="38">
        <f>'👥 Участники'!C47</f>
        <v/>
      </c>
      <c r="D47" s="39">
        <f>'👥 Участники'!D47</f>
        <v/>
      </c>
      <c r="E47" s="40" t="n"/>
      <c r="F47" s="40" t="n"/>
      <c r="G47" s="40" t="n"/>
      <c r="H47" s="40" t="n"/>
      <c r="I47" s="36">
        <f>IF(AND(C47="",OR(E47="",E47=0)),"",(IF(E47=1,30,IF(E47=2,20,IF(E47=3,10,IF(E47&lt;&gt;"",1,0))))+IF(F47=1,30,IF(F47=2,20,IF(F47=3,10,IF(F47&lt;&gt;"",1,0))))+IF(G47=1,30,IF(G47=2,20,IF(G47=3,10,IF(G47&lt;&gt;"",1,0))))+IF(H47=1,30,IF(H47=2,20,IF(H47=3,10,IF(H47&lt;&gt;"",1,0))))))</f>
        <v/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9.5" customHeight="1" s="143">
      <c r="A48" s="1" t="n"/>
      <c r="B48" s="32">
        <f>'👥 Участники'!B48</f>
        <v/>
      </c>
      <c r="C48" s="33">
        <f>'👥 Участники'!C48</f>
        <v/>
      </c>
      <c r="D48" s="34">
        <f>'👥 Участники'!D48</f>
        <v/>
      </c>
      <c r="E48" s="40" t="n"/>
      <c r="F48" s="40" t="n"/>
      <c r="G48" s="40" t="n"/>
      <c r="H48" s="40" t="n"/>
      <c r="I48" s="36">
        <f>IF(AND(C48="",OR(E48="",E48=0)),"",(IF(E48=1,30,IF(E48=2,20,IF(E48=3,10,IF(E48&lt;&gt;"",1,0))))+IF(F48=1,30,IF(F48=2,20,IF(F48=3,10,IF(F48&lt;&gt;"",1,0))))+IF(G48=1,30,IF(G48=2,20,IF(G48=3,10,IF(G48&lt;&gt;"",1,0))))+IF(H48=1,30,IF(H48=2,20,IF(H48=3,10,IF(H48&lt;&gt;"",1,0)))))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9.5" customHeight="1" s="143">
      <c r="A49" s="1" t="n"/>
      <c r="B49" s="37">
        <f>'👥 Участники'!B49</f>
        <v/>
      </c>
      <c r="C49" s="38">
        <f>'👥 Участники'!C49</f>
        <v/>
      </c>
      <c r="D49" s="39">
        <f>'👥 Участники'!D49</f>
        <v/>
      </c>
      <c r="E49" s="40" t="n"/>
      <c r="F49" s="40" t="n"/>
      <c r="G49" s="40" t="n"/>
      <c r="H49" s="40" t="n"/>
      <c r="I49" s="36">
        <f>IF(AND(C49="",OR(E49="",E49=0)),"",(IF(E49=1,30,IF(E49=2,20,IF(E49=3,10,IF(E49&lt;&gt;"",1,0))))+IF(F49=1,30,IF(F49=2,20,IF(F49=3,10,IF(F49&lt;&gt;"",1,0))))+IF(G49=1,30,IF(G49=2,20,IF(G49=3,10,IF(G49&lt;&gt;"",1,0))))+IF(H49=1,30,IF(H49=2,20,IF(H49=3,10,IF(H49&lt;&gt;"",1,0))))))</f>
        <v/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9.5" customHeight="1" s="143">
      <c r="A50" s="1" t="n"/>
      <c r="B50" s="32">
        <f>'👥 Участники'!B50</f>
        <v/>
      </c>
      <c r="C50" s="33">
        <f>'👥 Участники'!C50</f>
        <v/>
      </c>
      <c r="D50" s="34">
        <f>'👥 Участники'!D50</f>
        <v/>
      </c>
      <c r="E50" s="40" t="n"/>
      <c r="F50" s="40" t="n"/>
      <c r="G50" s="40" t="n"/>
      <c r="H50" s="40" t="n"/>
      <c r="I50" s="36">
        <f>IF(AND(C50="",OR(E50="",E50=0)),"",(IF(E50=1,30,IF(E50=2,20,IF(E50=3,10,IF(E50&lt;&gt;"",1,0))))+IF(F50=1,30,IF(F50=2,20,IF(F50=3,10,IF(F50&lt;&gt;"",1,0))))+IF(G50=1,30,IF(G50=2,20,IF(G50=3,10,IF(G50&lt;&gt;"",1,0))))+IF(H50=1,30,IF(H50=2,20,IF(H50=3,10,IF(H50&lt;&gt;"",1,0))))))</f>
        <v/>
      </c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9.5" customHeight="1" s="143">
      <c r="A51" s="1" t="n"/>
      <c r="B51" s="37">
        <f>'👥 Участники'!B51</f>
        <v/>
      </c>
      <c r="C51" s="38">
        <f>'👥 Участники'!C51</f>
        <v/>
      </c>
      <c r="D51" s="39">
        <f>'👥 Участники'!D51</f>
        <v/>
      </c>
      <c r="E51" s="40" t="n"/>
      <c r="F51" s="40" t="n"/>
      <c r="G51" s="40" t="n"/>
      <c r="H51" s="40" t="n"/>
      <c r="I51" s="36">
        <f>IF(AND(C51="",OR(E51="",E51=0)),"",(IF(E51=1,30,IF(E51=2,20,IF(E51=3,10,IF(E51&lt;&gt;"",1,0))))+IF(F51=1,30,IF(F51=2,20,IF(F51=3,10,IF(F51&lt;&gt;"",1,0))))+IF(G51=1,30,IF(G51=2,20,IF(G51=3,10,IF(G51&lt;&gt;"",1,0))))+IF(H51=1,30,IF(H51=2,20,IF(H51=3,10,IF(H51&lt;&gt;"",1,0))))))</f>
        <v/>
      </c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9.5" customHeight="1" s="143">
      <c r="A52" s="1" t="n"/>
      <c r="B52" s="32">
        <f>'👥 Участники'!B52</f>
        <v/>
      </c>
      <c r="C52" s="33">
        <f>'👥 Участники'!C52</f>
        <v/>
      </c>
      <c r="D52" s="34">
        <f>'👥 Участники'!D52</f>
        <v/>
      </c>
      <c r="E52" s="40" t="n"/>
      <c r="F52" s="40" t="n"/>
      <c r="G52" s="40" t="n"/>
      <c r="H52" s="40" t="n"/>
      <c r="I52" s="36">
        <f>IF(AND(C52="",OR(E52="",E52=0)),"",(IF(E52=1,30,IF(E52=2,20,IF(E52=3,10,IF(E52&lt;&gt;"",1,0))))+IF(F52=1,30,IF(F52=2,20,IF(F52=3,10,IF(F52&lt;&gt;"",1,0))))+IF(G52=1,30,IF(G52=2,20,IF(G52=3,10,IF(G52&lt;&gt;"",1,0))))+IF(H52=1,30,IF(H52=2,20,IF(H52=3,10,IF(H52&lt;&gt;"",1,0))))))</f>
        <v/>
      </c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9.5" customHeight="1" s="143">
      <c r="A53" s="1" t="n"/>
      <c r="B53" s="37">
        <f>'👥 Участники'!B53</f>
        <v/>
      </c>
      <c r="C53" s="38">
        <f>'👥 Участники'!C53</f>
        <v/>
      </c>
      <c r="D53" s="39">
        <f>'👥 Участники'!D53</f>
        <v/>
      </c>
      <c r="E53" s="40" t="n"/>
      <c r="F53" s="40" t="n"/>
      <c r="G53" s="40" t="n"/>
      <c r="H53" s="40" t="n"/>
      <c r="I53" s="36">
        <f>IF(AND(C53="",OR(E53="",E53=0)),"",(IF(E53=1,30,IF(E53=2,20,IF(E53=3,10,IF(E53&lt;&gt;"",1,0))))+IF(F53=1,30,IF(F53=2,20,IF(F53=3,10,IF(F53&lt;&gt;"",1,0))))+IF(G53=1,30,IF(G53=2,20,IF(G53=3,10,IF(G53&lt;&gt;"",1,0))))+IF(H53=1,30,IF(H53=2,20,IF(H53=3,10,IF(H53&lt;&gt;"",1,0)))))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9.5" customHeight="1" s="143">
      <c r="A54" s="1" t="n"/>
      <c r="B54" s="32">
        <f>'👥 Участники'!B54</f>
        <v/>
      </c>
      <c r="C54" s="33">
        <f>'👥 Участники'!C54</f>
        <v/>
      </c>
      <c r="D54" s="34">
        <f>'👥 Участники'!D54</f>
        <v/>
      </c>
      <c r="E54" s="40" t="n"/>
      <c r="F54" s="40" t="n"/>
      <c r="G54" s="40" t="n"/>
      <c r="H54" s="40" t="n"/>
      <c r="I54" s="36">
        <f>IF(AND(C54="",OR(E54="",E54=0)),"",(IF(E54=1,30,IF(E54=2,20,IF(E54=3,10,IF(E54&lt;&gt;"",1,0))))+IF(F54=1,30,IF(F54=2,20,IF(F54=3,10,IF(F54&lt;&gt;"",1,0))))+IF(G54=1,30,IF(G54=2,20,IF(G54=3,10,IF(G54&lt;&gt;"",1,0))))+IF(H54=1,30,IF(H54=2,20,IF(H54=3,10,IF(H54&lt;&gt;"",1,0))))))</f>
        <v/>
      </c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9.5" customHeight="1" s="143">
      <c r="A55" s="1" t="n"/>
      <c r="B55" s="37">
        <f>'👥 Участники'!B55</f>
        <v/>
      </c>
      <c r="C55" s="38">
        <f>'👥 Участники'!C55</f>
        <v/>
      </c>
      <c r="D55" s="39">
        <f>'👥 Участники'!D55</f>
        <v/>
      </c>
      <c r="E55" s="40" t="n"/>
      <c r="F55" s="40" t="n"/>
      <c r="G55" s="40" t="n"/>
      <c r="H55" s="40" t="n"/>
      <c r="I55" s="36">
        <f>IF(AND(C55="",OR(E55="",E55=0)),"",(IF(E55=1,30,IF(E55=2,20,IF(E55=3,10,IF(E55&lt;&gt;"",1,0))))+IF(F55=1,30,IF(F55=2,20,IF(F55=3,10,IF(F55&lt;&gt;"",1,0))))+IF(G55=1,30,IF(G55=2,20,IF(G55=3,10,IF(G55&lt;&gt;"",1,0))))+IF(H55=1,30,IF(H55=2,20,IF(H55=3,10,IF(H55&lt;&gt;"",1,0))))))</f>
        <v/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9.5" customHeight="1" s="143">
      <c r="A56" s="1" t="n"/>
      <c r="B56" s="32">
        <f>'👥 Участники'!B56</f>
        <v/>
      </c>
      <c r="C56" s="33">
        <f>'👥 Участники'!C56</f>
        <v/>
      </c>
      <c r="D56" s="34">
        <f>'👥 Участники'!D56</f>
        <v/>
      </c>
      <c r="E56" s="40" t="n"/>
      <c r="F56" s="40" t="n"/>
      <c r="G56" s="40" t="n"/>
      <c r="H56" s="40" t="n"/>
      <c r="I56" s="36">
        <f>IF(AND(C56="",OR(E56="",E56=0)),"",(IF(E56=1,30,IF(E56=2,20,IF(E56=3,10,IF(E56&lt;&gt;"",1,0))))+IF(F56=1,30,IF(F56=2,20,IF(F56=3,10,IF(F56&lt;&gt;"",1,0))))+IF(G56=1,30,IF(G56=2,20,IF(G56=3,10,IF(G56&lt;&gt;"",1,0))))+IF(H56=1,30,IF(H56=2,20,IF(H56=3,10,IF(H56&lt;&gt;"",1,0))))))</f>
        <v/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9.5" customHeight="1" s="143">
      <c r="A57" s="1" t="n"/>
      <c r="B57" s="37">
        <f>'👥 Участники'!B57</f>
        <v/>
      </c>
      <c r="C57" s="38">
        <f>'👥 Участники'!C57</f>
        <v/>
      </c>
      <c r="D57" s="39">
        <f>'👥 Участники'!D57</f>
        <v/>
      </c>
      <c r="E57" s="40" t="n"/>
      <c r="F57" s="40" t="n"/>
      <c r="G57" s="40" t="n"/>
      <c r="H57" s="40" t="n"/>
      <c r="I57" s="36">
        <f>IF(AND(C57="",OR(E57="",E57=0)),"",(IF(E57=1,30,IF(E57=2,20,IF(E57=3,10,IF(E57&lt;&gt;"",1,0))))+IF(F57=1,30,IF(F57=2,20,IF(F57=3,10,IF(F57&lt;&gt;"",1,0))))+IF(G57=1,30,IF(G57=2,20,IF(G57=3,10,IF(G57&lt;&gt;"",1,0))))+IF(H57=1,30,IF(H57=2,20,IF(H57=3,10,IF(H57&lt;&gt;"",1,0)))))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9.5" customHeight="1" s="143">
      <c r="A58" s="1" t="n"/>
      <c r="B58" s="32">
        <f>'👥 Участники'!B58</f>
        <v/>
      </c>
      <c r="C58" s="33">
        <f>'👥 Участники'!C58</f>
        <v/>
      </c>
      <c r="D58" s="34">
        <f>'👥 Участники'!D58</f>
        <v/>
      </c>
      <c r="E58" s="40" t="n"/>
      <c r="F58" s="40" t="n"/>
      <c r="G58" s="40" t="n"/>
      <c r="H58" s="40" t="n"/>
      <c r="I58" s="36">
        <f>IF(AND(C58="",OR(E58="",E58=0)),"",(IF(E58=1,30,IF(E58=2,20,IF(E58=3,10,IF(E58&lt;&gt;"",1,0))))+IF(F58=1,30,IF(F58=2,20,IF(F58=3,10,IF(F58&lt;&gt;"",1,0))))+IF(G58=1,30,IF(G58=2,20,IF(G58=3,10,IF(G58&lt;&gt;"",1,0))))+IF(H58=1,30,IF(H58=2,20,IF(H58=3,10,IF(H58&lt;&gt;"",1,0)))))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9.5" customHeight="1" s="143">
      <c r="A59" s="1" t="n"/>
      <c r="B59" s="37">
        <f>'👥 Участники'!B59</f>
        <v/>
      </c>
      <c r="C59" s="38">
        <f>'👥 Участники'!C59</f>
        <v/>
      </c>
      <c r="D59" s="39">
        <f>'👥 Участники'!D59</f>
        <v/>
      </c>
      <c r="E59" s="40" t="n"/>
      <c r="F59" s="40" t="n"/>
      <c r="G59" s="40" t="n"/>
      <c r="H59" s="40" t="n"/>
      <c r="I59" s="36">
        <f>IF(AND(C59="",OR(E59="",E59=0)),"",(IF(E59=1,30,IF(E59=2,20,IF(E59=3,10,IF(E59&lt;&gt;"",1,0))))+IF(F59=1,30,IF(F59=2,20,IF(F59=3,10,IF(F59&lt;&gt;"",1,0))))+IF(G59=1,30,IF(G59=2,20,IF(G59=3,10,IF(G59&lt;&gt;"",1,0))))+IF(H59=1,30,IF(H59=2,20,IF(H59=3,10,IF(H59&lt;&gt;"",1,0))))))</f>
        <v/>
      </c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9.5" customHeight="1" s="143">
      <c r="A60" s="1" t="n"/>
      <c r="B60" s="32">
        <f>'👥 Участники'!B60</f>
        <v/>
      </c>
      <c r="C60" s="33">
        <f>'👥 Участники'!C60</f>
        <v/>
      </c>
      <c r="D60" s="34">
        <f>'👥 Участники'!D60</f>
        <v/>
      </c>
      <c r="E60" s="40" t="n"/>
      <c r="F60" s="40" t="n"/>
      <c r="G60" s="40" t="n"/>
      <c r="H60" s="40" t="n"/>
      <c r="I60" s="36">
        <f>IF(AND(C60="",OR(E60="",E60=0)),"",(IF(E60=1,30,IF(E60=2,20,IF(E60=3,10,IF(E60&lt;&gt;"",1,0))))+IF(F60=1,30,IF(F60=2,20,IF(F60=3,10,IF(F60&lt;&gt;"",1,0))))+IF(G60=1,30,IF(G60=2,20,IF(G60=3,10,IF(G60&lt;&gt;"",1,0))))+IF(H60=1,30,IF(H60=2,20,IF(H60=3,10,IF(H60&lt;&gt;"",1,0))))))</f>
        <v/>
      </c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143">
      <c r="A61" s="1" t="n"/>
      <c r="B61" s="37">
        <f>'👥 Участники'!B61</f>
        <v/>
      </c>
      <c r="C61" s="38">
        <f>'👥 Участники'!C61</f>
        <v/>
      </c>
      <c r="D61" s="39">
        <f>'👥 Участники'!D61</f>
        <v/>
      </c>
      <c r="E61" s="40" t="n"/>
      <c r="F61" s="40" t="n"/>
      <c r="G61" s="40" t="n"/>
      <c r="H61" s="40" t="n"/>
      <c r="I61" s="36">
        <f>IF(AND(C61="",OR(E61="",E61=0)),"",(IF(E61=1,30,IF(E61=2,20,IF(E61=3,10,IF(E61&lt;&gt;"",1,0))))+IF(F61=1,30,IF(F61=2,20,IF(F61=3,10,IF(F61&lt;&gt;"",1,0))))+IF(G61=1,30,IF(G61=2,20,IF(G61=3,10,IF(G61&lt;&gt;"",1,0))))+IF(H61=1,30,IF(H61=2,20,IF(H61=3,10,IF(H61&lt;&gt;"",1,0))))))</f>
        <v/>
      </c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9.5" customHeight="1" s="143">
      <c r="A62" s="1" t="n"/>
      <c r="B62" s="32">
        <f>'👥 Участники'!B62</f>
        <v/>
      </c>
      <c r="C62" s="33">
        <f>'👥 Участники'!C62</f>
        <v/>
      </c>
      <c r="D62" s="34">
        <f>'👥 Участники'!D62</f>
        <v/>
      </c>
      <c r="E62" s="40" t="n"/>
      <c r="F62" s="40" t="n"/>
      <c r="G62" s="40" t="n"/>
      <c r="H62" s="40" t="n"/>
      <c r="I62" s="36">
        <f>IF(AND(C62="",OR(E62="",E62=0)),"",(IF(E62=1,30,IF(E62=2,20,IF(E62=3,10,IF(E62&lt;&gt;"",1,0))))+IF(F62=1,30,IF(F62=2,20,IF(F62=3,10,IF(F62&lt;&gt;"",1,0))))+IF(G62=1,30,IF(G62=2,20,IF(G62=3,10,IF(G62&lt;&gt;"",1,0))))+IF(H62=1,30,IF(H62=2,20,IF(H62=3,10,IF(H62&lt;&gt;"",1,0)))))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9.5" customHeight="1" s="143">
      <c r="A63" s="1" t="n"/>
      <c r="B63" s="37">
        <f>'👥 Участники'!B63</f>
        <v/>
      </c>
      <c r="C63" s="38">
        <f>'👥 Участники'!C63</f>
        <v/>
      </c>
      <c r="D63" s="39">
        <f>'👥 Участники'!D63</f>
        <v/>
      </c>
      <c r="E63" s="40" t="n"/>
      <c r="F63" s="40" t="n"/>
      <c r="G63" s="40" t="n"/>
      <c r="H63" s="40" t="n"/>
      <c r="I63" s="36">
        <f>IF(AND(C63="",OR(E63="",E63=0)),"",(IF(E63=1,30,IF(E63=2,20,IF(E63=3,10,IF(E63&lt;&gt;"",1,0))))+IF(F63=1,30,IF(F63=2,20,IF(F63=3,10,IF(F63&lt;&gt;"",1,0))))+IF(G63=1,30,IF(G63=2,20,IF(G63=3,10,IF(G63&lt;&gt;"",1,0))))+IF(H63=1,30,IF(H63=2,20,IF(H63=3,10,IF(H63&lt;&gt;"",1,0))))))</f>
        <v/>
      </c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9.5" customHeight="1" s="143">
      <c r="A64" s="1" t="n"/>
      <c r="B64" s="32">
        <f>'👥 Участники'!B64</f>
        <v/>
      </c>
      <c r="C64" s="33">
        <f>'👥 Участники'!C64</f>
        <v/>
      </c>
      <c r="D64" s="34">
        <f>'👥 Участники'!D64</f>
        <v/>
      </c>
      <c r="E64" s="40" t="n"/>
      <c r="F64" s="40" t="n"/>
      <c r="G64" s="40" t="n"/>
      <c r="H64" s="40" t="n"/>
      <c r="I64" s="36">
        <f>IF(AND(C64="",OR(E64="",E64=0)),"",(IF(E64=1,30,IF(E64=2,20,IF(E64=3,10,IF(E64&lt;&gt;"",1,0))))+IF(F64=1,30,IF(F64=2,20,IF(F64=3,10,IF(F64&lt;&gt;"",1,0))))+IF(G64=1,30,IF(G64=2,20,IF(G64=3,10,IF(G64&lt;&gt;"",1,0))))+IF(H64=1,30,IF(H64=2,20,IF(H64=3,10,IF(H64&lt;&gt;"",1,0))))))</f>
        <v/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9.5" customHeight="1" s="143">
      <c r="A65" s="1" t="n"/>
      <c r="B65" s="37">
        <f>'👥 Участники'!B65</f>
        <v/>
      </c>
      <c r="C65" s="38">
        <f>'👥 Участники'!C65</f>
        <v/>
      </c>
      <c r="D65" s="39">
        <f>'👥 Участники'!D65</f>
        <v/>
      </c>
      <c r="E65" s="40" t="n"/>
      <c r="F65" s="40" t="n"/>
      <c r="G65" s="40" t="n"/>
      <c r="H65" s="40" t="n"/>
      <c r="I65" s="36">
        <f>IF(AND(C65="",OR(E65="",E65=0)),"",(IF(E65=1,30,IF(E65=2,20,IF(E65=3,10,IF(E65&lt;&gt;"",1,0))))+IF(F65=1,30,IF(F65=2,20,IF(F65=3,10,IF(F65&lt;&gt;"",1,0))))+IF(G65=1,30,IF(G65=2,20,IF(G65=3,10,IF(G65&lt;&gt;"",1,0))))+IF(H65=1,30,IF(H65=2,20,IF(H65=3,10,IF(H65&lt;&gt;"",1,0))))))</f>
        <v/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9.5" customHeight="1" s="143">
      <c r="A66" s="1" t="n"/>
      <c r="B66" s="32">
        <f>'👥 Участники'!B66</f>
        <v/>
      </c>
      <c r="C66" s="33">
        <f>'👥 Участники'!C66</f>
        <v/>
      </c>
      <c r="D66" s="34">
        <f>'👥 Участники'!D66</f>
        <v/>
      </c>
      <c r="E66" s="40" t="n"/>
      <c r="F66" s="40" t="n"/>
      <c r="G66" s="40" t="n"/>
      <c r="H66" s="40" t="n"/>
      <c r="I66" s="36">
        <f>IF(AND(C66="",OR(E66="",E66=0)),"",(IF(E66=1,30,IF(E66=2,20,IF(E66=3,10,IF(E66&lt;&gt;"",1,0))))+IF(F66=1,30,IF(F66=2,20,IF(F66=3,10,IF(F66&lt;&gt;"",1,0))))+IF(G66=1,30,IF(G66=2,20,IF(G66=3,10,IF(G66&lt;&gt;"",1,0))))+IF(H66=1,30,IF(H66=2,20,IF(H66=3,10,IF(H66&lt;&gt;"",1,0)))))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9.5" customHeight="1" s="143">
      <c r="A67" s="1" t="n"/>
      <c r="B67" s="37">
        <f>'👥 Участники'!B67</f>
        <v/>
      </c>
      <c r="C67" s="38">
        <f>'👥 Участники'!C67</f>
        <v/>
      </c>
      <c r="D67" s="39">
        <f>'👥 Участники'!D67</f>
        <v/>
      </c>
      <c r="E67" s="40" t="n"/>
      <c r="F67" s="40" t="n"/>
      <c r="G67" s="40" t="n"/>
      <c r="H67" s="40" t="n"/>
      <c r="I67" s="36">
        <f>IF(AND(C67="",OR(E67="",E67=0)),"",(IF(E67=1,30,IF(E67=2,20,IF(E67=3,10,IF(E67&lt;&gt;"",1,0))))+IF(F67=1,30,IF(F67=2,20,IF(F67=3,10,IF(F67&lt;&gt;"",1,0))))+IF(G67=1,30,IF(G67=2,20,IF(G67=3,10,IF(G67&lt;&gt;"",1,0))))+IF(H67=1,30,IF(H67=2,20,IF(H67=3,10,IF(H67&lt;&gt;"",1,0)))))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9.5" customHeight="1" s="143">
      <c r="A68" s="1" t="n"/>
      <c r="B68" s="32">
        <f>'👥 Участники'!B68</f>
        <v/>
      </c>
      <c r="C68" s="33">
        <f>'👥 Участники'!C68</f>
        <v/>
      </c>
      <c r="D68" s="34">
        <f>'👥 Участники'!D68</f>
        <v/>
      </c>
      <c r="E68" s="40" t="n"/>
      <c r="F68" s="40" t="n"/>
      <c r="G68" s="40" t="n"/>
      <c r="H68" s="40" t="n"/>
      <c r="I68" s="36">
        <f>IF(AND(C68="",OR(E68="",E68=0)),"",(IF(E68=1,30,IF(E68=2,20,IF(E68=3,10,IF(E68&lt;&gt;"",1,0))))+IF(F68=1,30,IF(F68=2,20,IF(F68=3,10,IF(F68&lt;&gt;"",1,0))))+IF(G68=1,30,IF(G68=2,20,IF(G68=3,10,IF(G68&lt;&gt;"",1,0))))+IF(H68=1,30,IF(H68=2,20,IF(H68=3,10,IF(H68&lt;&gt;"",1,0))))))</f>
        <v/>
      </c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9.5" customHeight="1" s="143">
      <c r="A69" s="1" t="n"/>
      <c r="B69" s="37">
        <f>'👥 Участники'!B69</f>
        <v/>
      </c>
      <c r="C69" s="38">
        <f>'👥 Участники'!C69</f>
        <v/>
      </c>
      <c r="D69" s="39">
        <f>'👥 Участники'!D69</f>
        <v/>
      </c>
      <c r="E69" s="40" t="n"/>
      <c r="F69" s="40" t="n"/>
      <c r="G69" s="40" t="n"/>
      <c r="H69" s="40" t="n"/>
      <c r="I69" s="36">
        <f>IF(AND(C69="",OR(E69="",E69=0)),"",(IF(E69=1,30,IF(E69=2,20,IF(E69=3,10,IF(E69&lt;&gt;"",1,0))))+IF(F69=1,30,IF(F69=2,20,IF(F69=3,10,IF(F69&lt;&gt;"",1,0))))+IF(G69=1,30,IF(G69=2,20,IF(G69=3,10,IF(G69&lt;&gt;"",1,0))))+IF(H69=1,30,IF(H69=2,20,IF(H69=3,10,IF(H69&lt;&gt;"",1,0))))))</f>
        <v/>
      </c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9.5" customHeight="1" s="143">
      <c r="A70" s="1" t="n"/>
      <c r="B70" s="32">
        <f>'👥 Участники'!B70</f>
        <v/>
      </c>
      <c r="C70" s="33">
        <f>'👥 Участники'!C70</f>
        <v/>
      </c>
      <c r="D70" s="34">
        <f>'👥 Участники'!D70</f>
        <v/>
      </c>
      <c r="E70" s="40" t="n"/>
      <c r="F70" s="40" t="n"/>
      <c r="G70" s="40" t="n"/>
      <c r="H70" s="40" t="n"/>
      <c r="I70" s="36">
        <f>IF(AND(C70="",OR(E70="",E70=0)),"",(IF(E70=1,30,IF(E70=2,20,IF(E70=3,10,IF(E70&lt;&gt;"",1,0))))+IF(F70=1,30,IF(F70=2,20,IF(F70=3,10,IF(F70&lt;&gt;"",1,0))))+IF(G70=1,30,IF(G70=2,20,IF(G70=3,10,IF(G70&lt;&gt;"",1,0))))+IF(H70=1,30,IF(H70=2,20,IF(H70=3,10,IF(H70&lt;&gt;"",1,0))))))</f>
        <v/>
      </c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9.5" customHeight="1" s="143">
      <c r="A71" s="1" t="n"/>
      <c r="B71" s="37">
        <f>'👥 Участники'!B71</f>
        <v/>
      </c>
      <c r="C71" s="38">
        <f>'👥 Участники'!C71</f>
        <v/>
      </c>
      <c r="D71" s="39">
        <f>'👥 Участники'!D71</f>
        <v/>
      </c>
      <c r="E71" s="40" t="n"/>
      <c r="F71" s="40" t="n"/>
      <c r="G71" s="40" t="n"/>
      <c r="H71" s="40" t="n"/>
      <c r="I71" s="36">
        <f>IF(AND(C71="",OR(E71="",E71=0)),"",(IF(E71=1,30,IF(E71=2,20,IF(E71=3,10,IF(E71&lt;&gt;"",1,0))))+IF(F71=1,30,IF(F71=2,20,IF(F71=3,10,IF(F71&lt;&gt;"",1,0))))+IF(G71=1,30,IF(G71=2,20,IF(G71=3,10,IF(G71&lt;&gt;"",1,0))))+IF(H71=1,30,IF(H71=2,20,IF(H71=3,10,IF(H71&lt;&gt;"",1,0)))))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9.5" customHeight="1" s="143">
      <c r="A72" s="1" t="n"/>
      <c r="B72" s="32">
        <f>'👥 Участники'!B72</f>
        <v/>
      </c>
      <c r="C72" s="33">
        <f>'👥 Участники'!C72</f>
        <v/>
      </c>
      <c r="D72" s="34">
        <f>'👥 Участники'!D72</f>
        <v/>
      </c>
      <c r="E72" s="40" t="n"/>
      <c r="F72" s="40" t="n"/>
      <c r="G72" s="40" t="n"/>
      <c r="H72" s="40" t="n"/>
      <c r="I72" s="36">
        <f>IF(AND(C72="",OR(E72="",E72=0)),"",(IF(E72=1,30,IF(E72=2,20,IF(E72=3,10,IF(E72&lt;&gt;"",1,0))))+IF(F72=1,30,IF(F72=2,20,IF(F72=3,10,IF(F72&lt;&gt;"",1,0))))+IF(G72=1,30,IF(G72=2,20,IF(G72=3,10,IF(G72&lt;&gt;"",1,0))))+IF(H72=1,30,IF(H72=2,20,IF(H72=3,10,IF(H72&lt;&gt;"",1,0))))))</f>
        <v/>
      </c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9.5" customHeight="1" s="143">
      <c r="A73" s="1" t="n"/>
      <c r="B73" s="37">
        <f>'👥 Участники'!B73</f>
        <v/>
      </c>
      <c r="C73" s="38">
        <f>'👥 Участники'!C73</f>
        <v/>
      </c>
      <c r="D73" s="39">
        <f>'👥 Участники'!D73</f>
        <v/>
      </c>
      <c r="E73" s="40" t="n"/>
      <c r="F73" s="40" t="n"/>
      <c r="G73" s="40" t="n"/>
      <c r="H73" s="40" t="n"/>
      <c r="I73" s="36">
        <f>IF(AND(C73="",OR(E73="",E73=0)),"",(IF(E73=1,30,IF(E73=2,20,IF(E73=3,10,IF(E73&lt;&gt;"",1,0))))+IF(F73=1,30,IF(F73=2,20,IF(F73=3,10,IF(F73&lt;&gt;"",1,0))))+IF(G73=1,30,IF(G73=2,20,IF(G73=3,10,IF(G73&lt;&gt;"",1,0))))+IF(H73=1,30,IF(H73=2,20,IF(H73=3,10,IF(H73&lt;&gt;"",1,0))))))</f>
        <v/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9.5" customHeight="1" s="143">
      <c r="A74" s="1" t="n"/>
      <c r="B74" s="32">
        <f>'👥 Участники'!B74</f>
        <v/>
      </c>
      <c r="C74" s="33">
        <f>'👥 Участники'!C74</f>
        <v/>
      </c>
      <c r="D74" s="34">
        <f>'👥 Участники'!D74</f>
        <v/>
      </c>
      <c r="E74" s="40" t="n"/>
      <c r="F74" s="40" t="n"/>
      <c r="G74" s="40" t="n"/>
      <c r="H74" s="40" t="n"/>
      <c r="I74" s="36">
        <f>IF(AND(C74="",OR(E74="",E74=0)),"",(IF(E74=1,30,IF(E74=2,20,IF(E74=3,10,IF(E74&lt;&gt;"",1,0))))+IF(F74=1,30,IF(F74=2,20,IF(F74=3,10,IF(F74&lt;&gt;"",1,0))))+IF(G74=1,30,IF(G74=2,20,IF(G74=3,10,IF(G74&lt;&gt;"",1,0))))+IF(H74=1,30,IF(H74=2,20,IF(H74=3,10,IF(H74&lt;&gt;"",1,0))))))</f>
        <v/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9.5" customHeight="1" s="143">
      <c r="A75" s="1" t="n"/>
      <c r="B75" s="37">
        <f>'👥 Участники'!B75</f>
        <v/>
      </c>
      <c r="C75" s="38">
        <f>'👥 Участники'!C75</f>
        <v/>
      </c>
      <c r="D75" s="39">
        <f>'👥 Участники'!D75</f>
        <v/>
      </c>
      <c r="E75" s="40" t="n"/>
      <c r="F75" s="40" t="n"/>
      <c r="G75" s="40" t="n"/>
      <c r="H75" s="40" t="n"/>
      <c r="I75" s="36">
        <f>IF(AND(C75="",OR(E75="",E75=0)),"",(IF(E75=1,30,IF(E75=2,20,IF(E75=3,10,IF(E75&lt;&gt;"",1,0))))+IF(F75=1,30,IF(F75=2,20,IF(F75=3,10,IF(F75&lt;&gt;"",1,0))))+IF(G75=1,30,IF(G75=2,20,IF(G75=3,10,IF(G75&lt;&gt;"",1,0))))+IF(H75=1,30,IF(H75=2,20,IF(H75=3,10,IF(H75&lt;&gt;"",1,0)))))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143">
      <c r="A76" s="1" t="n"/>
      <c r="B76" s="32">
        <f>'👥 Участники'!B76</f>
        <v/>
      </c>
      <c r="C76" s="33">
        <f>'👥 Участники'!C76</f>
        <v/>
      </c>
      <c r="D76" s="34">
        <f>'👥 Участники'!D76</f>
        <v/>
      </c>
      <c r="E76" s="40" t="n"/>
      <c r="F76" s="40" t="n"/>
      <c r="G76" s="40" t="n"/>
      <c r="H76" s="40" t="n"/>
      <c r="I76" s="36">
        <f>IF(AND(C76="",OR(E76="",E76=0)),"",(IF(E76=1,30,IF(E76=2,20,IF(E76=3,10,IF(E76&lt;&gt;"",1,0))))+IF(F76=1,30,IF(F76=2,20,IF(F76=3,10,IF(F76&lt;&gt;"",1,0))))+IF(G76=1,30,IF(G76=2,20,IF(G76=3,10,IF(G76&lt;&gt;"",1,0))))+IF(H76=1,30,IF(H76=2,20,IF(H76=3,10,IF(H76&lt;&gt;"",1,0)))))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143">
      <c r="A77" s="1" t="n"/>
      <c r="B77" s="37">
        <f>'👥 Участники'!B77</f>
        <v/>
      </c>
      <c r="C77" s="38">
        <f>'👥 Участники'!C77</f>
        <v/>
      </c>
      <c r="D77" s="39">
        <f>'👥 Участники'!D77</f>
        <v/>
      </c>
      <c r="E77" s="40" t="n"/>
      <c r="F77" s="40" t="n"/>
      <c r="G77" s="40" t="n"/>
      <c r="H77" s="40" t="n"/>
      <c r="I77" s="36">
        <f>IF(AND(C77="",OR(E77="",E77=0)),"",(IF(E77=1,30,IF(E77=2,20,IF(E77=3,10,IF(E77&lt;&gt;"",1,0))))+IF(F77=1,30,IF(F77=2,20,IF(F77=3,10,IF(F77&lt;&gt;"",1,0))))+IF(G77=1,30,IF(G77=2,20,IF(G77=3,10,IF(G77&lt;&gt;"",1,0))))+IF(H77=1,30,IF(H77=2,20,IF(H77=3,10,IF(H77&lt;&gt;"",1,0)))))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143">
      <c r="A78" s="1" t="n"/>
      <c r="B78" s="32">
        <f>'👥 Участники'!B78</f>
        <v/>
      </c>
      <c r="C78" s="33">
        <f>'👥 Участники'!C78</f>
        <v/>
      </c>
      <c r="D78" s="34">
        <f>'👥 Участники'!D78</f>
        <v/>
      </c>
      <c r="E78" s="40" t="n"/>
      <c r="F78" s="40" t="n"/>
      <c r="G78" s="40" t="n"/>
      <c r="H78" s="40" t="n"/>
      <c r="I78" s="36">
        <f>IF(AND(C78="",OR(E78="",E78=0)),"",(IF(E78=1,30,IF(E78=2,20,IF(E78=3,10,IF(E78&lt;&gt;"",1,0))))+IF(F78=1,30,IF(F78=2,20,IF(F78=3,10,IF(F78&lt;&gt;"",1,0))))+IF(G78=1,30,IF(G78=2,20,IF(G78=3,10,IF(G78&lt;&gt;"",1,0))))+IF(H78=1,30,IF(H78=2,20,IF(H78=3,10,IF(H78&lt;&gt;"",1,0)))))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143">
      <c r="A79" s="1" t="n"/>
      <c r="B79" s="37">
        <f>'👥 Участники'!B79</f>
        <v/>
      </c>
      <c r="C79" s="38">
        <f>'👥 Участники'!C79</f>
        <v/>
      </c>
      <c r="D79" s="39">
        <f>'👥 Участники'!D79</f>
        <v/>
      </c>
      <c r="E79" s="40" t="n"/>
      <c r="F79" s="40" t="n"/>
      <c r="G79" s="40" t="n"/>
      <c r="H79" s="40" t="n"/>
      <c r="I79" s="36">
        <f>IF(AND(C79="",OR(E79="",E79=0)),"",(IF(E79=1,30,IF(E79=2,20,IF(E79=3,10,IF(E79&lt;&gt;"",1,0))))+IF(F79=1,30,IF(F79=2,20,IF(F79=3,10,IF(F79&lt;&gt;"",1,0))))+IF(G79=1,30,IF(G79=2,20,IF(G79=3,10,IF(G79&lt;&gt;"",1,0))))+IF(H79=1,30,IF(H79=2,20,IF(H79=3,10,IF(H79&lt;&gt;"",1,0)))))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143">
      <c r="A80" s="1" t="n"/>
      <c r="B80" s="32">
        <f>'👥 Участники'!B80</f>
        <v/>
      </c>
      <c r="C80" s="33">
        <f>'👥 Участники'!C80</f>
        <v/>
      </c>
      <c r="D80" s="34">
        <f>'👥 Участники'!D80</f>
        <v/>
      </c>
      <c r="E80" s="40" t="n"/>
      <c r="F80" s="40" t="n"/>
      <c r="G80" s="40" t="n"/>
      <c r="H80" s="40" t="n"/>
      <c r="I80" s="36">
        <f>IF(AND(C80="",OR(E80="",E80=0)),"",(IF(E80=1,30,IF(E80=2,20,IF(E80=3,10,IF(E80&lt;&gt;"",1,0))))+IF(F80=1,30,IF(F80=2,20,IF(F80=3,10,IF(F80&lt;&gt;"",1,0))))+IF(G80=1,30,IF(G80=2,20,IF(G80=3,10,IF(G80&lt;&gt;"",1,0))))+IF(H80=1,30,IF(H80=2,20,IF(H80=3,10,IF(H80&lt;&gt;"",1,0))))))</f>
        <v/>
      </c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143">
      <c r="A81" s="1" t="n"/>
      <c r="B81" s="37">
        <f>'👥 Участники'!B81</f>
        <v/>
      </c>
      <c r="C81" s="38">
        <f>'👥 Участники'!C81</f>
        <v/>
      </c>
      <c r="D81" s="39">
        <f>'👥 Участники'!D81</f>
        <v/>
      </c>
      <c r="E81" s="40" t="n"/>
      <c r="F81" s="40" t="n"/>
      <c r="G81" s="40" t="n"/>
      <c r="H81" s="40" t="n"/>
      <c r="I81" s="36">
        <f>IF(AND(C81="",OR(E81="",E81=0)),"",(IF(E81=1,30,IF(E81=2,20,IF(E81=3,10,IF(E81&lt;&gt;"",1,0))))+IF(F81=1,30,IF(F81=2,20,IF(F81=3,10,IF(F81&lt;&gt;"",1,0))))+IF(G81=1,30,IF(G81=2,20,IF(G81=3,10,IF(G81&lt;&gt;"",1,0))))+IF(H81=1,30,IF(H81=2,20,IF(H81=3,10,IF(H81&lt;&gt;"",1,0))))))</f>
        <v/>
      </c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9.5" customHeight="1" s="143">
      <c r="A82" s="1" t="n"/>
      <c r="B82" s="32">
        <f>'👥 Участники'!B82</f>
        <v/>
      </c>
      <c r="C82" s="33">
        <f>'👥 Участники'!C82</f>
        <v/>
      </c>
      <c r="D82" s="34">
        <f>'👥 Участники'!D82</f>
        <v/>
      </c>
      <c r="E82" s="40" t="n"/>
      <c r="F82" s="40" t="n"/>
      <c r="G82" s="40" t="n"/>
      <c r="H82" s="40" t="n"/>
      <c r="I82" s="36">
        <f>IF(AND(C82="",OR(E82="",E82=0)),"",(IF(E82=1,30,IF(E82=2,20,IF(E82=3,10,IF(E82&lt;&gt;"",1,0))))+IF(F82=1,30,IF(F82=2,20,IF(F82=3,10,IF(F82&lt;&gt;"",1,0))))+IF(G82=1,30,IF(G82=2,20,IF(G82=3,10,IF(G82&lt;&gt;"",1,0))))+IF(H82=1,30,IF(H82=2,20,IF(H82=3,10,IF(H82&lt;&gt;"",1,0))))))</f>
        <v/>
      </c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143">
      <c r="A83" s="1" t="n"/>
      <c r="B83" s="37">
        <f>'👥 Участники'!B83</f>
        <v/>
      </c>
      <c r="C83" s="38">
        <f>'👥 Участники'!C83</f>
        <v/>
      </c>
      <c r="D83" s="39">
        <f>'👥 Участники'!D83</f>
        <v/>
      </c>
      <c r="E83" s="40" t="n"/>
      <c r="F83" s="40" t="n"/>
      <c r="G83" s="40" t="n"/>
      <c r="H83" s="40" t="n"/>
      <c r="I83" s="36">
        <f>IF(AND(C83="",OR(E83="",E83=0)),"",(IF(E83=1,30,IF(E83=2,20,IF(E83=3,10,IF(E83&lt;&gt;"",1,0))))+IF(F83=1,30,IF(F83=2,20,IF(F83=3,10,IF(F83&lt;&gt;"",1,0))))+IF(G83=1,30,IF(G83=2,20,IF(G83=3,10,IF(G83&lt;&gt;"",1,0))))+IF(H83=1,30,IF(H83=2,20,IF(H83=3,10,IF(H83&lt;&gt;"",1,0))))))</f>
        <v/>
      </c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143">
      <c r="A84" s="1" t="n"/>
      <c r="B84" s="32">
        <f>'👥 Участники'!B84</f>
        <v/>
      </c>
      <c r="C84" s="33">
        <f>'👥 Участники'!C84</f>
        <v/>
      </c>
      <c r="D84" s="34">
        <f>'👥 Участники'!D84</f>
        <v/>
      </c>
      <c r="E84" s="40" t="n"/>
      <c r="F84" s="40" t="n"/>
      <c r="G84" s="40" t="n"/>
      <c r="H84" s="40" t="n"/>
      <c r="I84" s="36">
        <f>IF(AND(C84="",OR(E84="",E84=0)),"",(IF(E84=1,30,IF(E84=2,20,IF(E84=3,10,IF(E84&lt;&gt;"",1,0))))+IF(F84=1,30,IF(F84=2,20,IF(F84=3,10,IF(F84&lt;&gt;"",1,0))))+IF(G84=1,30,IF(G84=2,20,IF(G84=3,10,IF(G84&lt;&gt;"",1,0))))+IF(H84=1,30,IF(H84=2,20,IF(H84=3,10,IF(H84&lt;&gt;"",1,0))))))</f>
        <v/>
      </c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9.5" customHeight="1" s="143">
      <c r="A85" s="1" t="n"/>
      <c r="B85" s="37">
        <f>'👥 Участники'!B85</f>
        <v/>
      </c>
      <c r="C85" s="38">
        <f>'👥 Участники'!C85</f>
        <v/>
      </c>
      <c r="D85" s="39">
        <f>'👥 Участники'!D85</f>
        <v/>
      </c>
      <c r="E85" s="40" t="n"/>
      <c r="F85" s="40" t="n"/>
      <c r="G85" s="40" t="n"/>
      <c r="H85" s="40" t="n"/>
      <c r="I85" s="36">
        <f>IF(AND(C85="",OR(E85="",E85=0)),"",(IF(E85=1,30,IF(E85=2,20,IF(E85=3,10,IF(E85&lt;&gt;"",1,0))))+IF(F85=1,30,IF(F85=2,20,IF(F85=3,10,IF(F85&lt;&gt;"",1,0))))+IF(G85=1,30,IF(G85=2,20,IF(G85=3,10,IF(G85&lt;&gt;"",1,0))))+IF(H85=1,30,IF(H85=2,20,IF(H85=3,10,IF(H85&lt;&gt;"",1,0)))))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9.5" customHeight="1" s="143">
      <c r="A86" s="1" t="n"/>
      <c r="B86" s="32">
        <f>'👥 Участники'!B86</f>
        <v/>
      </c>
      <c r="C86" s="33">
        <f>'👥 Участники'!C86</f>
        <v/>
      </c>
      <c r="D86" s="34">
        <f>'👥 Участники'!D86</f>
        <v/>
      </c>
      <c r="E86" s="40" t="n"/>
      <c r="F86" s="40" t="n"/>
      <c r="G86" s="40" t="n"/>
      <c r="H86" s="40" t="n"/>
      <c r="I86" s="36">
        <f>IF(AND(C86="",OR(E86="",E86=0)),"",(IF(E86=1,30,IF(E86=2,20,IF(E86=3,10,IF(E86&lt;&gt;"",1,0))))+IF(F86=1,30,IF(F86=2,20,IF(F86=3,10,IF(F86&lt;&gt;"",1,0))))+IF(G86=1,30,IF(G86=2,20,IF(G86=3,10,IF(G86&lt;&gt;"",1,0))))+IF(H86=1,30,IF(H86=2,20,IF(H86=3,10,IF(H86&lt;&gt;"",1,0))))))</f>
        <v/>
      </c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9.5" customHeight="1" s="143">
      <c r="A87" s="1" t="n"/>
      <c r="B87" s="37">
        <f>'👥 Участники'!B87</f>
        <v/>
      </c>
      <c r="C87" s="38">
        <f>'👥 Участники'!C87</f>
        <v/>
      </c>
      <c r="D87" s="39">
        <f>'👥 Участники'!D87</f>
        <v/>
      </c>
      <c r="E87" s="40" t="n"/>
      <c r="F87" s="40" t="n"/>
      <c r="G87" s="40" t="n"/>
      <c r="H87" s="40" t="n"/>
      <c r="I87" s="36">
        <f>IF(AND(C87="",OR(E87="",E87=0)),"",(IF(E87=1,30,IF(E87=2,20,IF(E87=3,10,IF(E87&lt;&gt;"",1,0))))+IF(F87=1,30,IF(F87=2,20,IF(F87=3,10,IF(F87&lt;&gt;"",1,0))))+IF(G87=1,30,IF(G87=2,20,IF(G87=3,10,IF(G87&lt;&gt;"",1,0))))+IF(H87=1,30,IF(H87=2,20,IF(H87=3,10,IF(H87&lt;&gt;"",1,0))))))</f>
        <v/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9.5" customHeight="1" s="143">
      <c r="A88" s="1" t="n"/>
      <c r="B88" s="32">
        <f>'👥 Участники'!B88</f>
        <v/>
      </c>
      <c r="C88" s="33">
        <f>'👥 Участники'!C88</f>
        <v/>
      </c>
      <c r="D88" s="34">
        <f>'👥 Участники'!D88</f>
        <v/>
      </c>
      <c r="E88" s="40" t="n"/>
      <c r="F88" s="40" t="n"/>
      <c r="G88" s="40" t="n"/>
      <c r="H88" s="40" t="n"/>
      <c r="I88" s="36">
        <f>IF(AND(C88="",OR(E88="",E88=0)),"",(IF(E88=1,30,IF(E88=2,20,IF(E88=3,10,IF(E88&lt;&gt;"",1,0))))+IF(F88=1,30,IF(F88=2,20,IF(F88=3,10,IF(F88&lt;&gt;"",1,0))))+IF(G88=1,30,IF(G88=2,20,IF(G88=3,10,IF(G88&lt;&gt;"",1,0))))+IF(H88=1,30,IF(H88=2,20,IF(H88=3,10,IF(H88&lt;&gt;"",1,0))))))</f>
        <v/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9.5" customHeight="1" s="143">
      <c r="A89" s="1" t="n"/>
      <c r="B89" s="37">
        <f>'👥 Участники'!B89</f>
        <v/>
      </c>
      <c r="C89" s="38">
        <f>'👥 Участники'!C89</f>
        <v/>
      </c>
      <c r="D89" s="39">
        <f>'👥 Участники'!D89</f>
        <v/>
      </c>
      <c r="E89" s="40" t="n"/>
      <c r="F89" s="40" t="n"/>
      <c r="G89" s="40" t="n"/>
      <c r="H89" s="40" t="n"/>
      <c r="I89" s="36">
        <f>IF(AND(C89="",OR(E89="",E89=0)),"",(IF(E89=1,30,IF(E89=2,20,IF(E89=3,10,IF(E89&lt;&gt;"",1,0))))+IF(F89=1,30,IF(F89=2,20,IF(F89=3,10,IF(F89&lt;&gt;"",1,0))))+IF(G89=1,30,IF(G89=2,20,IF(G89=3,10,IF(G89&lt;&gt;"",1,0))))+IF(H89=1,30,IF(H89=2,20,IF(H89=3,10,IF(H89&lt;&gt;"",1,0)))))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9.5" customHeight="1" s="143">
      <c r="A90" s="1" t="n"/>
      <c r="B90" s="32">
        <f>'👥 Участники'!B90</f>
        <v/>
      </c>
      <c r="C90" s="33">
        <f>'👥 Участники'!C90</f>
        <v/>
      </c>
      <c r="D90" s="34">
        <f>'👥 Участники'!D90</f>
        <v/>
      </c>
      <c r="E90" s="40" t="n"/>
      <c r="F90" s="40" t="n"/>
      <c r="G90" s="40" t="n"/>
      <c r="H90" s="40" t="n"/>
      <c r="I90" s="36">
        <f>IF(AND(C90="",OR(E90="",E90=0)),"",(IF(E90=1,30,IF(E90=2,20,IF(E90=3,10,IF(E90&lt;&gt;"",1,0))))+IF(F90=1,30,IF(F90=2,20,IF(F90=3,10,IF(F90&lt;&gt;"",1,0))))+IF(G90=1,30,IF(G90=2,20,IF(G90=3,10,IF(G90&lt;&gt;"",1,0))))+IF(H90=1,30,IF(H90=2,20,IF(H90=3,10,IF(H90&lt;&gt;"",1,0))))))</f>
        <v/>
      </c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9.5" customHeight="1" s="143">
      <c r="A91" s="1" t="n"/>
      <c r="B91" s="37">
        <f>'👥 Участники'!B91</f>
        <v/>
      </c>
      <c r="C91" s="38">
        <f>'👥 Участники'!C91</f>
        <v/>
      </c>
      <c r="D91" s="39">
        <f>'👥 Участники'!D91</f>
        <v/>
      </c>
      <c r="E91" s="40" t="n"/>
      <c r="F91" s="40" t="n"/>
      <c r="G91" s="40" t="n"/>
      <c r="H91" s="40" t="n"/>
      <c r="I91" s="36">
        <f>IF(AND(C91="",OR(E91="",E91=0)),"",(IF(E91=1,30,IF(E91=2,20,IF(E91=3,10,IF(E91&lt;&gt;"",1,0))))+IF(F91=1,30,IF(F91=2,20,IF(F91=3,10,IF(F91&lt;&gt;"",1,0))))+IF(G91=1,30,IF(G91=2,20,IF(G91=3,10,IF(G91&lt;&gt;"",1,0))))+IF(H91=1,30,IF(H91=2,20,IF(H91=3,10,IF(H91&lt;&gt;"",1,0))))))</f>
        <v/>
      </c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9.5" customHeight="1" s="143">
      <c r="A92" s="1" t="n"/>
      <c r="B92" s="32">
        <f>'👥 Участники'!B92</f>
        <v/>
      </c>
      <c r="C92" s="33">
        <f>'👥 Участники'!C92</f>
        <v/>
      </c>
      <c r="D92" s="34">
        <f>'👥 Участники'!D92</f>
        <v/>
      </c>
      <c r="E92" s="40" t="n"/>
      <c r="F92" s="40" t="n"/>
      <c r="G92" s="40" t="n"/>
      <c r="H92" s="40" t="n"/>
      <c r="I92" s="36">
        <f>IF(AND(C92="",OR(E92="",E92=0)),"",(IF(E92=1,30,IF(E92=2,20,IF(E92=3,10,IF(E92&lt;&gt;"",1,0))))+IF(F92=1,30,IF(F92=2,20,IF(F92=3,10,IF(F92&lt;&gt;"",1,0))))+IF(G92=1,30,IF(G92=2,20,IF(G92=3,10,IF(G92&lt;&gt;"",1,0))))+IF(H92=1,30,IF(H92=2,20,IF(H92=3,10,IF(H92&lt;&gt;"",1,0))))))</f>
        <v/>
      </c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9.5" customHeight="1" s="143">
      <c r="A93" s="1" t="n"/>
      <c r="B93" s="37">
        <f>'👥 Участники'!B93</f>
        <v/>
      </c>
      <c r="C93" s="38">
        <f>'👥 Участники'!C93</f>
        <v/>
      </c>
      <c r="D93" s="39">
        <f>'👥 Участники'!D93</f>
        <v/>
      </c>
      <c r="E93" s="40" t="n"/>
      <c r="F93" s="40" t="n"/>
      <c r="G93" s="40" t="n"/>
      <c r="H93" s="40" t="n"/>
      <c r="I93" s="36">
        <f>IF(AND(C93="",OR(E93="",E93=0)),"",(IF(E93=1,30,IF(E93=2,20,IF(E93=3,10,IF(E93&lt;&gt;"",1,0))))+IF(F93=1,30,IF(F93=2,20,IF(F93=3,10,IF(F93&lt;&gt;"",1,0))))+IF(G93=1,30,IF(G93=2,20,IF(G93=3,10,IF(G93&lt;&gt;"",1,0))))+IF(H93=1,30,IF(H93=2,20,IF(H93=3,10,IF(H93&lt;&gt;"",1,0))))))</f>
        <v/>
      </c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9.5" customHeight="1" s="143">
      <c r="A94" s="1" t="n"/>
      <c r="B94" s="32">
        <f>'👥 Участники'!B94</f>
        <v/>
      </c>
      <c r="C94" s="33">
        <f>'👥 Участники'!C94</f>
        <v/>
      </c>
      <c r="D94" s="34">
        <f>'👥 Участники'!D94</f>
        <v/>
      </c>
      <c r="E94" s="40" t="n"/>
      <c r="F94" s="40" t="n"/>
      <c r="G94" s="40" t="n"/>
      <c r="H94" s="40" t="n"/>
      <c r="I94" s="36">
        <f>IF(AND(C94="",OR(E94="",E94=0)),"",(IF(E94=1,30,IF(E94=2,20,IF(E94=3,10,IF(E94&lt;&gt;"",1,0))))+IF(F94=1,30,IF(F94=2,20,IF(F94=3,10,IF(F94&lt;&gt;"",1,0))))+IF(G94=1,30,IF(G94=2,20,IF(G94=3,10,IF(G94&lt;&gt;"",1,0))))+IF(H94=1,30,IF(H94=2,20,IF(H94=3,10,IF(H94&lt;&gt;"",1,0)))))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9.5" customHeight="1" s="143">
      <c r="A95" s="1" t="n"/>
      <c r="B95" s="37">
        <f>'👥 Участники'!B95</f>
        <v/>
      </c>
      <c r="C95" s="38">
        <f>'👥 Участники'!C95</f>
        <v/>
      </c>
      <c r="D95" s="39">
        <f>'👥 Участники'!D95</f>
        <v/>
      </c>
      <c r="E95" s="40" t="n"/>
      <c r="F95" s="40" t="n"/>
      <c r="G95" s="40" t="n"/>
      <c r="H95" s="40" t="n"/>
      <c r="I95" s="36">
        <f>IF(AND(C95="",OR(E95="",E95=0)),"",(IF(E95=1,30,IF(E95=2,20,IF(E95=3,10,IF(E95&lt;&gt;"",1,0))))+IF(F95=1,30,IF(F95=2,20,IF(F95=3,10,IF(F95&lt;&gt;"",1,0))))+IF(G95=1,30,IF(G95=2,20,IF(G95=3,10,IF(G95&lt;&gt;"",1,0))))+IF(H95=1,30,IF(H95=2,20,IF(H95=3,10,IF(H95&lt;&gt;"",1,0))))))</f>
        <v/>
      </c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9.5" customHeight="1" s="143">
      <c r="A96" s="1" t="n"/>
      <c r="B96" s="32">
        <f>'👥 Участники'!B96</f>
        <v/>
      </c>
      <c r="C96" s="33">
        <f>'👥 Участники'!C96</f>
        <v/>
      </c>
      <c r="D96" s="34">
        <f>'👥 Участники'!D96</f>
        <v/>
      </c>
      <c r="E96" s="40" t="n"/>
      <c r="F96" s="40" t="n"/>
      <c r="G96" s="40" t="n"/>
      <c r="H96" s="40" t="n"/>
      <c r="I96" s="36">
        <f>IF(AND(C96="",OR(E96="",E96=0)),"",(IF(E96=1,30,IF(E96=2,20,IF(E96=3,10,IF(E96&lt;&gt;"",1,0))))+IF(F96=1,30,IF(F96=2,20,IF(F96=3,10,IF(F96&lt;&gt;"",1,0))))+IF(G96=1,30,IF(G96=2,20,IF(G96=3,10,IF(G96&lt;&gt;"",1,0))))+IF(H96=1,30,IF(H96=2,20,IF(H96=3,10,IF(H96&lt;&gt;"",1,0))))))</f>
        <v/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9.5" customHeight="1" s="143">
      <c r="A97" s="1" t="n"/>
      <c r="B97" s="37">
        <f>'👥 Участники'!B97</f>
        <v/>
      </c>
      <c r="C97" s="38">
        <f>'👥 Участники'!C97</f>
        <v/>
      </c>
      <c r="D97" s="39">
        <f>'👥 Участники'!D97</f>
        <v/>
      </c>
      <c r="E97" s="40" t="n"/>
      <c r="F97" s="40" t="n"/>
      <c r="G97" s="40" t="n"/>
      <c r="H97" s="40" t="n"/>
      <c r="I97" s="36">
        <f>IF(AND(C97="",OR(E97="",E97=0)),"",(IF(E97=1,30,IF(E97=2,20,IF(E97=3,10,IF(E97&lt;&gt;"",1,0))))+IF(F97=1,30,IF(F97=2,20,IF(F97=3,10,IF(F97&lt;&gt;"",1,0))))+IF(G97=1,30,IF(G97=2,20,IF(G97=3,10,IF(G97&lt;&gt;"",1,0))))+IF(H97=1,30,IF(H97=2,20,IF(H97=3,10,IF(H97&lt;&gt;"",1,0))))))</f>
        <v/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9.5" customHeight="1" s="143">
      <c r="A98" s="1" t="n"/>
      <c r="B98" s="32">
        <f>'👥 Участники'!B98</f>
        <v/>
      </c>
      <c r="C98" s="33">
        <f>'👥 Участники'!C98</f>
        <v/>
      </c>
      <c r="D98" s="34">
        <f>'👥 Участники'!D98</f>
        <v/>
      </c>
      <c r="E98" s="40" t="n"/>
      <c r="F98" s="40" t="n"/>
      <c r="G98" s="40" t="n"/>
      <c r="H98" s="40" t="n"/>
      <c r="I98" s="36">
        <f>IF(AND(C98="",OR(E98="",E98=0)),"",(IF(E98=1,30,IF(E98=2,20,IF(E98=3,10,IF(E98&lt;&gt;"",1,0))))+IF(F98=1,30,IF(F98=2,20,IF(F98=3,10,IF(F98&lt;&gt;"",1,0))))+IF(G98=1,30,IF(G98=2,20,IF(G98=3,10,IF(G98&lt;&gt;"",1,0))))+IF(H98=1,30,IF(H98=2,20,IF(H98=3,10,IF(H98&lt;&gt;"",1,0))))))</f>
        <v/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9.5" customHeight="1" s="143">
      <c r="A99" s="1" t="n"/>
      <c r="B99" s="37">
        <f>'👥 Участники'!B99</f>
        <v/>
      </c>
      <c r="C99" s="38">
        <f>'👥 Участники'!C99</f>
        <v/>
      </c>
      <c r="D99" s="39">
        <f>'👥 Участники'!D99</f>
        <v/>
      </c>
      <c r="E99" s="40" t="n"/>
      <c r="F99" s="40" t="n"/>
      <c r="G99" s="40" t="n"/>
      <c r="H99" s="40" t="n"/>
      <c r="I99" s="36">
        <f>IF(AND(C99="",OR(E99="",E99=0)),"",(IF(E99=1,30,IF(E99=2,20,IF(E99=3,10,IF(E99&lt;&gt;"",1,0))))+IF(F99=1,30,IF(F99=2,20,IF(F99=3,10,IF(F99&lt;&gt;"",1,0))))+IF(G99=1,30,IF(G99=2,20,IF(G99=3,10,IF(G99&lt;&gt;"",1,0))))+IF(H99=1,30,IF(H99=2,20,IF(H99=3,10,IF(H99&lt;&gt;"",1,0)))))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9.5" customHeight="1" s="143">
      <c r="A100" s="1" t="n"/>
      <c r="B100" s="32">
        <f>'👥 Участники'!B100</f>
        <v/>
      </c>
      <c r="C100" s="33">
        <f>'👥 Участники'!C100</f>
        <v/>
      </c>
      <c r="D100" s="34">
        <f>'👥 Участники'!D100</f>
        <v/>
      </c>
      <c r="E100" s="40" t="n"/>
      <c r="F100" s="40" t="n"/>
      <c r="G100" s="40" t="n"/>
      <c r="H100" s="40" t="n"/>
      <c r="I100" s="36">
        <f>IF(AND(C100="",OR(E100="",E100=0)),"",(IF(E100=1,30,IF(E100=2,20,IF(E100=3,10,IF(E100&lt;&gt;"",1,0))))+IF(F100=1,30,IF(F100=2,20,IF(F100=3,10,IF(F100&lt;&gt;"",1,0))))+IF(G100=1,30,IF(G100=2,20,IF(G100=3,10,IF(G100&lt;&gt;"",1,0))))+IF(H100=1,30,IF(H100=2,20,IF(H100=3,10,IF(H100&lt;&gt;"",1,0)))))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9.5" customHeight="1" s="143">
      <c r="A101" s="1" t="n"/>
      <c r="B101" s="37">
        <f>'👥 Участники'!B101</f>
        <v/>
      </c>
      <c r="C101" s="38">
        <f>'👥 Участники'!C101</f>
        <v/>
      </c>
      <c r="D101" s="39">
        <f>'👥 Участники'!D101</f>
        <v/>
      </c>
      <c r="E101" s="40" t="n"/>
      <c r="F101" s="40" t="n"/>
      <c r="G101" s="40" t="n"/>
      <c r="H101" s="40" t="n"/>
      <c r="I101" s="36">
        <f>IF(AND(C101="",OR(E101="",E101=0)),"",(IF(E101=1,30,IF(E101=2,20,IF(E101=3,10,IF(E101&lt;&gt;"",1,0))))+IF(F101=1,30,IF(F101=2,20,IF(F101=3,10,IF(F101&lt;&gt;"",1,0))))+IF(G101=1,30,IF(G101=2,20,IF(G101=3,10,IF(G101&lt;&gt;"",1,0))))+IF(H101=1,30,IF(H101=2,20,IF(H101=3,10,IF(H101&lt;&gt;"",1,0))))))</f>
        <v/>
      </c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9.5" customHeight="1" s="143">
      <c r="A102" s="1" t="n"/>
      <c r="B102" s="32">
        <f>'👥 Участники'!B102</f>
        <v/>
      </c>
      <c r="C102" s="33">
        <f>'👥 Участники'!C102</f>
        <v/>
      </c>
      <c r="D102" s="34">
        <f>'👥 Участники'!D102</f>
        <v/>
      </c>
      <c r="E102" s="40" t="n"/>
      <c r="F102" s="40" t="n"/>
      <c r="G102" s="40" t="n"/>
      <c r="H102" s="40" t="n"/>
      <c r="I102" s="36">
        <f>IF(AND(C102="",OR(E102="",E102=0)),"",(IF(E102=1,30,IF(E102=2,20,IF(E102=3,10,IF(E102&lt;&gt;"",1,0))))+IF(F102=1,30,IF(F102=2,20,IF(F102=3,10,IF(F102&lt;&gt;"",1,0))))+IF(G102=1,30,IF(G102=2,20,IF(G102=3,10,IF(G102&lt;&gt;"",1,0))))+IF(H102=1,30,IF(H102=2,20,IF(H102=3,10,IF(H102&lt;&gt;"",1,0))))))</f>
        <v/>
      </c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9.5" customHeight="1" s="143">
      <c r="A103" s="1" t="n"/>
      <c r="B103" s="37">
        <f>'👥 Участники'!B103</f>
        <v/>
      </c>
      <c r="C103" s="38">
        <f>'👥 Участники'!C103</f>
        <v/>
      </c>
      <c r="D103" s="39">
        <f>'👥 Участники'!D103</f>
        <v/>
      </c>
      <c r="E103" s="40" t="n"/>
      <c r="F103" s="40" t="n"/>
      <c r="G103" s="40" t="n"/>
      <c r="H103" s="40" t="n"/>
      <c r="I103" s="36">
        <f>IF(AND(C103="",OR(E103="",E103=0)),"",(IF(E103=1,30,IF(E103=2,20,IF(E103=3,10,IF(E103&lt;&gt;"",1,0))))+IF(F103=1,30,IF(F103=2,20,IF(F103=3,10,IF(F103&lt;&gt;"",1,0))))+IF(G103=1,30,IF(G103=2,20,IF(G103=3,10,IF(G103&lt;&gt;"",1,0))))+IF(H103=1,30,IF(H103=2,20,IF(H103=3,10,IF(H103&lt;&gt;"",1,0)))))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>
        <f>IF(AND(C104="",OR(E104="",E104=0)),"",(IF(E104=1,30,IF(E104=2,20,IF(E104=3,10,IF(E104&lt;&gt;"",1,0))))+IF(F104=1,30,IF(F104=2,20,IF(F104=3,10,IF(F104&lt;&gt;"",1,0))))+IF(G104=1,30,IF(G104=2,20,IF(G104=3,10,IF(G104&lt;&gt;"",1,0))))+IF(H104=1,30,IF(H104=2,20,IF(H104=3,10,IF(H104&lt;&gt;"",1,0))))))</f>
        <v/>
      </c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>
        <f>IF(AND(C105="",OR(E105="",E105=0)),"",(IF(E105=1,30,IF(E105=2,20,IF(E105=3,10,IF(E105&lt;&gt;"",1,0))))+IF(F105=1,30,IF(F105=2,20,IF(F105=3,10,IF(F105&lt;&gt;"",1,0))))+IF(G105=1,30,IF(G105=2,20,IF(G105=3,10,IF(G105&lt;&gt;"",1,0))))+IF(H105=1,30,IF(H105=2,20,IF(H105=3,10,IF(H105&lt;&gt;"",1,0))))))</f>
        <v/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>
        <f>IF(AND(C106="",OR(E106="",E106=0)),"",(IF(E106=1,30,IF(E106=2,20,IF(E106=3,10,IF(E106&lt;&gt;"",1,0))))+IF(F106=1,30,IF(F106=2,20,IF(F106=3,10,IF(F106&lt;&gt;"",1,0))))+IF(G106=1,30,IF(G106=2,20,IF(G106=3,10,IF(G106&lt;&gt;"",1,0))))+IF(H106=1,30,IF(H106=2,20,IF(H106=3,10,IF(H106&lt;&gt;"",1,0))))))</f>
        <v/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>
        <f>IF(AND(C107="",OR(E107="",E107=0)),"",(IF(E107=1,30,IF(E107=2,20,IF(E107=3,10,IF(E107&lt;&gt;"",1,0))))+IF(F107=1,30,IF(F107=2,20,IF(F107=3,10,IF(F107&lt;&gt;"",1,0))))+IF(G107=1,30,IF(G107=2,20,IF(G107=3,10,IF(G107&lt;&gt;"",1,0))))+IF(H107=1,30,IF(H107=2,20,IF(H107=3,10,IF(H107&lt;&gt;"",1,0)))))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>
        <f>IF(AND(C108="",OR(E108="",E108=0)),"",(IF(E108=1,30,IF(E108=2,20,IF(E108=3,10,IF(E108&lt;&gt;"",1,0))))+IF(F108=1,30,IF(F108=2,20,IF(F108=3,10,IF(F108&lt;&gt;"",1,0))))+IF(G108=1,30,IF(G108=2,20,IF(G108=3,10,IF(G108&lt;&gt;"",1,0))))+IF(H108=1,30,IF(H108=2,20,IF(H108=3,10,IF(H108&lt;&gt;"",1,0)))))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>
        <f>IF(AND(C109="",OR(E109="",E109=0)),"",(IF(E109=1,30,IF(E109=2,20,IF(E109=3,10,IF(E109&lt;&gt;"",1,0))))+IF(F109=1,30,IF(F109=2,20,IF(F109=3,10,IF(F109&lt;&gt;"",1,0))))+IF(G109=1,30,IF(G109=2,20,IF(G109=3,10,IF(G109&lt;&gt;"",1,0))))+IF(H109=1,30,IF(H109=2,20,IF(H109=3,10,IF(H109&lt;&gt;"",1,0))))))</f>
        <v/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>
        <f>IF(AND(C110="",OR(E110="",E110=0)),"",(IF(E110=1,30,IF(E110=2,20,IF(E110=3,10,IF(E110&lt;&gt;"",1,0))))+IF(F110=1,30,IF(F110=2,20,IF(F110=3,10,IF(F110&lt;&gt;"",1,0))))+IF(G110=1,30,IF(G110=2,20,IF(G110=3,10,IF(G110&lt;&gt;"",1,0))))+IF(H110=1,30,IF(H110=2,20,IF(H110=3,10,IF(H110&lt;&gt;"",1,0))))))</f>
        <v/>
      </c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>
        <f>IF(AND(C111="",OR(E111="",E111=0)),"",(IF(E111=1,30,IF(E111=2,20,IF(E111=3,10,IF(E111&lt;&gt;"",1,0))))+IF(F111=1,30,IF(F111=2,20,IF(F111=3,10,IF(F111&lt;&gt;"",1,0))))+IF(G111=1,30,IF(G111=2,20,IF(G111=3,10,IF(G111&lt;&gt;"",1,0))))+IF(H111=1,30,IF(H111=2,20,IF(H111=3,10,IF(H111&lt;&gt;"",1,0))))))</f>
        <v/>
      </c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>
        <f>IF(AND(C112="",OR(E112="",E112=0)),"",(IF(E112=1,30,IF(E112=2,20,IF(E112=3,10,IF(E112&lt;&gt;"",1,0))))+IF(F112=1,30,IF(F112=2,20,IF(F112=3,10,IF(F112&lt;&gt;"",1,0))))+IF(G112=1,30,IF(G112=2,20,IF(G112=3,10,IF(G112&lt;&gt;"",1,0))))+IF(H112=1,30,IF(H112=2,20,IF(H112=3,10,IF(H112&lt;&gt;"",1,0)))))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>
        <f>IF(AND(C113="",OR(E113="",E113=0)),"",(IF(E113=1,30,IF(E113=2,20,IF(E113=3,10,IF(E113&lt;&gt;"",1,0))))+IF(F113=1,30,IF(F113=2,20,IF(F113=3,10,IF(F113&lt;&gt;"",1,0))))+IF(G113=1,30,IF(G113=2,20,IF(G113=3,10,IF(G113&lt;&gt;"",1,0))))+IF(H113=1,30,IF(H113=2,20,IF(H113=3,10,IF(H113&lt;&gt;"",1,0))))))</f>
        <v/>
      </c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>
        <f>IF(AND(C114="",OR(E114="",E114=0)),"",(IF(E114=1,30,IF(E114=2,20,IF(E114=3,10,IF(E114&lt;&gt;"",1,0))))+IF(F114=1,30,IF(F114=2,20,IF(F114=3,10,IF(F114&lt;&gt;"",1,0))))+IF(G114=1,30,IF(G114=2,20,IF(G114=3,10,IF(G114&lt;&gt;"",1,0))))+IF(H114=1,30,IF(H114=2,20,IF(H114=3,10,IF(H114&lt;&gt;"",1,0))))))</f>
        <v/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>
        <f>IF(AND(C115="",OR(E115="",E115=0)),"",(IF(E115=1,30,IF(E115=2,20,IF(E115=3,10,IF(E115&lt;&gt;"",1,0))))+IF(F115=1,30,IF(F115=2,20,IF(F115=3,10,IF(F115&lt;&gt;"",1,0))))+IF(G115=1,30,IF(G115=2,20,IF(G115=3,10,IF(G115&lt;&gt;"",1,0))))+IF(H115=1,30,IF(H115=2,20,IF(H115=3,10,IF(H115&lt;&gt;"",1,0))))))</f>
        <v/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>
        <f>IF(AND(C116="",OR(E116="",E116=0)),"",(IF(E116=1,30,IF(E116=2,20,IF(E116=3,10,IF(E116&lt;&gt;"",1,0))))+IF(F116=1,30,IF(F116=2,20,IF(F116=3,10,IF(F116&lt;&gt;"",1,0))))+IF(G116=1,30,IF(G116=2,20,IF(G116=3,10,IF(G116&lt;&gt;"",1,0))))+IF(H116=1,30,IF(H116=2,20,IF(H116=3,10,IF(H116&lt;&gt;"",1,0)))))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>
        <f>IF(AND(C117="",OR(E117="",E117=0)),"",(IF(E117=1,30,IF(E117=2,20,IF(E117=3,10,IF(E117&lt;&gt;"",1,0))))+IF(F117=1,30,IF(F117=2,20,IF(F117=3,10,IF(F117&lt;&gt;"",1,0))))+IF(G117=1,30,IF(G117=2,20,IF(G117=3,10,IF(G117&lt;&gt;"",1,0))))+IF(H117=1,30,IF(H117=2,20,IF(H117=3,10,IF(H117&lt;&gt;"",1,0)))))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>
        <f>IF(AND(C118="",OR(E118="",E118=0)),"",(IF(E118=1,30,IF(E118=2,20,IF(E118=3,10,IF(E118&lt;&gt;"",1,0))))+IF(F118=1,30,IF(F118=2,20,IF(F118=3,10,IF(F118&lt;&gt;"",1,0))))+IF(G118=1,30,IF(G118=2,20,IF(G118=3,10,IF(G118&lt;&gt;"",1,0))))+IF(H118=1,30,IF(H118=2,20,IF(H118=3,10,IF(H118&lt;&gt;"",1,0))))))</f>
        <v/>
      </c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>
        <f>IF(AND(C119="",OR(E119="",E119=0)),"",(IF(E119=1,30,IF(E119=2,20,IF(E119=3,10,IF(E119&lt;&gt;"",1,0))))+IF(F119=1,30,IF(F119=2,20,IF(F119=3,10,IF(F119&lt;&gt;"",1,0))))+IF(G119=1,30,IF(G119=2,20,IF(G119=3,10,IF(G119&lt;&gt;"",1,0))))+IF(H119=1,30,IF(H119=2,20,IF(H119=3,10,IF(H119&lt;&gt;"",1,0))))))</f>
        <v/>
      </c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>
        <f>IF(AND(C120="",OR(E120="",E120=0)),"",(IF(E120=1,30,IF(E120=2,20,IF(E120=3,10,IF(E120&lt;&gt;"",1,0))))+IF(F120=1,30,IF(F120=2,20,IF(F120=3,10,IF(F120&lt;&gt;"",1,0))))+IF(G120=1,30,IF(G120=2,20,IF(G120=3,10,IF(G120&lt;&gt;"",1,0))))+IF(H120=1,30,IF(H120=2,20,IF(H120=3,10,IF(H120&lt;&gt;"",1,0))))))</f>
        <v/>
      </c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>
        <f>IF(AND(C121="",OR(E121="",E121=0)),"",(IF(E121=1,30,IF(E121=2,20,IF(E121=3,10,IF(E121&lt;&gt;"",1,0))))+IF(F121=1,30,IF(F121=2,20,IF(F121=3,10,IF(F121&lt;&gt;"",1,0))))+IF(G121=1,30,IF(G121=2,20,IF(G121=3,10,IF(G121&lt;&gt;"",1,0))))+IF(H121=1,30,IF(H121=2,20,IF(H121=3,10,IF(H121&lt;&gt;"",1,0)))))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>
        <f>IF(AND(C122="",OR(E122="",E122=0)),"",(IF(E122=1,30,IF(E122=2,20,IF(E122=3,10,IF(E122&lt;&gt;"",1,0))))+IF(F122=1,30,IF(F122=2,20,IF(F122=3,10,IF(F122&lt;&gt;"",1,0))))+IF(G122=1,30,IF(G122=2,20,IF(G122=3,10,IF(G122&lt;&gt;"",1,0))))+IF(H122=1,30,IF(H122=2,20,IF(H122=3,10,IF(H122&lt;&gt;"",1,0))))))</f>
        <v/>
      </c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>
        <f>IF(AND(C123="",OR(E123="",E123=0)),"",(IF(E123=1,30,IF(E123=2,20,IF(E123=3,10,IF(E123&lt;&gt;"",1,0))))+IF(F123=1,30,IF(F123=2,20,IF(F123=3,10,IF(F123&lt;&gt;"",1,0))))+IF(G123=1,30,IF(G123=2,20,IF(G123=3,10,IF(G123&lt;&gt;"",1,0))))+IF(H123=1,30,IF(H123=2,20,IF(H123=3,10,IF(H123&lt;&gt;"",1,0))))))</f>
        <v/>
      </c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>
        <f>IF(AND(C124="",OR(E124="",E124=0)),"",(IF(E124=1,30,IF(E124=2,20,IF(E124=3,10,IF(E124&lt;&gt;"",1,0))))+IF(F124=1,30,IF(F124=2,20,IF(F124=3,10,IF(F124&lt;&gt;"",1,0))))+IF(G124=1,30,IF(G124=2,20,IF(G124=3,10,IF(G124&lt;&gt;"",1,0))))+IF(H124=1,30,IF(H124=2,20,IF(H124=3,10,IF(H124&lt;&gt;"",1,0))))))</f>
        <v/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>
        <f>IF(AND(C125="",OR(E125="",E125=0)),"",(IF(E125=1,30,IF(E125=2,20,IF(E125=3,10,IF(E125&lt;&gt;"",1,0))))+IF(F125=1,30,IF(F125=2,20,IF(F125=3,10,IF(F125&lt;&gt;"",1,0))))+IF(G125=1,30,IF(G125=2,20,IF(G125=3,10,IF(G125&lt;&gt;"",1,0))))+IF(H125=1,30,IF(H125=2,20,IF(H125=3,10,IF(H125&lt;&gt;"",1,0)))))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>
        <f>IF(AND(C126="",OR(E126="",E126=0)),"",(IF(E126=1,30,IF(E126=2,20,IF(E126=3,10,IF(E126&lt;&gt;"",1,0))))+IF(F126=1,30,IF(F126=2,20,IF(F126=3,10,IF(F126&lt;&gt;"",1,0))))+IF(G126=1,30,IF(G126=2,20,IF(G126=3,10,IF(G126&lt;&gt;"",1,0))))+IF(H126=1,30,IF(H126=2,20,IF(H126=3,10,IF(H126&lt;&gt;"",1,0)))))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>
        <f>IF(AND(C127="",OR(E127="",E127=0)),"",(IF(E127=1,30,IF(E127=2,20,IF(E127=3,10,IF(E127&lt;&gt;"",1,0))))+IF(F127=1,30,IF(F127=2,20,IF(F127=3,10,IF(F127&lt;&gt;"",1,0))))+IF(G127=1,30,IF(G127=2,20,IF(G127=3,10,IF(G127&lt;&gt;"",1,0))))+IF(H127=1,30,IF(H127=2,20,IF(H127=3,10,IF(H127&lt;&gt;"",1,0)))))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>
        <f>IF(AND(C128="",OR(E128="",E128=0)),"",(IF(E128=1,30,IF(E128=2,20,IF(E128=3,10,IF(E128&lt;&gt;"",1,0))))+IF(F128=1,30,IF(F128=2,20,IF(F128=3,10,IF(F128&lt;&gt;"",1,0))))+IF(G128=1,30,IF(G128=2,20,IF(G128=3,10,IF(G128&lt;&gt;"",1,0))))+IF(H128=1,30,IF(H128=2,20,IF(H128=3,10,IF(H128&lt;&gt;"",1,0)))))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>
        <f>IF(AND(C129="",OR(E129="",E129=0)),"",(IF(E129=1,30,IF(E129=2,20,IF(E129=3,10,IF(E129&lt;&gt;"",1,0))))+IF(F129=1,30,IF(F129=2,20,IF(F129=3,10,IF(F129&lt;&gt;"",1,0))))+IF(G129=1,30,IF(G129=2,20,IF(G129=3,10,IF(G129&lt;&gt;"",1,0))))+IF(H129=1,30,IF(H129=2,20,IF(H129=3,10,IF(H129&lt;&gt;"",1,0))))))</f>
        <v/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>
        <f>IF(AND(C130="",OR(E130="",E130=0)),"",(IF(E130=1,30,IF(E130=2,20,IF(E130=3,10,IF(E130&lt;&gt;"",1,0))))+IF(F130=1,30,IF(F130=2,20,IF(F130=3,10,IF(F130&lt;&gt;"",1,0))))+IF(G130=1,30,IF(G130=2,20,IF(G130=3,10,IF(G130&lt;&gt;"",1,0))))+IF(H130=1,30,IF(H130=2,20,IF(H130=3,10,IF(H130&lt;&gt;"",1,0)))))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>
        <f>IF(AND(C131="",OR(E131="",E131=0)),"",(IF(E131=1,30,IF(E131=2,20,IF(E131=3,10,IF(E131&lt;&gt;"",1,0))))+IF(F131=1,30,IF(F131=2,20,IF(F131=3,10,IF(F131&lt;&gt;"",1,0))))+IF(G131=1,30,IF(G131=2,20,IF(G131=3,10,IF(G131&lt;&gt;"",1,0))))+IF(H131=1,30,IF(H131=2,20,IF(H131=3,10,IF(H131&lt;&gt;"",1,0))))))</f>
        <v/>
      </c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>
        <f>IF(AND(C132="",OR(E132="",E132=0)),"",(IF(E132=1,30,IF(E132=2,20,IF(E132=3,10,IF(E132&lt;&gt;"",1,0))))+IF(F132=1,30,IF(F132=2,20,IF(F132=3,10,IF(F132&lt;&gt;"",1,0))))+IF(G132=1,30,IF(G132=2,20,IF(G132=3,10,IF(G132&lt;&gt;"",1,0))))+IF(H132=1,30,IF(H132=2,20,IF(H132=3,10,IF(H132&lt;&gt;"",1,0))))))</f>
        <v/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>
        <f>IF(AND(C133="",OR(E133="",E133=0)),"",(IF(E133=1,30,IF(E133=2,20,IF(E133=3,10,IF(E133&lt;&gt;"",1,0))))+IF(F133=1,30,IF(F133=2,20,IF(F133=3,10,IF(F133&lt;&gt;"",1,0))))+IF(G133=1,30,IF(G133=2,20,IF(G133=3,10,IF(G133&lt;&gt;"",1,0))))+IF(H133=1,30,IF(H133=2,20,IF(H133=3,10,IF(H133&lt;&gt;"",1,0))))))</f>
        <v/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>
        <f>IF(AND(C134="",OR(E134="",E134=0)),"",(IF(E134=1,30,IF(E134=2,20,IF(E134=3,10,IF(E134&lt;&gt;"",1,0))))+IF(F134=1,30,IF(F134=2,20,IF(F134=3,10,IF(F134&lt;&gt;"",1,0))))+IF(G134=1,30,IF(G134=2,20,IF(G134=3,10,IF(G134&lt;&gt;"",1,0))))+IF(H134=1,30,IF(H134=2,20,IF(H134=3,10,IF(H134&lt;&gt;"",1,0)))))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>
        <f>IF(AND(C135="",OR(E135="",E135=0)),"",(IF(E135=1,30,IF(E135=2,20,IF(E135=3,10,IF(E135&lt;&gt;"",1,0))))+IF(F135=1,30,IF(F135=2,20,IF(F135=3,10,IF(F135&lt;&gt;"",1,0))))+IF(G135=1,30,IF(G135=2,20,IF(G135=3,10,IF(G135&lt;&gt;"",1,0))))+IF(H135=1,30,IF(H135=2,20,IF(H135=3,10,IF(H135&lt;&gt;"",1,0))))))</f>
        <v/>
      </c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>
        <f>IF(AND(C136="",OR(E136="",E136=0)),"",(IF(E136=1,30,IF(E136=2,20,IF(E136=3,10,IF(E136&lt;&gt;"",1,0))))+IF(F136=1,30,IF(F136=2,20,IF(F136=3,10,IF(F136&lt;&gt;"",1,0))))+IF(G136=1,30,IF(G136=2,20,IF(G136=3,10,IF(G136&lt;&gt;"",1,0))))+IF(H136=1,30,IF(H136=2,20,IF(H136=3,10,IF(H136&lt;&gt;"",1,0))))))</f>
        <v/>
      </c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>
        <f>IF(AND(C137="",OR(E137="",E137=0)),"",(IF(E137=1,30,IF(E137=2,20,IF(E137=3,10,IF(E137&lt;&gt;"",1,0))))+IF(F137=1,30,IF(F137=2,20,IF(F137=3,10,IF(F137&lt;&gt;"",1,0))))+IF(G137=1,30,IF(G137=2,20,IF(G137=3,10,IF(G137&lt;&gt;"",1,0))))+IF(H137=1,30,IF(H137=2,20,IF(H137=3,10,IF(H137&lt;&gt;"",1,0))))))</f>
        <v/>
      </c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>
        <f>IF(AND(C138="",OR(E138="",E138=0)),"",(IF(E138=1,30,IF(E138=2,20,IF(E138=3,10,IF(E138&lt;&gt;"",1,0))))+IF(F138=1,30,IF(F138=2,20,IF(F138=3,10,IF(F138&lt;&gt;"",1,0))))+IF(G138=1,30,IF(G138=2,20,IF(G138=3,10,IF(G138&lt;&gt;"",1,0))))+IF(H138=1,30,IF(H138=2,20,IF(H138=3,10,IF(H138&lt;&gt;"",1,0))))))</f>
        <v/>
      </c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>
        <f>IF(AND(C139="",OR(E139="",E139=0)),"",(IF(E139=1,30,IF(E139=2,20,IF(E139=3,10,IF(E139&lt;&gt;"",1,0))))+IF(F139=1,30,IF(F139=2,20,IF(F139=3,10,IF(F139&lt;&gt;"",1,0))))+IF(G139=1,30,IF(G139=2,20,IF(G139=3,10,IF(G139&lt;&gt;"",1,0))))+IF(H139=1,30,IF(H139=2,20,IF(H139=3,10,IF(H139&lt;&gt;"",1,0))))))</f>
        <v/>
      </c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>
        <f>IF(AND(C140="",OR(E140="",E140=0)),"",(IF(E140=1,30,IF(E140=2,20,IF(E140=3,10,IF(E140&lt;&gt;"",1,0))))+IF(F140=1,30,IF(F140=2,20,IF(F140=3,10,IF(F140&lt;&gt;"",1,0))))+IF(G140=1,30,IF(G140=2,20,IF(G140=3,10,IF(G140&lt;&gt;"",1,0))))+IF(H140=1,30,IF(H140=2,20,IF(H140=3,10,IF(H140&lt;&gt;"",1,0))))))</f>
        <v/>
      </c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>
        <f>IF(AND(C141="",OR(E141="",E141=0)),"",(IF(E141=1,30,IF(E141=2,20,IF(E141=3,10,IF(E141&lt;&gt;"",1,0))))+IF(F141=1,30,IF(F141=2,20,IF(F141=3,10,IF(F141&lt;&gt;"",1,0))))+IF(G141=1,30,IF(G141=2,20,IF(G141=3,10,IF(G141&lt;&gt;"",1,0))))+IF(H141=1,30,IF(H141=2,20,IF(H141=3,10,IF(H141&lt;&gt;"",1,0))))))</f>
        <v/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>
        <f>IF(AND(C142="",OR(E142="",E142=0)),"",(IF(E142=1,30,IF(E142=2,20,IF(E142=3,10,IF(E142&lt;&gt;"",1,0))))+IF(F142=1,30,IF(F142=2,20,IF(F142=3,10,IF(F142&lt;&gt;"",1,0))))+IF(G142=1,30,IF(G142=2,20,IF(G142=3,10,IF(G142&lt;&gt;"",1,0))))+IF(H142=1,30,IF(H142=2,20,IF(H142=3,10,IF(H142&lt;&gt;"",1,0))))))</f>
        <v/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>
        <f>IF(AND(C143="",OR(E143="",E143=0)),"",(IF(E143=1,30,IF(E143=2,20,IF(E143=3,10,IF(E143&lt;&gt;"",1,0))))+IF(F143=1,30,IF(F143=2,20,IF(F143=3,10,IF(F143&lt;&gt;"",1,0))))+IF(G143=1,30,IF(G143=2,20,IF(G143=3,10,IF(G143&lt;&gt;"",1,0))))+IF(H143=1,30,IF(H143=2,20,IF(H143=3,10,IF(H143&lt;&gt;"",1,0)))))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>
        <f>IF(AND(C144="",OR(E144="",E144=0)),"",(IF(E144=1,30,IF(E144=2,20,IF(E144=3,10,IF(E144&lt;&gt;"",1,0))))+IF(F144=1,30,IF(F144=2,20,IF(F144=3,10,IF(F144&lt;&gt;"",1,0))))+IF(G144=1,30,IF(G144=2,20,IF(G144=3,10,IF(G144&lt;&gt;"",1,0))))+IF(H144=1,30,IF(H144=2,20,IF(H144=3,10,IF(H144&lt;&gt;"",1,0)))))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>
        <f>IF(AND(C145="",OR(E145="",E145=0)),"",(IF(E145=1,30,IF(E145=2,20,IF(E145=3,10,IF(E145&lt;&gt;"",1,0))))+IF(F145=1,30,IF(F145=2,20,IF(F145=3,10,IF(F145&lt;&gt;"",1,0))))+IF(G145=1,30,IF(G145=2,20,IF(G145=3,10,IF(G145&lt;&gt;"",1,0))))+IF(H145=1,30,IF(H145=2,20,IF(H145=3,10,IF(H145&lt;&gt;"",1,0))))))</f>
        <v/>
      </c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>
        <f>IF(AND(C146="",OR(E146="",E146=0)),"",(IF(E146=1,30,IF(E146=2,20,IF(E146=3,10,IF(E146&lt;&gt;"",1,0))))+IF(F146=1,30,IF(F146=2,20,IF(F146=3,10,IF(F146&lt;&gt;"",1,0))))+IF(G146=1,30,IF(G146=2,20,IF(G146=3,10,IF(G146&lt;&gt;"",1,0))))+IF(H146=1,30,IF(H146=2,20,IF(H146=3,10,IF(H146&lt;&gt;"",1,0))))))</f>
        <v/>
      </c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>
        <f>IF(AND(C147="",OR(E147="",E147=0)),"",(IF(E147=1,30,IF(E147=2,20,IF(E147=3,10,IF(E147&lt;&gt;"",1,0))))+IF(F147=1,30,IF(F147=2,20,IF(F147=3,10,IF(F147&lt;&gt;"",1,0))))+IF(G147=1,30,IF(G147=2,20,IF(G147=3,10,IF(G147&lt;&gt;"",1,0))))+IF(H147=1,30,IF(H147=2,20,IF(H147=3,10,IF(H147&lt;&gt;"",1,0))))))</f>
        <v/>
      </c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>
        <f>IF(AND(C148="",OR(E148="",E148=0)),"",(IF(E148=1,30,IF(E148=2,20,IF(E148=3,10,IF(E148&lt;&gt;"",1,0))))+IF(F148=1,30,IF(F148=2,20,IF(F148=3,10,IF(F148&lt;&gt;"",1,0))))+IF(G148=1,30,IF(G148=2,20,IF(G148=3,10,IF(G148&lt;&gt;"",1,0))))+IF(H148=1,30,IF(H148=2,20,IF(H148=3,10,IF(H148&lt;&gt;"",1,0)))))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>
        <f>IF(AND(C149="",OR(E149="",E149=0)),"",(IF(E149=1,30,IF(E149=2,20,IF(E149=3,10,IF(E149&lt;&gt;"",1,0))))+IF(F149=1,30,IF(F149=2,20,IF(F149=3,10,IF(F149&lt;&gt;"",1,0))))+IF(G149=1,30,IF(G149=2,20,IF(G149=3,10,IF(G149&lt;&gt;"",1,0))))+IF(H149=1,30,IF(H149=2,20,IF(H149=3,10,IF(H149&lt;&gt;"",1,0))))))</f>
        <v/>
      </c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>
        <f>IF(AND(C150="",OR(E150="",E150=0)),"",(IF(E150=1,30,IF(E150=2,20,IF(E150=3,10,IF(E150&lt;&gt;"",1,0))))+IF(F150=1,30,IF(F150=2,20,IF(F150=3,10,IF(F150&lt;&gt;"",1,0))))+IF(G150=1,30,IF(G150=2,20,IF(G150=3,10,IF(G150&lt;&gt;"",1,0))))+IF(H150=1,30,IF(H150=2,20,IF(H150=3,10,IF(H150&lt;&gt;"",1,0))))))</f>
        <v/>
      </c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>
        <f>IF(AND(C151="",OR(E151="",E151=0)),"",(IF(E151=1,30,IF(E151=2,20,IF(E151=3,10,IF(E151&lt;&gt;"",1,0))))+IF(F151=1,30,IF(F151=2,20,IF(F151=3,10,IF(F151&lt;&gt;"",1,0))))+IF(G151=1,30,IF(G151=2,20,IF(G151=3,10,IF(G151&lt;&gt;"",1,0))))+IF(H151=1,30,IF(H151=2,20,IF(H151=3,10,IF(H151&lt;&gt;"",1,0))))))</f>
        <v/>
      </c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>
        <f>IF(AND(C152="",OR(E152="",E152=0)),"",(IF(E152=1,30,IF(E152=2,20,IF(E152=3,10,IF(E152&lt;&gt;"",1,0))))+IF(F152=1,30,IF(F152=2,20,IF(F152=3,10,IF(F152&lt;&gt;"",1,0))))+IF(G152=1,30,IF(G152=2,20,IF(G152=3,10,IF(G152&lt;&gt;"",1,0))))+IF(H152=1,30,IF(H152=2,20,IF(H152=3,10,IF(H152&lt;&gt;"",1,0))))))</f>
        <v/>
      </c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>
        <f>IF(AND(C153="",OR(E153="",E153=0)),"",(IF(E153=1,30,IF(E153=2,20,IF(E153=3,10,IF(E153&lt;&gt;"",1,0))))+IF(F153=1,30,IF(F153=2,20,IF(F153=3,10,IF(F153&lt;&gt;"",1,0))))+IF(G153=1,30,IF(G153=2,20,IF(G153=3,10,IF(G153&lt;&gt;"",1,0))))+IF(H153=1,30,IF(H153=2,20,IF(H153=3,10,IF(H153&lt;&gt;"",1,0))))))</f>
        <v/>
      </c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>
        <f>IF(AND(C154="",OR(E154="",E154=0)),"",(IF(E154=1,30,IF(E154=2,20,IF(E154=3,10,IF(E154&lt;&gt;"",1,0))))+IF(F154=1,30,IF(F154=2,20,IF(F154=3,10,IF(F154&lt;&gt;"",1,0))))+IF(G154=1,30,IF(G154=2,20,IF(G154=3,10,IF(G154&lt;&gt;"",1,0))))+IF(H154=1,30,IF(H154=2,20,IF(H154=3,10,IF(H154&lt;&gt;"",1,0))))))</f>
        <v/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>
        <f>IF(AND(C155="",OR(E155="",E155=0)),"",(IF(E155=1,30,IF(E155=2,20,IF(E155=3,10,IF(E155&lt;&gt;"",1,0))))+IF(F155=1,30,IF(F155=2,20,IF(F155=3,10,IF(F155&lt;&gt;"",1,0))))+IF(G155=1,30,IF(G155=2,20,IF(G155=3,10,IF(G155&lt;&gt;"",1,0))))+IF(H155=1,30,IF(H155=2,20,IF(H155=3,10,IF(H155&lt;&gt;"",1,0))))))</f>
        <v/>
      </c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>
        <f>IF(AND(C156="",OR(E156="",E156=0)),"",(IF(E156=1,30,IF(E156=2,20,IF(E156=3,10,IF(E156&lt;&gt;"",1,0))))+IF(F156=1,30,IF(F156=2,20,IF(F156=3,10,IF(F156&lt;&gt;"",1,0))))+IF(G156=1,30,IF(G156=2,20,IF(G156=3,10,IF(G156&lt;&gt;"",1,0))))+IF(H156=1,30,IF(H156=2,20,IF(H156=3,10,IF(H156&lt;&gt;"",1,0))))))</f>
        <v/>
      </c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>
        <f>IF(AND(C157="",OR(E157="",E157=0)),"",(IF(E157=1,30,IF(E157=2,20,IF(E157=3,10,IF(E157&lt;&gt;"",1,0))))+IF(F157=1,30,IF(F157=2,20,IF(F157=3,10,IF(F157&lt;&gt;"",1,0))))+IF(G157=1,30,IF(G157=2,20,IF(G157=3,10,IF(G157&lt;&gt;"",1,0))))+IF(H157=1,30,IF(H157=2,20,IF(H157=3,10,IF(H157&lt;&gt;"",1,0)))))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>
        <f>IF(AND(C158="",OR(E158="",E158=0)),"",(IF(E158=1,30,IF(E158=2,20,IF(E158=3,10,IF(E158&lt;&gt;"",1,0))))+IF(F158=1,30,IF(F158=2,20,IF(F158=3,10,IF(F158&lt;&gt;"",1,0))))+IF(G158=1,30,IF(G158=2,20,IF(G158=3,10,IF(G158&lt;&gt;"",1,0))))+IF(H158=1,30,IF(H158=2,20,IF(H158=3,10,IF(H158&lt;&gt;"",1,0))))))</f>
        <v/>
      </c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>
        <f>IF(AND(C159="",OR(E159="",E159=0)),"",(IF(E159=1,30,IF(E159=2,20,IF(E159=3,10,IF(E159&lt;&gt;"",1,0))))+IF(F159=1,30,IF(F159=2,20,IF(F159=3,10,IF(F159&lt;&gt;"",1,0))))+IF(G159=1,30,IF(G159=2,20,IF(G159=3,10,IF(G159&lt;&gt;"",1,0))))+IF(H159=1,30,IF(H159=2,20,IF(H159=3,10,IF(H159&lt;&gt;"",1,0))))))</f>
        <v/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>
        <f>IF(AND(C160="",OR(E160="",E160=0)),"",(IF(E160=1,30,IF(E160=2,20,IF(E160=3,10,IF(E160&lt;&gt;"",1,0))))+IF(F160=1,30,IF(F160=2,20,IF(F160=3,10,IF(F160&lt;&gt;"",1,0))))+IF(G160=1,30,IF(G160=2,20,IF(G160=3,10,IF(G160&lt;&gt;"",1,0))))+IF(H160=1,30,IF(H160=2,20,IF(H160=3,10,IF(H160&lt;&gt;"",1,0))))))</f>
        <v/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>
        <f>IF(AND(C161="",OR(E161="",E161=0)),"",(IF(E161=1,30,IF(E161=2,20,IF(E161=3,10,IF(E161&lt;&gt;"",1,0))))+IF(F161=1,30,IF(F161=2,20,IF(F161=3,10,IF(F161&lt;&gt;"",1,0))))+IF(G161=1,30,IF(G161=2,20,IF(G161=3,10,IF(G161&lt;&gt;"",1,0))))+IF(H161=1,30,IF(H161=2,20,IF(H161=3,10,IF(H161&lt;&gt;"",1,0)))))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>
        <f>IF(AND(C162="",OR(E162="",E162=0)),"",(IF(E162=1,30,IF(E162=2,20,IF(E162=3,10,IF(E162&lt;&gt;"",1,0))))+IF(F162=1,30,IF(F162=2,20,IF(F162=3,10,IF(F162&lt;&gt;"",1,0))))+IF(G162=1,30,IF(G162=2,20,IF(G162=3,10,IF(G162&lt;&gt;"",1,0))))+IF(H162=1,30,IF(H162=2,20,IF(H162=3,10,IF(H162&lt;&gt;"",1,0))))))</f>
        <v/>
      </c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>
        <f>IF(AND(C163="",OR(E163="",E163=0)),"",(IF(E163=1,30,IF(E163=2,20,IF(E163=3,10,IF(E163&lt;&gt;"",1,0))))+IF(F163=1,30,IF(F163=2,20,IF(F163=3,10,IF(F163&lt;&gt;"",1,0))))+IF(G163=1,30,IF(G163=2,20,IF(G163=3,10,IF(G163&lt;&gt;"",1,0))))+IF(H163=1,30,IF(H163=2,20,IF(H163=3,10,IF(H163&lt;&gt;"",1,0))))))</f>
        <v/>
      </c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>
        <f>IF(AND(C164="",OR(E164="",E164=0)),"",(IF(E164=1,30,IF(E164=2,20,IF(E164=3,10,IF(E164&lt;&gt;"",1,0))))+IF(F164=1,30,IF(F164=2,20,IF(F164=3,10,IF(F164&lt;&gt;"",1,0))))+IF(G164=1,30,IF(G164=2,20,IF(G164=3,10,IF(G164&lt;&gt;"",1,0))))+IF(H164=1,30,IF(H164=2,20,IF(H164=3,10,IF(H164&lt;&gt;"",1,0))))))</f>
        <v/>
      </c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>
        <f>IF(AND(C165="",OR(E165="",E165=0)),"",(IF(E165=1,30,IF(E165=2,20,IF(E165=3,10,IF(E165&lt;&gt;"",1,0))))+IF(F165=1,30,IF(F165=2,20,IF(F165=3,10,IF(F165&lt;&gt;"",1,0))))+IF(G165=1,30,IF(G165=2,20,IF(G165=3,10,IF(G165&lt;&gt;"",1,0))))+IF(H165=1,30,IF(H165=2,20,IF(H165=3,10,IF(H165&lt;&gt;"",1,0))))))</f>
        <v/>
      </c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>
        <f>IF(AND(C166="",OR(E166="",E166=0)),"",(IF(E166=1,30,IF(E166=2,20,IF(E166=3,10,IF(E166&lt;&gt;"",1,0))))+IF(F166=1,30,IF(F166=2,20,IF(F166=3,10,IF(F166&lt;&gt;"",1,0))))+IF(G166=1,30,IF(G166=2,20,IF(G166=3,10,IF(G166&lt;&gt;"",1,0))))+IF(H166=1,30,IF(H166=2,20,IF(H166=3,10,IF(H166&lt;&gt;"",1,0)))))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>
        <f>IF(AND(C167="",OR(E167="",E167=0)),"",(IF(E167=1,30,IF(E167=2,20,IF(E167=3,10,IF(E167&lt;&gt;"",1,0))))+IF(F167=1,30,IF(F167=2,20,IF(F167=3,10,IF(F167&lt;&gt;"",1,0))))+IF(G167=1,30,IF(G167=2,20,IF(G167=3,10,IF(G167&lt;&gt;"",1,0))))+IF(H167=1,30,IF(H167=2,20,IF(H167=3,10,IF(H167&lt;&gt;"",1,0))))))</f>
        <v/>
      </c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>
        <f>IF(AND(C168="",OR(E168="",E168=0)),"",(IF(E168=1,30,IF(E168=2,20,IF(E168=3,10,IF(E168&lt;&gt;"",1,0))))+IF(F168=1,30,IF(F168=2,20,IF(F168=3,10,IF(F168&lt;&gt;"",1,0))))+IF(G168=1,30,IF(G168=2,20,IF(G168=3,10,IF(G168&lt;&gt;"",1,0))))+IF(H168=1,30,IF(H168=2,20,IF(H168=3,10,IF(H168&lt;&gt;"",1,0))))))</f>
        <v/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>
        <f>IF(AND(C169="",OR(E169="",E169=0)),"",(IF(E169=1,30,IF(E169=2,20,IF(E169=3,10,IF(E169&lt;&gt;"",1,0))))+IF(F169=1,30,IF(F169=2,20,IF(F169=3,10,IF(F169&lt;&gt;"",1,0))))+IF(G169=1,30,IF(G169=2,20,IF(G169=3,10,IF(G169&lt;&gt;"",1,0))))+IF(H169=1,30,IF(H169=2,20,IF(H169=3,10,IF(H169&lt;&gt;"",1,0))))))</f>
        <v/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>
        <f>IF(AND(C170="",OR(E170="",E170=0)),"",(IF(E170=1,30,IF(E170=2,20,IF(E170=3,10,IF(E170&lt;&gt;"",1,0))))+IF(F170=1,30,IF(F170=2,20,IF(F170=3,10,IF(F170&lt;&gt;"",1,0))))+IF(G170=1,30,IF(G170=2,20,IF(G170=3,10,IF(G170&lt;&gt;"",1,0))))+IF(H170=1,30,IF(H170=2,20,IF(H170=3,10,IF(H170&lt;&gt;"",1,0)))))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>
        <f>IF(AND(C171="",OR(E171="",E171=0)),"",(IF(E171=1,30,IF(E171=2,20,IF(E171=3,10,IF(E171&lt;&gt;"",1,0))))+IF(F171=1,30,IF(F171=2,20,IF(F171=3,10,IF(F171&lt;&gt;"",1,0))))+IF(G171=1,30,IF(G171=2,20,IF(G171=3,10,IF(G171&lt;&gt;"",1,0))))+IF(H171=1,30,IF(H171=2,20,IF(H171=3,10,IF(H171&lt;&gt;"",1,0))))))</f>
        <v/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>
        <f>IF(AND(C172="",OR(E172="",E172=0)),"",(IF(E172=1,30,IF(E172=2,20,IF(E172=3,10,IF(E172&lt;&gt;"",1,0))))+IF(F172=1,30,IF(F172=2,20,IF(F172=3,10,IF(F172&lt;&gt;"",1,0))))+IF(G172=1,30,IF(G172=2,20,IF(G172=3,10,IF(G172&lt;&gt;"",1,0))))+IF(H172=1,30,IF(H172=2,20,IF(H172=3,10,IF(H172&lt;&gt;"",1,0))))))</f>
        <v/>
      </c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>
        <f>IF(AND(C173="",OR(E173="",E173=0)),"",(IF(E173=1,30,IF(E173=2,20,IF(E173=3,10,IF(E173&lt;&gt;"",1,0))))+IF(F173=1,30,IF(F173=2,20,IF(F173=3,10,IF(F173&lt;&gt;"",1,0))))+IF(G173=1,30,IF(G173=2,20,IF(G173=3,10,IF(G173&lt;&gt;"",1,0))))+IF(H173=1,30,IF(H173=2,20,IF(H173=3,10,IF(H173&lt;&gt;"",1,0))))))</f>
        <v/>
      </c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>
        <f>IF(AND(C174="",OR(E174="",E174=0)),"",(IF(E174=1,30,IF(E174=2,20,IF(E174=3,10,IF(E174&lt;&gt;"",1,0))))+IF(F174=1,30,IF(F174=2,20,IF(F174=3,10,IF(F174&lt;&gt;"",1,0))))+IF(G174=1,30,IF(G174=2,20,IF(G174=3,10,IF(G174&lt;&gt;"",1,0))))+IF(H174=1,30,IF(H174=2,20,IF(H174=3,10,IF(H174&lt;&gt;"",1,0))))))</f>
        <v/>
      </c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>
        <f>IF(AND(C175="",OR(E175="",E175=0)),"",(IF(E175=1,30,IF(E175=2,20,IF(E175=3,10,IF(E175&lt;&gt;"",1,0))))+IF(F175=1,30,IF(F175=2,20,IF(F175=3,10,IF(F175&lt;&gt;"",1,0))))+IF(G175=1,30,IF(G175=2,20,IF(G175=3,10,IF(G175&lt;&gt;"",1,0))))+IF(H175=1,30,IF(H175=2,20,IF(H175=3,10,IF(H175&lt;&gt;"",1,0)))))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>
        <f>IF(AND(C176="",OR(E176="",E176=0)),"",(IF(E176=1,30,IF(E176=2,20,IF(E176=3,10,IF(E176&lt;&gt;"",1,0))))+IF(F176=1,30,IF(F176=2,20,IF(F176=3,10,IF(F176&lt;&gt;"",1,0))))+IF(G176=1,30,IF(G176=2,20,IF(G176=3,10,IF(G176&lt;&gt;"",1,0))))+IF(H176=1,30,IF(H176=2,20,IF(H176=3,10,IF(H176&lt;&gt;"",1,0))))))</f>
        <v/>
      </c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>
        <f>IF(AND(C177="",OR(E177="",E177=0)),"",(IF(E177=1,30,IF(E177=2,20,IF(E177=3,10,IF(E177&lt;&gt;"",1,0))))+IF(F177=1,30,IF(F177=2,20,IF(F177=3,10,IF(F177&lt;&gt;"",1,0))))+IF(G177=1,30,IF(G177=2,20,IF(G177=3,10,IF(G177&lt;&gt;"",1,0))))+IF(H177=1,30,IF(H177=2,20,IF(H177=3,10,IF(H177&lt;&gt;"",1,0))))))</f>
        <v/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>
        <f>IF(AND(C178="",OR(E178="",E178=0)),"",(IF(E178=1,30,IF(E178=2,20,IF(E178=3,10,IF(E178&lt;&gt;"",1,0))))+IF(F178=1,30,IF(F178=2,20,IF(F178=3,10,IF(F178&lt;&gt;"",1,0))))+IF(G178=1,30,IF(G178=2,20,IF(G178=3,10,IF(G178&lt;&gt;"",1,0))))+IF(H178=1,30,IF(H178=2,20,IF(H178=3,10,IF(H178&lt;&gt;"",1,0))))))</f>
        <v/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>
        <f>IF(AND(C179="",OR(E179="",E179=0)),"",(IF(E179=1,30,IF(E179=2,20,IF(E179=3,10,IF(E179&lt;&gt;"",1,0))))+IF(F179=1,30,IF(F179=2,20,IF(F179=3,10,IF(F179&lt;&gt;"",1,0))))+IF(G179=1,30,IF(G179=2,20,IF(G179=3,10,IF(G179&lt;&gt;"",1,0))))+IF(H179=1,30,IF(H179=2,20,IF(H179=3,10,IF(H179&lt;&gt;"",1,0)))))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>
        <f>IF(AND(C180="",OR(E180="",E180=0)),"",(IF(E180=1,30,IF(E180=2,20,IF(E180=3,10,IF(E180&lt;&gt;"",1,0))))+IF(F180=1,30,IF(F180=2,20,IF(F180=3,10,IF(F180&lt;&gt;"",1,0))))+IF(G180=1,30,IF(G180=2,20,IF(G180=3,10,IF(G180&lt;&gt;"",1,0))))+IF(H180=1,30,IF(H180=2,20,IF(H180=3,10,IF(H180&lt;&gt;"",1,0))))))</f>
        <v/>
      </c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>
        <f>IF(AND(C181="",OR(E181="",E181=0)),"",(IF(E181=1,30,IF(E181=2,20,IF(E181=3,10,IF(E181&lt;&gt;"",1,0))))+IF(F181=1,30,IF(F181=2,20,IF(F181=3,10,IF(F181&lt;&gt;"",1,0))))+IF(G181=1,30,IF(G181=2,20,IF(G181=3,10,IF(G181&lt;&gt;"",1,0))))+IF(H181=1,30,IF(H181=2,20,IF(H181=3,10,IF(H181&lt;&gt;"",1,0))))))</f>
        <v/>
      </c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>
        <f>IF(AND(C182="",OR(E182="",E182=0)),"",(IF(E182=1,30,IF(E182=2,20,IF(E182=3,10,IF(E182&lt;&gt;"",1,0))))+IF(F182=1,30,IF(F182=2,20,IF(F182=3,10,IF(F182&lt;&gt;"",1,0))))+IF(G182=1,30,IF(G182=2,20,IF(G182=3,10,IF(G182&lt;&gt;"",1,0))))+IF(H182=1,30,IF(H182=2,20,IF(H182=3,10,IF(H182&lt;&gt;"",1,0))))))</f>
        <v/>
      </c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>
        <f>IF(AND(C183="",OR(E183="",E183=0)),"",(IF(E183=1,30,IF(E183=2,20,IF(E183=3,10,IF(E183&lt;&gt;"",1,0))))+IF(F183=1,30,IF(F183=2,20,IF(F183=3,10,IF(F183&lt;&gt;"",1,0))))+IF(G183=1,30,IF(G183=2,20,IF(G183=3,10,IF(G183&lt;&gt;"",1,0))))+IF(H183=1,30,IF(H183=2,20,IF(H183=3,10,IF(H183&lt;&gt;"",1,0))))))</f>
        <v/>
      </c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>
        <f>IF(AND(C184="",OR(E184="",E184=0)),"",(IF(E184=1,30,IF(E184=2,20,IF(E184=3,10,IF(E184&lt;&gt;"",1,0))))+IF(F184=1,30,IF(F184=2,20,IF(F184=3,10,IF(F184&lt;&gt;"",1,0))))+IF(G184=1,30,IF(G184=2,20,IF(G184=3,10,IF(G184&lt;&gt;"",1,0))))+IF(H184=1,30,IF(H184=2,20,IF(H184=3,10,IF(H184&lt;&gt;"",1,0)))))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>
        <f>IF(AND(C185="",OR(E185="",E185=0)),"",(IF(E185=1,30,IF(E185=2,20,IF(E185=3,10,IF(E185&lt;&gt;"",1,0))))+IF(F185=1,30,IF(F185=2,20,IF(F185=3,10,IF(F185&lt;&gt;"",1,0))))+IF(G185=1,30,IF(G185=2,20,IF(G185=3,10,IF(G185&lt;&gt;"",1,0))))+IF(H185=1,30,IF(H185=2,20,IF(H185=3,10,IF(H185&lt;&gt;"",1,0))))))</f>
        <v/>
      </c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>
        <f>IF(AND(C186="",OR(E186="",E186=0)),"",(IF(E186=1,30,IF(E186=2,20,IF(E186=3,10,IF(E186&lt;&gt;"",1,0))))+IF(F186=1,30,IF(F186=2,20,IF(F186=3,10,IF(F186&lt;&gt;"",1,0))))+IF(G186=1,30,IF(G186=2,20,IF(G186=3,10,IF(G186&lt;&gt;"",1,0))))+IF(H186=1,30,IF(H186=2,20,IF(H186=3,10,IF(H186&lt;&gt;"",1,0))))))</f>
        <v/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>
        <f>IF(AND(C187="",OR(E187="",E187=0)),"",(IF(E187=1,30,IF(E187=2,20,IF(E187=3,10,IF(E187&lt;&gt;"",1,0))))+IF(F187=1,30,IF(F187=2,20,IF(F187=3,10,IF(F187&lt;&gt;"",1,0))))+IF(G187=1,30,IF(G187=2,20,IF(G187=3,10,IF(G187&lt;&gt;"",1,0))))+IF(H187=1,30,IF(H187=2,20,IF(H187=3,10,IF(H187&lt;&gt;"",1,0))))))</f>
        <v/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>
        <f>IF(AND(C188="",OR(E188="",E188=0)),"",(IF(E188=1,30,IF(E188=2,20,IF(E188=3,10,IF(E188&lt;&gt;"",1,0))))+IF(F188=1,30,IF(F188=2,20,IF(F188=3,10,IF(F188&lt;&gt;"",1,0))))+IF(G188=1,30,IF(G188=2,20,IF(G188=3,10,IF(G188&lt;&gt;"",1,0))))+IF(H188=1,30,IF(H188=2,20,IF(H188=3,10,IF(H188&lt;&gt;"",1,0)))))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>
        <f>IF(AND(C189="",OR(E189="",E189=0)),"",(IF(E189=1,30,IF(E189=2,20,IF(E189=3,10,IF(E189&lt;&gt;"",1,0))))+IF(F189=1,30,IF(F189=2,20,IF(F189=3,10,IF(F189&lt;&gt;"",1,0))))+IF(G189=1,30,IF(G189=2,20,IF(G189=3,10,IF(G189&lt;&gt;"",1,0))))+IF(H189=1,30,IF(H189=2,20,IF(H189=3,10,IF(H189&lt;&gt;"",1,0))))))</f>
        <v/>
      </c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>
        <f>IF(AND(C190="",OR(E190="",E190=0)),"",(IF(E190=1,30,IF(E190=2,20,IF(E190=3,10,IF(E190&lt;&gt;"",1,0))))+IF(F190=1,30,IF(F190=2,20,IF(F190=3,10,IF(F190&lt;&gt;"",1,0))))+IF(G190=1,30,IF(G190=2,20,IF(G190=3,10,IF(G190&lt;&gt;"",1,0))))+IF(H190=1,30,IF(H190=2,20,IF(H190=3,10,IF(H190&lt;&gt;"",1,0))))))</f>
        <v/>
      </c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>
        <f>IF(AND(C191="",OR(E191="",E191=0)),"",(IF(E191=1,30,IF(E191=2,20,IF(E191=3,10,IF(E191&lt;&gt;"",1,0))))+IF(F191=1,30,IF(F191=2,20,IF(F191=3,10,IF(F191&lt;&gt;"",1,0))))+IF(G191=1,30,IF(G191=2,20,IF(G191=3,10,IF(G191&lt;&gt;"",1,0))))+IF(H191=1,30,IF(H191=2,20,IF(H191=3,10,IF(H191&lt;&gt;"",1,0))))))</f>
        <v/>
      </c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>
        <f>IF(AND(C192="",OR(E192="",E192=0)),"",(IF(E192=1,30,IF(E192=2,20,IF(E192=3,10,IF(E192&lt;&gt;"",1,0))))+IF(F192=1,30,IF(F192=2,20,IF(F192=3,10,IF(F192&lt;&gt;"",1,0))))+IF(G192=1,30,IF(G192=2,20,IF(G192=3,10,IF(G192&lt;&gt;"",1,0))))+IF(H192=1,30,IF(H192=2,20,IF(H192=3,10,IF(H192&lt;&gt;"",1,0))))))</f>
        <v/>
      </c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>
        <f>IF(AND(C193="",OR(E193="",E193=0)),"",(IF(E193=1,30,IF(E193=2,20,IF(E193=3,10,IF(E193&lt;&gt;"",1,0))))+IF(F193=1,30,IF(F193=2,20,IF(F193=3,10,IF(F193&lt;&gt;"",1,0))))+IF(G193=1,30,IF(G193=2,20,IF(G193=3,10,IF(G193&lt;&gt;"",1,0))))+IF(H193=1,30,IF(H193=2,20,IF(H193=3,10,IF(H193&lt;&gt;"",1,0)))))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>
        <f>IF(AND(C194="",OR(E194="",E194=0)),"",(IF(E194=1,30,IF(E194=2,20,IF(E194=3,10,IF(E194&lt;&gt;"",1,0))))+IF(F194=1,30,IF(F194=2,20,IF(F194=3,10,IF(F194&lt;&gt;"",1,0))))+IF(G194=1,30,IF(G194=2,20,IF(G194=3,10,IF(G194&lt;&gt;"",1,0))))+IF(H194=1,30,IF(H194=2,20,IF(H194=3,10,IF(H194&lt;&gt;"",1,0))))))</f>
        <v/>
      </c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>
        <f>IF(AND(C195="",OR(E195="",E195=0)),"",(IF(E195=1,30,IF(E195=2,20,IF(E195=3,10,IF(E195&lt;&gt;"",1,0))))+IF(F195=1,30,IF(F195=2,20,IF(F195=3,10,IF(F195&lt;&gt;"",1,0))))+IF(G195=1,30,IF(G195=2,20,IF(G195=3,10,IF(G195&lt;&gt;"",1,0))))+IF(H195=1,30,IF(H195=2,20,IF(H195=3,10,IF(H195&lt;&gt;"",1,0))))))</f>
        <v/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>
        <f>IF(AND(C196="",OR(E196="",E196=0)),"",(IF(E196=1,30,IF(E196=2,20,IF(E196=3,10,IF(E196&lt;&gt;"",1,0))))+IF(F196=1,30,IF(F196=2,20,IF(F196=3,10,IF(F196&lt;&gt;"",1,0))))+IF(G196=1,30,IF(G196=2,20,IF(G196=3,10,IF(G196&lt;&gt;"",1,0))))+IF(H196=1,30,IF(H196=2,20,IF(H196=3,10,IF(H196&lt;&gt;"",1,0))))))</f>
        <v/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>
        <f>IF(AND(C197="",OR(E197="",E197=0)),"",(IF(E197=1,30,IF(E197=2,20,IF(E197=3,10,IF(E197&lt;&gt;"",1,0))))+IF(F197=1,30,IF(F197=2,20,IF(F197=3,10,IF(F197&lt;&gt;"",1,0))))+IF(G197=1,30,IF(G197=2,20,IF(G197=3,10,IF(G197&lt;&gt;"",1,0))))+IF(H197=1,30,IF(H197=2,20,IF(H197=3,10,IF(H197&lt;&gt;"",1,0))))))</f>
        <v/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>
        <f>IF(AND(C198="",OR(E198="",E198=0)),"",(IF(E198=1,30,IF(E198=2,20,IF(E198=3,10,IF(E198&lt;&gt;"",1,0))))+IF(F198=1,30,IF(F198=2,20,IF(F198=3,10,IF(F198&lt;&gt;"",1,0))))+IF(G198=1,30,IF(G198=2,20,IF(G198=3,10,IF(G198&lt;&gt;"",1,0))))+IF(H198=1,30,IF(H198=2,20,IF(H198=3,10,IF(H198&lt;&gt;"",1,0))))))</f>
        <v/>
      </c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>
        <f>IF(AND(C199="",OR(E199="",E199=0)),"",(IF(E199=1,30,IF(E199=2,20,IF(E199=3,10,IF(E199&lt;&gt;"",1,0))))+IF(F199=1,30,IF(F199=2,20,IF(F199=3,10,IF(F199&lt;&gt;"",1,0))))+IF(G199=1,30,IF(G199=2,20,IF(G199=3,10,IF(G199&lt;&gt;"",1,0))))+IF(H199=1,30,IF(H199=2,20,IF(H199=3,10,IF(H199&lt;&gt;"",1,0))))))</f>
        <v/>
      </c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>
        <f>IF(AND(C200="",OR(E200="",E200=0)),"",(IF(E200=1,30,IF(E200=2,20,IF(E200=3,10,IF(E200&lt;&gt;"",1,0))))+IF(F200=1,30,IF(F200=2,20,IF(F200=3,10,IF(F200&lt;&gt;"",1,0))))+IF(G200=1,30,IF(G200=2,20,IF(G200=3,10,IF(G200&lt;&gt;"",1,0))))+IF(H200=1,30,IF(H200=2,20,IF(H200=3,10,IF(H200&lt;&gt;"",1,0))))))</f>
        <v/>
      </c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>
        <f>IF(AND(C201="",OR(E201="",E201=0)),"",(IF(E201=1,30,IF(E201=2,20,IF(E201=3,10,IF(E201&lt;&gt;"",1,0))))+IF(F201=1,30,IF(F201=2,20,IF(F201=3,10,IF(F201&lt;&gt;"",1,0))))+IF(G201=1,30,IF(G201=2,20,IF(G201=3,10,IF(G201&lt;&gt;"",1,0))))+IF(H201=1,30,IF(H201=2,20,IF(H201=3,10,IF(H201&lt;&gt;"",1,0))))))</f>
        <v/>
      </c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>
        <f>IF(AND(C202="",OR(E202="",E202=0)),"",(IF(E202=1,30,IF(E202=2,20,IF(E202=3,10,IF(E202&lt;&gt;"",1,0))))+IF(F202=1,30,IF(F202=2,20,IF(F202=3,10,IF(F202&lt;&gt;"",1,0))))+IF(G202=1,30,IF(G202=2,20,IF(G202=3,10,IF(G202&lt;&gt;"",1,0))))+IF(H202=1,30,IF(H202=2,20,IF(H202=3,10,IF(H202&lt;&gt;"",1,0)))))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>
        <f>IF(AND(C203="",OR(E203="",E203=0)),"",(IF(E203=1,30,IF(E203=2,20,IF(E203=3,10,IF(E203&lt;&gt;"",1,0))))+IF(F203=1,30,IF(F203=2,20,IF(F203=3,10,IF(F203&lt;&gt;"",1,0))))+IF(G203=1,30,IF(G203=2,20,IF(G203=3,10,IF(G203&lt;&gt;"",1,0))))+IF(H203=1,30,IF(H203=2,20,IF(H203=3,10,IF(H203&lt;&gt;"",1,0))))))</f>
        <v/>
      </c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>
        <f>IF(AND(C204="",OR(E204="",E204=0)),"",(IF(E204=1,30,IF(E204=2,20,IF(E204=3,10,IF(E204&lt;&gt;"",1,0))))+IF(F204=1,30,IF(F204=2,20,IF(F204=3,10,IF(F204&lt;&gt;"",1,0))))+IF(G204=1,30,IF(G204=2,20,IF(G204=3,10,IF(G204&lt;&gt;"",1,0))))+IF(H204=1,30,IF(H204=2,20,IF(H204=3,10,IF(H204&lt;&gt;"",1,0))))))</f>
        <v/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>
        <f>IF(AND(C205="",OR(E205="",E205=0)),"",(IF(E205=1,30,IF(E205=2,20,IF(E205=3,10,IF(E205&lt;&gt;"",1,0))))+IF(F205=1,30,IF(F205=2,20,IF(F205=3,10,IF(F205&lt;&gt;"",1,0))))+IF(G205=1,30,IF(G205=2,20,IF(G205=3,10,IF(G205&lt;&gt;"",1,0))))+IF(H205=1,30,IF(H205=2,20,IF(H205=3,10,IF(H205&lt;&gt;"",1,0))))))</f>
        <v/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>
        <f>IF(AND(C206="",OR(E206="",E206=0)),"",(IF(E206=1,30,IF(E206=2,20,IF(E206=3,10,IF(E206&lt;&gt;"",1,0))))+IF(F206=1,30,IF(F206=2,20,IF(F206=3,10,IF(F206&lt;&gt;"",1,0))))+IF(G206=1,30,IF(G206=2,20,IF(G206=3,10,IF(G206&lt;&gt;"",1,0))))+IF(H206=1,30,IF(H206=2,20,IF(H206=3,10,IF(H206&lt;&gt;"",1,0)))))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>
        <f>IF(AND(C207="",OR(E207="",E207=0)),"",(IF(E207=1,30,IF(E207=2,20,IF(E207=3,10,IF(E207&lt;&gt;"",1,0))))+IF(F207=1,30,IF(F207=2,20,IF(F207=3,10,IF(F207&lt;&gt;"",1,0))))+IF(G207=1,30,IF(G207=2,20,IF(G207=3,10,IF(G207&lt;&gt;"",1,0))))+IF(H207=1,30,IF(H207=2,20,IF(H207=3,10,IF(H207&lt;&gt;"",1,0)))))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>
        <f>IF(AND(C208="",OR(E208="",E208=0)),"",(IF(E208=1,30,IF(E208=2,20,IF(E208=3,10,IF(E208&lt;&gt;"",1,0))))+IF(F208=1,30,IF(F208=2,20,IF(F208=3,10,IF(F208&lt;&gt;"",1,0))))+IF(G208=1,30,IF(G208=2,20,IF(G208=3,10,IF(G208&lt;&gt;"",1,0))))+IF(H208=1,30,IF(H208=2,20,IF(H208=3,10,IF(H208&lt;&gt;"",1,0))))))</f>
        <v/>
      </c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>
        <f>IF(AND(C209="",OR(E209="",E209=0)),"",(IF(E209=1,30,IF(E209=2,20,IF(E209=3,10,IF(E209&lt;&gt;"",1,0))))+IF(F209=1,30,IF(F209=2,20,IF(F209=3,10,IF(F209&lt;&gt;"",1,0))))+IF(G209=1,30,IF(G209=2,20,IF(G209=3,10,IF(G209&lt;&gt;"",1,0))))+IF(H209=1,30,IF(H209=2,20,IF(H209=3,10,IF(H209&lt;&gt;"",1,0))))))</f>
        <v/>
      </c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>
        <f>IF(AND(C210="",OR(E210="",E210=0)),"",(IF(E210=1,30,IF(E210=2,20,IF(E210=3,10,IF(E210&lt;&gt;"",1,0))))+IF(F210=1,30,IF(F210=2,20,IF(F210=3,10,IF(F210&lt;&gt;"",1,0))))+IF(G210=1,30,IF(G210=2,20,IF(G210=3,10,IF(G210&lt;&gt;"",1,0))))+IF(H210=1,30,IF(H210=2,20,IF(H210=3,10,IF(H210&lt;&gt;"",1,0))))))</f>
        <v/>
      </c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>
        <f>IF(AND(C211="",OR(E211="",E211=0)),"",(IF(E211=1,30,IF(E211=2,20,IF(E211=3,10,IF(E211&lt;&gt;"",1,0))))+IF(F211=1,30,IF(F211=2,20,IF(F211=3,10,IF(F211&lt;&gt;"",1,0))))+IF(G211=1,30,IF(G211=2,20,IF(G211=3,10,IF(G211&lt;&gt;"",1,0))))+IF(H211=1,30,IF(H211=2,20,IF(H211=3,10,IF(H211&lt;&gt;"",1,0)))))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>
        <f>IF(AND(C212="",OR(E212="",E212=0)),"",(IF(E212=1,30,IF(E212=2,20,IF(E212=3,10,IF(E212&lt;&gt;"",1,0))))+IF(F212=1,30,IF(F212=2,20,IF(F212=3,10,IF(F212&lt;&gt;"",1,0))))+IF(G212=1,30,IF(G212=2,20,IF(G212=3,10,IF(G212&lt;&gt;"",1,0))))+IF(H212=1,30,IF(H212=2,20,IF(H212=3,10,IF(H212&lt;&gt;"",1,0))))))</f>
        <v/>
      </c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>
        <f>IF(AND(C213="",OR(E213="",E213=0)),"",(IF(E213=1,30,IF(E213=2,20,IF(E213=3,10,IF(E213&lt;&gt;"",1,0))))+IF(F213=1,30,IF(F213=2,20,IF(F213=3,10,IF(F213&lt;&gt;"",1,0))))+IF(G213=1,30,IF(G213=2,20,IF(G213=3,10,IF(G213&lt;&gt;"",1,0))))+IF(H213=1,30,IF(H213=2,20,IF(H213=3,10,IF(H213&lt;&gt;"",1,0))))))</f>
        <v/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>
        <f>IF(AND(C214="",OR(E214="",E214=0)),"",(IF(E214=1,30,IF(E214=2,20,IF(E214=3,10,IF(E214&lt;&gt;"",1,0))))+IF(F214=1,30,IF(F214=2,20,IF(F214=3,10,IF(F214&lt;&gt;"",1,0))))+IF(G214=1,30,IF(G214=2,20,IF(G214=3,10,IF(G214&lt;&gt;"",1,0))))+IF(H214=1,30,IF(H214=2,20,IF(H214=3,10,IF(H214&lt;&gt;"",1,0))))))</f>
        <v/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>
        <f>IF(AND(C215="",OR(E215="",E215=0)),"",(IF(E215=1,30,IF(E215=2,20,IF(E215=3,10,IF(E215&lt;&gt;"",1,0))))+IF(F215=1,30,IF(F215=2,20,IF(F215=3,10,IF(F215&lt;&gt;"",1,0))))+IF(G215=1,30,IF(G215=2,20,IF(G215=3,10,IF(G215&lt;&gt;"",1,0))))+IF(H215=1,30,IF(H215=2,20,IF(H215=3,10,IF(H215&lt;&gt;"",1,0)))))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>
        <f>IF(AND(C216="",OR(E216="",E216=0)),"",(IF(E216=1,30,IF(E216=2,20,IF(E216=3,10,IF(E216&lt;&gt;"",1,0))))+IF(F216=1,30,IF(F216=2,20,IF(F216=3,10,IF(F216&lt;&gt;"",1,0))))+IF(G216=1,30,IF(G216=2,20,IF(G216=3,10,IF(G216&lt;&gt;"",1,0))))+IF(H216=1,30,IF(H216=2,20,IF(H216=3,10,IF(H216&lt;&gt;"",1,0)))))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>
        <f>IF(AND(C217="",OR(E217="",E217=0)),"",(IF(E217=1,30,IF(E217=2,20,IF(E217=3,10,IF(E217&lt;&gt;"",1,0))))+IF(F217=1,30,IF(F217=2,20,IF(F217=3,10,IF(F217&lt;&gt;"",1,0))))+IF(G217=1,30,IF(G217=2,20,IF(G217=3,10,IF(G217&lt;&gt;"",1,0))))+IF(H217=1,30,IF(H217=2,20,IF(H217=3,10,IF(H217&lt;&gt;"",1,0))))))</f>
        <v/>
      </c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>
        <f>IF(AND(C218="",OR(E218="",E218=0)),"",(IF(E218=1,30,IF(E218=2,20,IF(E218=3,10,IF(E218&lt;&gt;"",1,0))))+IF(F218=1,30,IF(F218=2,20,IF(F218=3,10,IF(F218&lt;&gt;"",1,0))))+IF(G218=1,30,IF(G218=2,20,IF(G218=3,10,IF(G218&lt;&gt;"",1,0))))+IF(H218=1,30,IF(H218=2,20,IF(H218=3,10,IF(H218&lt;&gt;"",1,0))))))</f>
        <v/>
      </c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>
        <f>IF(AND(C219="",OR(E219="",E219=0)),"",(IF(E219=1,30,IF(E219=2,20,IF(E219=3,10,IF(E219&lt;&gt;"",1,0))))+IF(F219=1,30,IF(F219=2,20,IF(F219=3,10,IF(F219&lt;&gt;"",1,0))))+IF(G219=1,30,IF(G219=2,20,IF(G219=3,10,IF(G219&lt;&gt;"",1,0))))+IF(H219=1,30,IF(H219=2,20,IF(H219=3,10,IF(H219&lt;&gt;"",1,0))))))</f>
        <v/>
      </c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>
        <f>IF(AND(C220="",OR(E220="",E220=0)),"",(IF(E220=1,30,IF(E220=2,20,IF(E220=3,10,IF(E220&lt;&gt;"",1,0))))+IF(F220=1,30,IF(F220=2,20,IF(F220=3,10,IF(F220&lt;&gt;"",1,0))))+IF(G220=1,30,IF(G220=2,20,IF(G220=3,10,IF(G220&lt;&gt;"",1,0))))+IF(H220=1,30,IF(H220=2,20,IF(H220=3,10,IF(H220&lt;&gt;"",1,0)))))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>
        <f>IF(AND(C221="",OR(E221="",E221=0)),"",(IF(E221=1,30,IF(E221=2,20,IF(E221=3,10,IF(E221&lt;&gt;"",1,0))))+IF(F221=1,30,IF(F221=2,20,IF(F221=3,10,IF(F221&lt;&gt;"",1,0))))+IF(G221=1,30,IF(G221=2,20,IF(G221=3,10,IF(G221&lt;&gt;"",1,0))))+IF(H221=1,30,IF(H221=2,20,IF(H221=3,10,IF(H221&lt;&gt;"",1,0))))))</f>
        <v/>
      </c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>
        <f>IF(AND(C222="",OR(E222="",E222=0)),"",(IF(E222=1,30,IF(E222=2,20,IF(E222=3,10,IF(E222&lt;&gt;"",1,0))))+IF(F222=1,30,IF(F222=2,20,IF(F222=3,10,IF(F222&lt;&gt;"",1,0))))+IF(G222=1,30,IF(G222=2,20,IF(G222=3,10,IF(G222&lt;&gt;"",1,0))))+IF(H222=1,30,IF(H222=2,20,IF(H222=3,10,IF(H222&lt;&gt;"",1,0))))))</f>
        <v/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>
        <f>IF(AND(C223="",OR(E223="",E223=0)),"",(IF(E223=1,30,IF(E223=2,20,IF(E223=3,10,IF(E223&lt;&gt;"",1,0))))+IF(F223=1,30,IF(F223=2,20,IF(F223=3,10,IF(F223&lt;&gt;"",1,0))))+IF(G223=1,30,IF(G223=2,20,IF(G223=3,10,IF(G223&lt;&gt;"",1,0))))+IF(H223=1,30,IF(H223=2,20,IF(H223=3,10,IF(H223&lt;&gt;"",1,0))))))</f>
        <v/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4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>
        <f>IF(AND(C224="",OR(E224="",E224=0)),"",(IF(E224=1,30,IF(E224=2,20,IF(E224=3,10,IF(E224&lt;&gt;"",1,0))))+IF(F224=1,30,IF(F224=2,20,IF(F224=3,10,IF(F224&lt;&gt;"",1,0))))+IF(G224=1,30,IF(G224=2,20,IF(G224=3,10,IF(G224&lt;&gt;"",1,0))))+IF(H224=1,30,IF(H224=2,20,IF(H224=3,10,IF(H224&lt;&gt;"",1,0)))))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4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>
        <f>IF(AND(C225="",OR(E225="",E225=0)),"",(IF(E225=1,30,IF(E225=2,20,IF(E225=3,10,IF(E225&lt;&gt;"",1,0))))+IF(F225=1,30,IF(F225=2,20,IF(F225=3,10,IF(F225&lt;&gt;"",1,0))))+IF(G225=1,30,IF(G225=2,20,IF(G225=3,10,IF(G225&lt;&gt;"",1,0))))+IF(H225=1,30,IF(H225=2,20,IF(H225=3,10,IF(H225&lt;&gt;"",1,0))))))</f>
        <v/>
      </c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4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>
        <f>IF(AND(C226="",OR(E226="",E226=0)),"",(IF(E226=1,30,IF(E226=2,20,IF(E226=3,10,IF(E226&lt;&gt;"",1,0))))+IF(F226=1,30,IF(F226=2,20,IF(F226=3,10,IF(F226&lt;&gt;"",1,0))))+IF(G226=1,30,IF(G226=2,20,IF(G226=3,10,IF(G226&lt;&gt;"",1,0))))+IF(H226=1,30,IF(H226=2,20,IF(H226=3,10,IF(H226&lt;&gt;"",1,0))))))</f>
        <v/>
      </c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4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>
        <f>IF(AND(C227="",OR(E227="",E227=0)),"",(IF(E227=1,30,IF(E227=2,20,IF(E227=3,10,IF(E227&lt;&gt;"",1,0))))+IF(F227=1,30,IF(F227=2,20,IF(F227=3,10,IF(F227&lt;&gt;"",1,0))))+IF(G227=1,30,IF(G227=2,20,IF(G227=3,10,IF(G227&lt;&gt;"",1,0))))+IF(H227=1,30,IF(H227=2,20,IF(H227=3,10,IF(H227&lt;&gt;"",1,0))))))</f>
        <v/>
      </c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4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>
        <f>IF(AND(C228="",OR(E228="",E228=0)),"",(IF(E228=1,30,IF(E228=2,20,IF(E228=3,10,IF(E228&lt;&gt;"",1,0))))+IF(F228=1,30,IF(F228=2,20,IF(F228=3,10,IF(F228&lt;&gt;"",1,0))))+IF(G228=1,30,IF(G228=2,20,IF(G228=3,10,IF(G228&lt;&gt;"",1,0))))+IF(H228=1,30,IF(H228=2,20,IF(H228=3,10,IF(H228&lt;&gt;"",1,0))))))</f>
        <v/>
      </c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4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>
        <f>IF(AND(C229="",OR(E229="",E229=0)),"",(IF(E229=1,30,IF(E229=2,20,IF(E229=3,10,IF(E229&lt;&gt;"",1,0))))+IF(F229=1,30,IF(F229=2,20,IF(F229=3,10,IF(F229&lt;&gt;"",1,0))))+IF(G229=1,30,IF(G229=2,20,IF(G229=3,10,IF(G229&lt;&gt;"",1,0))))+IF(H229=1,30,IF(H229=2,20,IF(H229=3,10,IF(H229&lt;&gt;"",1,0)))))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4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>
        <f>IF(AND(C230="",OR(E230="",E230=0)),"",(IF(E230=1,30,IF(E230=2,20,IF(E230=3,10,IF(E230&lt;&gt;"",1,0))))+IF(F230=1,30,IF(F230=2,20,IF(F230=3,10,IF(F230&lt;&gt;"",1,0))))+IF(G230=1,30,IF(G230=2,20,IF(G230=3,10,IF(G230&lt;&gt;"",1,0))))+IF(H230=1,30,IF(H230=2,20,IF(H230=3,10,IF(H230&lt;&gt;"",1,0))))))</f>
        <v/>
      </c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4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>
        <f>IF(AND(C231="",OR(E231="",E231=0)),"",(IF(E231=1,30,IF(E231=2,20,IF(E231=3,10,IF(E231&lt;&gt;"",1,0))))+IF(F231=1,30,IF(F231=2,20,IF(F231=3,10,IF(F231&lt;&gt;"",1,0))))+IF(G231=1,30,IF(G231=2,20,IF(G231=3,10,IF(G231&lt;&gt;"",1,0))))+IF(H231=1,30,IF(H231=2,20,IF(H231=3,10,IF(H231&lt;&gt;"",1,0))))))</f>
        <v/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4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>
        <f>IF(AND(C232="",OR(E232="",E232=0)),"",(IF(E232=1,30,IF(E232=2,20,IF(E232=3,10,IF(E232&lt;&gt;"",1,0))))+IF(F232=1,30,IF(F232=2,20,IF(F232=3,10,IF(F232&lt;&gt;"",1,0))))+IF(G232=1,30,IF(G232=2,20,IF(G232=3,10,IF(G232&lt;&gt;"",1,0))))+IF(H232=1,30,IF(H232=2,20,IF(H232=3,10,IF(H232&lt;&gt;"",1,0))))))</f>
        <v/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4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>
        <f>IF(AND(C233="",OR(E233="",E233=0)),"",(IF(E233=1,30,IF(E233=2,20,IF(E233=3,10,IF(E233&lt;&gt;"",1,0))))+IF(F233=1,30,IF(F233=2,20,IF(F233=3,10,IF(F233&lt;&gt;"",1,0))))+IF(G233=1,30,IF(G233=2,20,IF(G233=3,10,IF(G233&lt;&gt;"",1,0))))+IF(H233=1,30,IF(H233=2,20,IF(H233=3,10,IF(H233&lt;&gt;"",1,0)))))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4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>
        <f>IF(AND(C234="",OR(E234="",E234=0)),"",(IF(E234=1,30,IF(E234=2,20,IF(E234=3,10,IF(E234&lt;&gt;"",1,0))))+IF(F234=1,30,IF(F234=2,20,IF(F234=3,10,IF(F234&lt;&gt;"",1,0))))+IF(G234=1,30,IF(G234=2,20,IF(G234=3,10,IF(G234&lt;&gt;"",1,0))))+IF(H234=1,30,IF(H234=2,20,IF(H234=3,10,IF(H234&lt;&gt;"",1,0))))))</f>
        <v/>
      </c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4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>
        <f>IF(AND(C235="",OR(E235="",E235=0)),"",(IF(E235=1,30,IF(E235=2,20,IF(E235=3,10,IF(E235&lt;&gt;"",1,0))))+IF(F235=1,30,IF(F235=2,20,IF(F235=3,10,IF(F235&lt;&gt;"",1,0))))+IF(G235=1,30,IF(G235=2,20,IF(G235=3,10,IF(G235&lt;&gt;"",1,0))))+IF(H235=1,30,IF(H235=2,20,IF(H235=3,10,IF(H235&lt;&gt;"",1,0))))))</f>
        <v/>
      </c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4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>
        <f>IF(AND(C236="",OR(E236="",E236=0)),"",(IF(E236=1,30,IF(E236=2,20,IF(E236=3,10,IF(E236&lt;&gt;"",1,0))))+IF(F236=1,30,IF(F236=2,20,IF(F236=3,10,IF(F236&lt;&gt;"",1,0))))+IF(G236=1,30,IF(G236=2,20,IF(G236=3,10,IF(G236&lt;&gt;"",1,0))))+IF(H236=1,30,IF(H236=2,20,IF(H236=3,10,IF(H236&lt;&gt;"",1,0))))))</f>
        <v/>
      </c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4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>
        <f>IF(AND(C237="",OR(E237="",E237=0)),"",(IF(E237=1,30,IF(E237=2,20,IF(E237=3,10,IF(E237&lt;&gt;"",1,0))))+IF(F237=1,30,IF(F237=2,20,IF(F237=3,10,IF(F237&lt;&gt;"",1,0))))+IF(G237=1,30,IF(G237=2,20,IF(G237=3,10,IF(G237&lt;&gt;"",1,0))))+IF(H237=1,30,IF(H237=2,20,IF(H237=3,10,IF(H237&lt;&gt;"",1,0))))))</f>
        <v/>
      </c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4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>
        <f>IF(AND(C238="",OR(E238="",E238=0)),"",(IF(E238=1,30,IF(E238=2,20,IF(E238=3,10,IF(E238&lt;&gt;"",1,0))))+IF(F238=1,30,IF(F238=2,20,IF(F238=3,10,IF(F238&lt;&gt;"",1,0))))+IF(G238=1,30,IF(G238=2,20,IF(G238=3,10,IF(G238&lt;&gt;"",1,0))))+IF(H238=1,30,IF(H238=2,20,IF(H238=3,10,IF(H238&lt;&gt;"",1,0)))))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4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>
        <f>IF(AND(C239="",OR(E239="",E239=0)),"",(IF(E239=1,30,IF(E239=2,20,IF(E239=3,10,IF(E239&lt;&gt;"",1,0))))+IF(F239=1,30,IF(F239=2,20,IF(F239=3,10,IF(F239&lt;&gt;"",1,0))))+IF(G239=1,30,IF(G239=2,20,IF(G239=3,10,IF(G239&lt;&gt;"",1,0))))+IF(H239=1,30,IF(H239=2,20,IF(H239=3,10,IF(H239&lt;&gt;"",1,0))))))</f>
        <v/>
      </c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4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>
        <f>IF(AND(C240="",OR(E240="",E240=0)),"",(IF(E240=1,30,IF(E240=2,20,IF(E240=3,10,IF(E240&lt;&gt;"",1,0))))+IF(F240=1,30,IF(F240=2,20,IF(F240=3,10,IF(F240&lt;&gt;"",1,0))))+IF(G240=1,30,IF(G240=2,20,IF(G240=3,10,IF(G240&lt;&gt;"",1,0))))+IF(H240=1,30,IF(H240=2,20,IF(H240=3,10,IF(H240&lt;&gt;"",1,0))))))</f>
        <v/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4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>
        <f>IF(AND(C241="",OR(E241="",E241=0)),"",(IF(E241=1,30,IF(E241=2,20,IF(E241=3,10,IF(E241&lt;&gt;"",1,0))))+IF(F241=1,30,IF(F241=2,20,IF(F241=3,10,IF(F241&lt;&gt;"",1,0))))+IF(G241=1,30,IF(G241=2,20,IF(G241=3,10,IF(G241&lt;&gt;"",1,0))))+IF(H241=1,30,IF(H241=2,20,IF(H241=3,10,IF(H241&lt;&gt;"",1,0))))))</f>
        <v/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4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>
        <f>IF(AND(C242="",OR(E242="",E242=0)),"",(IF(E242=1,30,IF(E242=2,20,IF(E242=3,10,IF(E242&lt;&gt;"",1,0))))+IF(F242=1,30,IF(F242=2,20,IF(F242=3,10,IF(F242&lt;&gt;"",1,0))))+IF(G242=1,30,IF(G242=2,20,IF(G242=3,10,IF(G242&lt;&gt;"",1,0))))+IF(H242=1,30,IF(H242=2,20,IF(H242=3,10,IF(H242&lt;&gt;"",1,0)))))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>
        <f>IF(AND(C243="",OR(E243="",E243=0)),"",(IF(E243=1,30,IF(E243=2,20,IF(E243=3,10,IF(E243&lt;&gt;"",1,0))))+IF(F243=1,30,IF(F243=2,20,IF(F243=3,10,IF(F243&lt;&gt;"",1,0))))+IF(G243=1,30,IF(G243=2,20,IF(G243=3,10,IF(G243&lt;&gt;"",1,0))))+IF(H243=1,30,IF(H243=2,20,IF(H243=3,10,IF(H243&lt;&gt;"",1,0)))))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4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>
        <f>IF(AND(C244="",OR(E244="",E244=0)),"",(IF(E244=1,30,IF(E244=2,20,IF(E244=3,10,IF(E244&lt;&gt;"",1,0))))+IF(F244=1,30,IF(F244=2,20,IF(F244=3,10,IF(F244&lt;&gt;"",1,0))))+IF(G244=1,30,IF(G244=2,20,IF(G244=3,10,IF(G244&lt;&gt;"",1,0))))+IF(H244=1,30,IF(H244=2,20,IF(H244=3,10,IF(H244&lt;&gt;"",1,0)))))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4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>
        <f>IF(AND(C245="",OR(E245="",E245=0)),"",(IF(E245=1,30,IF(E245=2,20,IF(E245=3,10,IF(E245&lt;&gt;"",1,0))))+IF(F245=1,30,IF(F245=2,20,IF(F245=3,10,IF(F245&lt;&gt;"",1,0))))+IF(G245=1,30,IF(G245=2,20,IF(G245=3,10,IF(G245&lt;&gt;"",1,0))))+IF(H245=1,30,IF(H245=2,20,IF(H245=3,10,IF(H245&lt;&gt;"",1,0)))))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4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>
        <f>IF(AND(C246="",OR(E246="",E246=0)),"",(IF(E246=1,30,IF(E246=2,20,IF(E246=3,10,IF(E246&lt;&gt;"",1,0))))+IF(F246=1,30,IF(F246=2,20,IF(F246=3,10,IF(F246&lt;&gt;"",1,0))))+IF(G246=1,30,IF(G246=2,20,IF(G246=3,10,IF(G246&lt;&gt;"",1,0))))+IF(H246=1,30,IF(H246=2,20,IF(H246=3,10,IF(H246&lt;&gt;"",1,0))))))</f>
        <v/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4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>
        <f>IF(AND(C247="",OR(E247="",E247=0)),"",(IF(E247=1,30,IF(E247=2,20,IF(E247=3,10,IF(E247&lt;&gt;"",1,0))))+IF(F247=1,30,IF(F247=2,20,IF(F247=3,10,IF(F247&lt;&gt;"",1,0))))+IF(G247=1,30,IF(G247=2,20,IF(G247=3,10,IF(G247&lt;&gt;"",1,0))))+IF(H247=1,30,IF(H247=2,20,IF(H247=3,10,IF(H247&lt;&gt;"",1,0)))))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4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>
        <f>IF(AND(C248="",OR(E248="",E248=0)),"",(IF(E248=1,30,IF(E248=2,20,IF(E248=3,10,IF(E248&lt;&gt;"",1,0))))+IF(F248=1,30,IF(F248=2,20,IF(F248=3,10,IF(F248&lt;&gt;"",1,0))))+IF(G248=1,30,IF(G248=2,20,IF(G248=3,10,IF(G248&lt;&gt;"",1,0))))+IF(H248=1,30,IF(H248=2,20,IF(H248=3,10,IF(H248&lt;&gt;"",1,0))))))</f>
        <v/>
      </c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4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>
        <f>IF(AND(C249="",OR(E249="",E249=0)),"",(IF(E249=1,30,IF(E249=2,20,IF(E249=3,10,IF(E249&lt;&gt;"",1,0))))+IF(F249=1,30,IF(F249=2,20,IF(F249=3,10,IF(F249&lt;&gt;"",1,0))))+IF(G249=1,30,IF(G249=2,20,IF(G249=3,10,IF(G249&lt;&gt;"",1,0))))+IF(H249=1,30,IF(H249=2,20,IF(H249=3,10,IF(H249&lt;&gt;"",1,0))))))</f>
        <v/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4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>
        <f>IF(AND(C250="",OR(E250="",E250=0)),"",(IF(E250=1,30,IF(E250=2,20,IF(E250=3,10,IF(E250&lt;&gt;"",1,0))))+IF(F250=1,30,IF(F250=2,20,IF(F250=3,10,IF(F250&lt;&gt;"",1,0))))+IF(G250=1,30,IF(G250=2,20,IF(G250=3,10,IF(G250&lt;&gt;"",1,0))))+IF(H250=1,30,IF(H250=2,20,IF(H250=3,10,IF(H250&lt;&gt;"",1,0))))))</f>
        <v/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4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>
        <f>IF(AND(C251="",OR(E251="",E251=0)),"",(IF(E251=1,30,IF(E251=2,20,IF(E251=3,10,IF(E251&lt;&gt;"",1,0))))+IF(F251=1,30,IF(F251=2,20,IF(F251=3,10,IF(F251&lt;&gt;"",1,0))))+IF(G251=1,30,IF(G251=2,20,IF(G251=3,10,IF(G251&lt;&gt;"",1,0))))+IF(H251=1,30,IF(H251=2,20,IF(H251=3,10,IF(H251&lt;&gt;"",1,0)))))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4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>
        <f>IF(AND(C252="",OR(E252="",E252=0)),"",(IF(E252=1,30,IF(E252=2,20,IF(E252=3,10,IF(E252&lt;&gt;"",1,0))))+IF(F252=1,30,IF(F252=2,20,IF(F252=3,10,IF(F252&lt;&gt;"",1,0))))+IF(G252=1,30,IF(G252=2,20,IF(G252=3,10,IF(G252&lt;&gt;"",1,0))))+IF(H252=1,30,IF(H252=2,20,IF(H252=3,10,IF(H252&lt;&gt;"",1,0))))))</f>
        <v/>
      </c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4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>
        <f>IF(AND(C253="",OR(E253="",E253=0)),"",(IF(E253=1,30,IF(E253=2,20,IF(E253=3,10,IF(E253&lt;&gt;"",1,0))))+IF(F253=1,30,IF(F253=2,20,IF(F253=3,10,IF(F253&lt;&gt;"",1,0))))+IF(G253=1,30,IF(G253=2,20,IF(G253=3,10,IF(G253&lt;&gt;"",1,0))))+IF(H253=1,30,IF(H253=2,20,IF(H253=3,10,IF(H253&lt;&gt;"",1,0))))))</f>
        <v/>
      </c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4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>
        <f>IF(AND(C254="",OR(E254="",E254=0)),"",(IF(E254=1,30,IF(E254=2,20,IF(E254=3,10,IF(E254&lt;&gt;"",1,0))))+IF(F254=1,30,IF(F254=2,20,IF(F254=3,10,IF(F254&lt;&gt;"",1,0))))+IF(G254=1,30,IF(G254=2,20,IF(G254=3,10,IF(G254&lt;&gt;"",1,0))))+IF(H254=1,30,IF(H254=2,20,IF(H254=3,10,IF(H254&lt;&gt;"",1,0))))))</f>
        <v/>
      </c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4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>
        <f>IF(AND(C255="",OR(E255="",E255=0)),"",(IF(E255=1,30,IF(E255=2,20,IF(E255=3,10,IF(E255&lt;&gt;"",1,0))))+IF(F255=1,30,IF(F255=2,20,IF(F255=3,10,IF(F255&lt;&gt;"",1,0))))+IF(G255=1,30,IF(G255=2,20,IF(G255=3,10,IF(G255&lt;&gt;"",1,0))))+IF(H255=1,30,IF(H255=2,20,IF(H255=3,10,IF(H255&lt;&gt;"",1,0))))))</f>
        <v/>
      </c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4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>
        <f>IF(AND(C256="",OR(E256="",E256=0)),"",(IF(E256=1,30,IF(E256=2,20,IF(E256=3,10,IF(E256&lt;&gt;"",1,0))))+IF(F256=1,30,IF(F256=2,20,IF(F256=3,10,IF(F256&lt;&gt;"",1,0))))+IF(G256=1,30,IF(G256=2,20,IF(G256=3,10,IF(G256&lt;&gt;"",1,0))))+IF(H256=1,30,IF(H256=2,20,IF(H256=3,10,IF(H256&lt;&gt;"",1,0)))))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4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>
        <f>IF(AND(C257="",OR(E257="",E257=0)),"",(IF(E257=1,30,IF(E257=2,20,IF(E257=3,10,IF(E257&lt;&gt;"",1,0))))+IF(F257=1,30,IF(F257=2,20,IF(F257=3,10,IF(F257&lt;&gt;"",1,0))))+IF(G257=1,30,IF(G257=2,20,IF(G257=3,10,IF(G257&lt;&gt;"",1,0))))+IF(H257=1,30,IF(H257=2,20,IF(H257=3,10,IF(H257&lt;&gt;"",1,0))))))</f>
        <v/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4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>
        <f>IF(AND(C258="",OR(E258="",E258=0)),"",(IF(E258=1,30,IF(E258=2,20,IF(E258=3,10,IF(E258&lt;&gt;"",1,0))))+IF(F258=1,30,IF(F258=2,20,IF(F258=3,10,IF(F258&lt;&gt;"",1,0))))+IF(G258=1,30,IF(G258=2,20,IF(G258=3,10,IF(G258&lt;&gt;"",1,0))))+IF(H258=1,30,IF(H258=2,20,IF(H258=3,10,IF(H258&lt;&gt;"",1,0))))))</f>
        <v/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4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>
        <f>IF(AND(C259="",OR(E259="",E259=0)),"",(IF(E259=1,30,IF(E259=2,20,IF(E259=3,10,IF(E259&lt;&gt;"",1,0))))+IF(F259=1,30,IF(F259=2,20,IF(F259=3,10,IF(F259&lt;&gt;"",1,0))))+IF(G259=1,30,IF(G259=2,20,IF(G259=3,10,IF(G259&lt;&gt;"",1,0))))+IF(H259=1,30,IF(H259=2,20,IF(H259=3,10,IF(H259&lt;&gt;"",1,0))))))</f>
        <v/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4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>
        <f>IF(AND(C260="",OR(E260="",E260=0)),"",(IF(E260=1,30,IF(E260=2,20,IF(E260=3,10,IF(E260&lt;&gt;"",1,0))))+IF(F260=1,30,IF(F260=2,20,IF(F260=3,10,IF(F260&lt;&gt;"",1,0))))+IF(G260=1,30,IF(G260=2,20,IF(G260=3,10,IF(G260&lt;&gt;"",1,0))))+IF(H260=1,30,IF(H260=2,20,IF(H260=3,10,IF(H260&lt;&gt;"",1,0)))))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4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>
        <f>IF(AND(C261="",OR(E261="",E261=0)),"",(IF(E261=1,30,IF(E261=2,20,IF(E261=3,10,IF(E261&lt;&gt;"",1,0))))+IF(F261=1,30,IF(F261=2,20,IF(F261=3,10,IF(F261&lt;&gt;"",1,0))))+IF(G261=1,30,IF(G261=2,20,IF(G261=3,10,IF(G261&lt;&gt;"",1,0))))+IF(H261=1,30,IF(H261=2,20,IF(H261=3,10,IF(H261&lt;&gt;"",1,0))))))</f>
        <v/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4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>
        <f>IF(AND(C262="",OR(E262="",E262=0)),"",(IF(E262=1,30,IF(E262=2,20,IF(E262=3,10,IF(E262&lt;&gt;"",1,0))))+IF(F262=1,30,IF(F262=2,20,IF(F262=3,10,IF(F262&lt;&gt;"",1,0))))+IF(G262=1,30,IF(G262=2,20,IF(G262=3,10,IF(G262&lt;&gt;"",1,0))))+IF(H262=1,30,IF(H262=2,20,IF(H262=3,10,IF(H262&lt;&gt;"",1,0))))))</f>
        <v/>
      </c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4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>
        <f>IF(AND(C263="",OR(E263="",E263=0)),"",(IF(E263=1,30,IF(E263=2,20,IF(E263=3,10,IF(E263&lt;&gt;"",1,0))))+IF(F263=1,30,IF(F263=2,20,IF(F263=3,10,IF(F263&lt;&gt;"",1,0))))+IF(G263=1,30,IF(G263=2,20,IF(G263=3,10,IF(G263&lt;&gt;"",1,0))))+IF(H263=1,30,IF(H263=2,20,IF(H263=3,10,IF(H263&lt;&gt;"",1,0))))))</f>
        <v/>
      </c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4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>
        <f>IF(AND(C264="",OR(E264="",E264=0)),"",(IF(E264=1,30,IF(E264=2,20,IF(E264=3,10,IF(E264&lt;&gt;"",1,0))))+IF(F264=1,30,IF(F264=2,20,IF(F264=3,10,IF(F264&lt;&gt;"",1,0))))+IF(G264=1,30,IF(G264=2,20,IF(G264=3,10,IF(G264&lt;&gt;"",1,0))))+IF(H264=1,30,IF(H264=2,20,IF(H264=3,10,IF(H264&lt;&gt;"",1,0))))))</f>
        <v/>
      </c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4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>
        <f>IF(AND(C265="",OR(E265="",E265=0)),"",(IF(E265=1,30,IF(E265=2,20,IF(E265=3,10,IF(E265&lt;&gt;"",1,0))))+IF(F265=1,30,IF(F265=2,20,IF(F265=3,10,IF(F265&lt;&gt;"",1,0))))+IF(G265=1,30,IF(G265=2,20,IF(G265=3,10,IF(G265&lt;&gt;"",1,0))))+IF(H265=1,30,IF(H265=2,20,IF(H265=3,10,IF(H265&lt;&gt;"",1,0)))))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4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>
        <f>IF(AND(C266="",OR(E266="",E266=0)),"",(IF(E266=1,30,IF(E266=2,20,IF(E266=3,10,IF(E266&lt;&gt;"",1,0))))+IF(F266=1,30,IF(F266=2,20,IF(F266=3,10,IF(F266&lt;&gt;"",1,0))))+IF(G266=1,30,IF(G266=2,20,IF(G266=3,10,IF(G266&lt;&gt;"",1,0))))+IF(H266=1,30,IF(H266=2,20,IF(H266=3,10,IF(H266&lt;&gt;"",1,0))))))</f>
        <v/>
      </c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4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>
        <f>IF(AND(C267="",OR(E267="",E267=0)),"",(IF(E267=1,30,IF(E267=2,20,IF(E267=3,10,IF(E267&lt;&gt;"",1,0))))+IF(F267=1,30,IF(F267=2,20,IF(F267=3,10,IF(F267&lt;&gt;"",1,0))))+IF(G267=1,30,IF(G267=2,20,IF(G267=3,10,IF(G267&lt;&gt;"",1,0))))+IF(H267=1,30,IF(H267=2,20,IF(H267=3,10,IF(H267&lt;&gt;"",1,0))))))</f>
        <v/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4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>
        <f>IF(AND(C268="",OR(E268="",E268=0)),"",(IF(E268=1,30,IF(E268=2,20,IF(E268=3,10,IF(E268&lt;&gt;"",1,0))))+IF(F268=1,30,IF(F268=2,20,IF(F268=3,10,IF(F268&lt;&gt;"",1,0))))+IF(G268=1,30,IF(G268=2,20,IF(G268=3,10,IF(G268&lt;&gt;"",1,0))))+IF(H268=1,30,IF(H268=2,20,IF(H268=3,10,IF(H268&lt;&gt;"",1,0))))))</f>
        <v/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4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>
        <f>IF(AND(C269="",OR(E269="",E269=0)),"",(IF(E269=1,30,IF(E269=2,20,IF(E269=3,10,IF(E269&lt;&gt;"",1,0))))+IF(F269=1,30,IF(F269=2,20,IF(F269=3,10,IF(F269&lt;&gt;"",1,0))))+IF(G269=1,30,IF(G269=2,20,IF(G269=3,10,IF(G269&lt;&gt;"",1,0))))+IF(H269=1,30,IF(H269=2,20,IF(H269=3,10,IF(H269&lt;&gt;"",1,0)))))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4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>
        <f>IF(AND(C270="",OR(E270="",E270=0)),"",(IF(E270=1,30,IF(E270=2,20,IF(E270=3,10,IF(E270&lt;&gt;"",1,0))))+IF(F270=1,30,IF(F270=2,20,IF(F270=3,10,IF(F270&lt;&gt;"",1,0))))+IF(G270=1,30,IF(G270=2,20,IF(G270=3,10,IF(G270&lt;&gt;"",1,0))))+IF(H270=1,30,IF(H270=2,20,IF(H270=3,10,IF(H270&lt;&gt;"",1,0))))))</f>
        <v/>
      </c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4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>
        <f>IF(AND(C271="",OR(E271="",E271=0)),"",(IF(E271=1,30,IF(E271=2,20,IF(E271=3,10,IF(E271&lt;&gt;"",1,0))))+IF(F271=1,30,IF(F271=2,20,IF(F271=3,10,IF(F271&lt;&gt;"",1,0))))+IF(G271=1,30,IF(G271=2,20,IF(G271=3,10,IF(G271&lt;&gt;"",1,0))))+IF(H271=1,30,IF(H271=2,20,IF(H271=3,10,IF(H271&lt;&gt;"",1,0))))))</f>
        <v/>
      </c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4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>
        <f>IF(AND(C272="",OR(E272="",E272=0)),"",(IF(E272=1,30,IF(E272=2,20,IF(E272=3,10,IF(E272&lt;&gt;"",1,0))))+IF(F272=1,30,IF(F272=2,20,IF(F272=3,10,IF(F272&lt;&gt;"",1,0))))+IF(G272=1,30,IF(G272=2,20,IF(G272=3,10,IF(G272&lt;&gt;"",1,0))))+IF(H272=1,30,IF(H272=2,20,IF(H272=3,10,IF(H272&lt;&gt;"",1,0))))))</f>
        <v/>
      </c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4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>
        <f>IF(AND(C273="",OR(E273="",E273=0)),"",(IF(E273=1,30,IF(E273=2,20,IF(E273=3,10,IF(E273&lt;&gt;"",1,0))))+IF(F273=1,30,IF(F273=2,20,IF(F273=3,10,IF(F273&lt;&gt;"",1,0))))+IF(G273=1,30,IF(G273=2,20,IF(G273=3,10,IF(G273&lt;&gt;"",1,0))))+IF(H273=1,30,IF(H273=2,20,IF(H273=3,10,IF(H273&lt;&gt;"",1,0))))))</f>
        <v/>
      </c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4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>
        <f>IF(AND(C274="",OR(E274="",E274=0)),"",(IF(E274=1,30,IF(E274=2,20,IF(E274=3,10,IF(E274&lt;&gt;"",1,0))))+IF(F274=1,30,IF(F274=2,20,IF(F274=3,10,IF(F274&lt;&gt;"",1,0))))+IF(G274=1,30,IF(G274=2,20,IF(G274=3,10,IF(G274&lt;&gt;"",1,0))))+IF(H274=1,30,IF(H274=2,20,IF(H274=3,10,IF(H274&lt;&gt;"",1,0)))))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4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>
        <f>IF(AND(C275="",OR(E275="",E275=0)),"",(IF(E275=1,30,IF(E275=2,20,IF(E275=3,10,IF(E275&lt;&gt;"",1,0))))+IF(F275=1,30,IF(F275=2,20,IF(F275=3,10,IF(F275&lt;&gt;"",1,0))))+IF(G275=1,30,IF(G275=2,20,IF(G275=3,10,IF(G275&lt;&gt;"",1,0))))+IF(H275=1,30,IF(H275=2,20,IF(H275=3,10,IF(H275&lt;&gt;"",1,0))))))</f>
        <v/>
      </c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4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>
        <f>IF(AND(C276="",OR(E276="",E276=0)),"",(IF(E276=1,30,IF(E276=2,20,IF(E276=3,10,IF(E276&lt;&gt;"",1,0))))+IF(F276=1,30,IF(F276=2,20,IF(F276=3,10,IF(F276&lt;&gt;"",1,0))))+IF(G276=1,30,IF(G276=2,20,IF(G276=3,10,IF(G276&lt;&gt;"",1,0))))+IF(H276=1,30,IF(H276=2,20,IF(H276=3,10,IF(H276&lt;&gt;"",1,0))))))</f>
        <v/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4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>
        <f>IF(AND(C277="",OR(E277="",E277=0)),"",(IF(E277=1,30,IF(E277=2,20,IF(E277=3,10,IF(E277&lt;&gt;"",1,0))))+IF(F277=1,30,IF(F277=2,20,IF(F277=3,10,IF(F277&lt;&gt;"",1,0))))+IF(G277=1,30,IF(G277=2,20,IF(G277=3,10,IF(G277&lt;&gt;"",1,0))))+IF(H277=1,30,IF(H277=2,20,IF(H277=3,10,IF(H277&lt;&gt;"",1,0))))))</f>
        <v/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4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>
        <f>IF(AND(C278="",OR(E278="",E278=0)),"",(IF(E278=1,30,IF(E278=2,20,IF(E278=3,10,IF(E278&lt;&gt;"",1,0))))+IF(F278=1,30,IF(F278=2,20,IF(F278=3,10,IF(F278&lt;&gt;"",1,0))))+IF(G278=1,30,IF(G278=2,20,IF(G278=3,10,IF(G278&lt;&gt;"",1,0))))+IF(H278=1,30,IF(H278=2,20,IF(H278=3,10,IF(H278&lt;&gt;"",1,0)))))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4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>
        <f>IF(AND(C279="",OR(E279="",E279=0)),"",(IF(E279=1,30,IF(E279=2,20,IF(E279=3,10,IF(E279&lt;&gt;"",1,0))))+IF(F279=1,30,IF(F279=2,20,IF(F279=3,10,IF(F279&lt;&gt;"",1,0))))+IF(G279=1,30,IF(G279=2,20,IF(G279=3,10,IF(G279&lt;&gt;"",1,0))))+IF(H279=1,30,IF(H279=2,20,IF(H279=3,10,IF(H279&lt;&gt;"",1,0)))))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14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>
        <f>IF(AND(C280="",OR(E280="",E280=0)),"",(IF(E280=1,30,IF(E280=2,20,IF(E280=3,10,IF(E280&lt;&gt;"",1,0))))+IF(F280=1,30,IF(F280=2,20,IF(F280=3,10,IF(F280&lt;&gt;"",1,0))))+IF(G280=1,30,IF(G280=2,20,IF(G280=3,10,IF(G280&lt;&gt;"",1,0))))+IF(H280=1,30,IF(H280=2,20,IF(H280=3,10,IF(H280&lt;&gt;"",1,0)))))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14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>
        <f>IF(AND(C281="",OR(E281="",E281=0)),"",(IF(E281=1,30,IF(E281=2,20,IF(E281=3,10,IF(E281&lt;&gt;"",1,0))))+IF(F281=1,30,IF(F281=2,20,IF(F281=3,10,IF(F281&lt;&gt;"",1,0))))+IF(G281=1,30,IF(G281=2,20,IF(G281=3,10,IF(G281&lt;&gt;"",1,0))))+IF(H281=1,30,IF(H281=2,20,IF(H281=3,10,IF(H281&lt;&gt;"",1,0)))))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14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>
        <f>IF(AND(C282="",OR(E282="",E282=0)),"",(IF(E282=1,30,IF(E282=2,20,IF(E282=3,10,IF(E282&lt;&gt;"",1,0))))+IF(F282=1,30,IF(F282=2,20,IF(F282=3,10,IF(F282&lt;&gt;"",1,0))))+IF(G282=1,30,IF(G282=2,20,IF(G282=3,10,IF(G282&lt;&gt;"",1,0))))+IF(H282=1,30,IF(H282=2,20,IF(H282=3,10,IF(H282&lt;&gt;"",1,0)))))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14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>
        <f>IF(AND(C283="",OR(E283="",E283=0)),"",(IF(E283=1,30,IF(E283=2,20,IF(E283=3,10,IF(E283&lt;&gt;"",1,0))))+IF(F283=1,30,IF(F283=2,20,IF(F283=3,10,IF(F283&lt;&gt;"",1,0))))+IF(G283=1,30,IF(G283=2,20,IF(G283=3,10,IF(G283&lt;&gt;"",1,0))))+IF(H283=1,30,IF(H283=2,20,IF(H283=3,10,IF(H283&lt;&gt;"",1,0)))))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14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>
        <f>IF(AND(C284="",OR(E284="",E284=0)),"",(IF(E284=1,30,IF(E284=2,20,IF(E284=3,10,IF(E284&lt;&gt;"",1,0))))+IF(F284=1,30,IF(F284=2,20,IF(F284=3,10,IF(F284&lt;&gt;"",1,0))))+IF(G284=1,30,IF(G284=2,20,IF(G284=3,10,IF(G284&lt;&gt;"",1,0))))+IF(H284=1,30,IF(H284=2,20,IF(H284=3,10,IF(H284&lt;&gt;"",1,0)))))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14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>
        <f>IF(AND(C285="",OR(E285="",E285=0)),"",(IF(E285=1,30,IF(E285=2,20,IF(E285=3,10,IF(E285&lt;&gt;"",1,0))))+IF(F285=1,30,IF(F285=2,20,IF(F285=3,10,IF(F285&lt;&gt;"",1,0))))+IF(G285=1,30,IF(G285=2,20,IF(G285=3,10,IF(G285&lt;&gt;"",1,0))))+IF(H285=1,30,IF(H285=2,20,IF(H285=3,10,IF(H285&lt;&gt;"",1,0))))))</f>
        <v/>
      </c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14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>
        <f>IF(AND(C286="",OR(E286="",E286=0)),"",(IF(E286=1,30,IF(E286=2,20,IF(E286=3,10,IF(E286&lt;&gt;"",1,0))))+IF(F286=1,30,IF(F286=2,20,IF(F286=3,10,IF(F286&lt;&gt;"",1,0))))+IF(G286=1,30,IF(G286=2,20,IF(G286=3,10,IF(G286&lt;&gt;"",1,0))))+IF(H286=1,30,IF(H286=2,20,IF(H286=3,10,IF(H286&lt;&gt;"",1,0))))))</f>
        <v/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14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>
        <f>IF(AND(C287="",OR(E287="",E287=0)),"",(IF(E287=1,30,IF(E287=2,20,IF(E287=3,10,IF(E287&lt;&gt;"",1,0))))+IF(F287=1,30,IF(F287=2,20,IF(F287=3,10,IF(F287&lt;&gt;"",1,0))))+IF(G287=1,30,IF(G287=2,20,IF(G287=3,10,IF(G287&lt;&gt;"",1,0))))+IF(H287=1,30,IF(H287=2,20,IF(H287=3,10,IF(H287&lt;&gt;"",1,0))))))</f>
        <v/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14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>
        <f>IF(AND(C288="",OR(E288="",E288=0)),"",(IF(E288=1,30,IF(E288=2,20,IF(E288=3,10,IF(E288&lt;&gt;"",1,0))))+IF(F288=1,30,IF(F288=2,20,IF(F288=3,10,IF(F288&lt;&gt;"",1,0))))+IF(G288=1,30,IF(G288=2,20,IF(G288=3,10,IF(G288&lt;&gt;"",1,0))))+IF(H288=1,30,IF(H288=2,20,IF(H288=3,10,IF(H288&lt;&gt;"",1,0)))))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14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>
        <f>IF(AND(C289="",OR(E289="",E289=0)),"",(IF(E289=1,30,IF(E289=2,20,IF(E289=3,10,IF(E289&lt;&gt;"",1,0))))+IF(F289=1,30,IF(F289=2,20,IF(F289=3,10,IF(F289&lt;&gt;"",1,0))))+IF(G289=1,30,IF(G289=2,20,IF(G289=3,10,IF(G289&lt;&gt;"",1,0))))+IF(H289=1,30,IF(H289=2,20,IF(H289=3,10,IF(H289&lt;&gt;"",1,0)))))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14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>
        <f>IF(AND(C290="",OR(E290="",E290=0)),"",(IF(E290=1,30,IF(E290=2,20,IF(E290=3,10,IF(E290&lt;&gt;"",1,0))))+IF(F290=1,30,IF(F290=2,20,IF(F290=3,10,IF(F290&lt;&gt;"",1,0))))+IF(G290=1,30,IF(G290=2,20,IF(G290=3,10,IF(G290&lt;&gt;"",1,0))))+IF(H290=1,30,IF(H290=2,20,IF(H290=3,10,IF(H290&lt;&gt;"",1,0)))))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14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>
        <f>IF(AND(C291="",OR(E291="",E291=0)),"",(IF(E291=1,30,IF(E291=2,20,IF(E291=3,10,IF(E291&lt;&gt;"",1,0))))+IF(F291=1,30,IF(F291=2,20,IF(F291=3,10,IF(F291&lt;&gt;"",1,0))))+IF(G291=1,30,IF(G291=2,20,IF(G291=3,10,IF(G291&lt;&gt;"",1,0))))+IF(H291=1,30,IF(H291=2,20,IF(H291=3,10,IF(H291&lt;&gt;"",1,0)))))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14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>
        <f>IF(AND(C292="",OR(E292="",E292=0)),"",(IF(E292=1,30,IF(E292=2,20,IF(E292=3,10,IF(E292&lt;&gt;"",1,0))))+IF(F292=1,30,IF(F292=2,20,IF(F292=3,10,IF(F292&lt;&gt;"",1,0))))+IF(G292=1,30,IF(G292=2,20,IF(G292=3,10,IF(G292&lt;&gt;"",1,0))))+IF(H292=1,30,IF(H292=2,20,IF(H292=3,10,IF(H292&lt;&gt;"",1,0))))))</f>
        <v/>
      </c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14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>
        <f>IF(AND(C293="",OR(E293="",E293=0)),"",(IF(E293=1,30,IF(E293=2,20,IF(E293=3,10,IF(E293&lt;&gt;"",1,0))))+IF(F293=1,30,IF(F293=2,20,IF(F293=3,10,IF(F293&lt;&gt;"",1,0))))+IF(G293=1,30,IF(G293=2,20,IF(G293=3,10,IF(G293&lt;&gt;"",1,0))))+IF(H293=1,30,IF(H293=2,20,IF(H293=3,10,IF(H293&lt;&gt;"",1,0)))))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14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>
        <f>IF(AND(C294="",OR(E294="",E294=0)),"",(IF(E294=1,30,IF(E294=2,20,IF(E294=3,10,IF(E294&lt;&gt;"",1,0))))+IF(F294=1,30,IF(F294=2,20,IF(F294=3,10,IF(F294&lt;&gt;"",1,0))))+IF(G294=1,30,IF(G294=2,20,IF(G294=3,10,IF(G294&lt;&gt;"",1,0))))+IF(H294=1,30,IF(H294=2,20,IF(H294=3,10,IF(H294&lt;&gt;"",1,0))))))</f>
        <v/>
      </c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14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>
        <f>IF(AND(C295="",OR(E295="",E295=0)),"",(IF(E295=1,30,IF(E295=2,20,IF(E295=3,10,IF(E295&lt;&gt;"",1,0))))+IF(F295=1,30,IF(F295=2,20,IF(F295=3,10,IF(F295&lt;&gt;"",1,0))))+IF(G295=1,30,IF(G295=2,20,IF(G295=3,10,IF(G295&lt;&gt;"",1,0))))+IF(H295=1,30,IF(H295=2,20,IF(H295=3,10,IF(H295&lt;&gt;"",1,0))))))</f>
        <v/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14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>
        <f>IF(AND(C296="",OR(E296="",E296=0)),"",(IF(E296=1,30,IF(E296=2,20,IF(E296=3,10,IF(E296&lt;&gt;"",1,0))))+IF(F296=1,30,IF(F296=2,20,IF(F296=3,10,IF(F296&lt;&gt;"",1,0))))+IF(G296=1,30,IF(G296=2,20,IF(G296=3,10,IF(G296&lt;&gt;"",1,0))))+IF(H296=1,30,IF(H296=2,20,IF(H296=3,10,IF(H296&lt;&gt;"",1,0))))))</f>
        <v/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14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>
        <f>IF(AND(C297="",OR(E297="",E297=0)),"",(IF(E297=1,30,IF(E297=2,20,IF(E297=3,10,IF(E297&lt;&gt;"",1,0))))+IF(F297=1,30,IF(F297=2,20,IF(F297=3,10,IF(F297&lt;&gt;"",1,0))))+IF(G297=1,30,IF(G297=2,20,IF(G297=3,10,IF(G297&lt;&gt;"",1,0))))+IF(H297=1,30,IF(H297=2,20,IF(H297=3,10,IF(H297&lt;&gt;"",1,0)))))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14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>
        <f>IF(AND(C298="",OR(E298="",E298=0)),"",(IF(E298=1,30,IF(E298=2,20,IF(E298=3,10,IF(E298&lt;&gt;"",1,0))))+IF(F298=1,30,IF(F298=2,20,IF(F298=3,10,IF(F298&lt;&gt;"",1,0))))+IF(G298=1,30,IF(G298=2,20,IF(G298=3,10,IF(G298&lt;&gt;"",1,0))))+IF(H298=1,30,IF(H298=2,20,IF(H298=3,10,IF(H298&lt;&gt;"",1,0)))))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14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>
        <f>IF(AND(C299="",OR(E299="",E299=0)),"",(IF(E299=1,30,IF(E299=2,20,IF(E299=3,10,IF(E299&lt;&gt;"",1,0))))+IF(F299=1,30,IF(F299=2,20,IF(F299=3,10,IF(F299&lt;&gt;"",1,0))))+IF(G299=1,30,IF(G299=2,20,IF(G299=3,10,IF(G299&lt;&gt;"",1,0))))+IF(H299=1,30,IF(H299=2,20,IF(H299=3,10,IF(H299&lt;&gt;"",1,0))))))</f>
        <v/>
      </c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14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>
        <f>IF(AND(C300="",OR(E300="",E300=0)),"",(IF(E300=1,30,IF(E300=2,20,IF(E300=3,10,IF(E300&lt;&gt;"",1,0))))+IF(F300=1,30,IF(F300=2,20,IF(F300=3,10,IF(F300&lt;&gt;"",1,0))))+IF(G300=1,30,IF(G300=2,20,IF(G300=3,10,IF(G300&lt;&gt;"",1,0))))+IF(H300=1,30,IF(H300=2,20,IF(H300=3,10,IF(H300&lt;&gt;"",1,0))))))</f>
        <v/>
      </c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14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>
        <f>IF(AND(C301="",OR(E301="",E301=0)),"",(IF(E301=1,30,IF(E301=2,20,IF(E301=3,10,IF(E301&lt;&gt;"",1,0))))+IF(F301=1,30,IF(F301=2,20,IF(F301=3,10,IF(F301&lt;&gt;"",1,0))))+IF(G301=1,30,IF(G301=2,20,IF(G301=3,10,IF(G301&lt;&gt;"",1,0))))+IF(H301=1,30,IF(H301=2,20,IF(H301=3,10,IF(H301&lt;&gt;"",1,0))))))</f>
        <v/>
      </c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14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>
        <f>IF(AND(C302="",OR(E302="",E302=0)),"",(IF(E302=1,30,IF(E302=2,20,IF(E302=3,10,IF(E302&lt;&gt;"",1,0))))+IF(F302=1,30,IF(F302=2,20,IF(F302=3,10,IF(F302&lt;&gt;"",1,0))))+IF(G302=1,30,IF(G302=2,20,IF(G302=3,10,IF(G302&lt;&gt;"",1,0))))+IF(H302=1,30,IF(H302=2,20,IF(H302=3,10,IF(H302&lt;&gt;"",1,0)))))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14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>
        <f>IF(AND(C303="",OR(E303="",E303=0)),"",(IF(E303=1,30,IF(E303=2,20,IF(E303=3,10,IF(E303&lt;&gt;"",1,0))))+IF(F303=1,30,IF(F303=2,20,IF(F303=3,10,IF(F303&lt;&gt;"",1,0))))+IF(G303=1,30,IF(G303=2,20,IF(G303=3,10,IF(G303&lt;&gt;"",1,0))))+IF(H303=1,30,IF(H303=2,20,IF(H303=3,10,IF(H303&lt;&gt;"",1,0))))))</f>
        <v/>
      </c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14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>
        <f>IF(AND(C304="",OR(E304="",E304=0)),"",(IF(E304=1,30,IF(E304=2,20,IF(E304=3,10,IF(E304&lt;&gt;"",1,0))))+IF(F304=1,30,IF(F304=2,20,IF(F304=3,10,IF(F304&lt;&gt;"",1,0))))+IF(G304=1,30,IF(G304=2,20,IF(G304=3,10,IF(G304&lt;&gt;"",1,0))))+IF(H304=1,30,IF(H304=2,20,IF(H304=3,10,IF(H304&lt;&gt;"",1,0))))))</f>
        <v/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14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>
        <f>IF(AND(C305="",OR(E305="",E305=0)),"",(IF(E305=1,30,IF(E305=2,20,IF(E305=3,10,IF(E305&lt;&gt;"",1,0))))+IF(F305=1,30,IF(F305=2,20,IF(F305=3,10,IF(F305&lt;&gt;"",1,0))))+IF(G305=1,30,IF(G305=2,20,IF(G305=3,10,IF(G305&lt;&gt;"",1,0))))+IF(H305=1,30,IF(H305=2,20,IF(H305=3,10,IF(H305&lt;&gt;"",1,0))))))</f>
        <v/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14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>
        <f>IF(AND(C306="",OR(E306="",E306=0)),"",(IF(E306=1,30,IF(E306=2,20,IF(E306=3,10,IF(E306&lt;&gt;"",1,0))))+IF(F306=1,30,IF(F306=2,20,IF(F306=3,10,IF(F306&lt;&gt;"",1,0))))+IF(G306=1,30,IF(G306=2,20,IF(G306=3,10,IF(G306&lt;&gt;"",1,0))))+IF(H306=1,30,IF(H306=2,20,IF(H306=3,10,IF(H306&lt;&gt;"",1,0))))))</f>
        <v/>
      </c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14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>
        <f>IF(AND(C307="",OR(E307="",E307=0)),"",(IF(E307=1,30,IF(E307=2,20,IF(E307=3,10,IF(E307&lt;&gt;"",1,0))))+IF(F307=1,30,IF(F307=2,20,IF(F307=3,10,IF(F307&lt;&gt;"",1,0))))+IF(G307=1,30,IF(G307=2,20,IF(G307=3,10,IF(G307&lt;&gt;"",1,0))))+IF(H307=1,30,IF(H307=2,20,IF(H307=3,10,IF(H307&lt;&gt;"",1,0))))))</f>
        <v/>
      </c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14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>
        <f>IF(AND(C308="",OR(E308="",E308=0)),"",(IF(E308=1,30,IF(E308=2,20,IF(E308=3,10,IF(E308&lt;&gt;"",1,0))))+IF(F308=1,30,IF(F308=2,20,IF(F308=3,10,IF(F308&lt;&gt;"",1,0))))+IF(G308=1,30,IF(G308=2,20,IF(G308=3,10,IF(G308&lt;&gt;"",1,0))))+IF(H308=1,30,IF(H308=2,20,IF(H308=3,10,IF(H308&lt;&gt;"",1,0))))))</f>
        <v/>
      </c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14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>
        <f>IF(AND(C309="",OR(E309="",E309=0)),"",(IF(E309=1,30,IF(E309=2,20,IF(E309=3,10,IF(E309&lt;&gt;"",1,0))))+IF(F309=1,30,IF(F309=2,20,IF(F309=3,10,IF(F309&lt;&gt;"",1,0))))+IF(G309=1,30,IF(G309=2,20,IF(G309=3,10,IF(G309&lt;&gt;"",1,0))))+IF(H309=1,30,IF(H309=2,20,IF(H309=3,10,IF(H309&lt;&gt;"",1,0))))))</f>
        <v/>
      </c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14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>
        <f>IF(AND(C310="",OR(E310="",E310=0)),"",(IF(E310=1,30,IF(E310=2,20,IF(E310=3,10,IF(E310&lt;&gt;"",1,0))))+IF(F310=1,30,IF(F310=2,20,IF(F310=3,10,IF(F310&lt;&gt;"",1,0))))+IF(G310=1,30,IF(G310=2,20,IF(G310=3,10,IF(G310&lt;&gt;"",1,0))))+IF(H310=1,30,IF(H310=2,20,IF(H310=3,10,IF(H310&lt;&gt;"",1,0))))))</f>
        <v/>
      </c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14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>
        <f>IF(AND(C311="",OR(E311="",E311=0)),"",(IF(E311=1,30,IF(E311=2,20,IF(E311=3,10,IF(E311&lt;&gt;"",1,0))))+IF(F311=1,30,IF(F311=2,20,IF(F311=3,10,IF(F311&lt;&gt;"",1,0))))+IF(G311=1,30,IF(G311=2,20,IF(G311=3,10,IF(G311&lt;&gt;"",1,0))))+IF(H311=1,30,IF(H311=2,20,IF(H311=3,10,IF(H311&lt;&gt;"",1,0)))))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14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>
        <f>IF(AND(C312="",OR(E312="",E312=0)),"",(IF(E312=1,30,IF(E312=2,20,IF(E312=3,10,IF(E312&lt;&gt;"",1,0))))+IF(F312=1,30,IF(F312=2,20,IF(F312=3,10,IF(F312&lt;&gt;"",1,0))))+IF(G312=1,30,IF(G312=2,20,IF(G312=3,10,IF(G312&lt;&gt;"",1,0))))+IF(H312=1,30,IF(H312=2,20,IF(H312=3,10,IF(H312&lt;&gt;"",1,0))))))</f>
        <v/>
      </c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14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>
        <f>IF(AND(C313="",OR(E313="",E313=0)),"",(IF(E313=1,30,IF(E313=2,20,IF(E313=3,10,IF(E313&lt;&gt;"",1,0))))+IF(F313=1,30,IF(F313=2,20,IF(F313=3,10,IF(F313&lt;&gt;"",1,0))))+IF(G313=1,30,IF(G313=2,20,IF(G313=3,10,IF(G313&lt;&gt;"",1,0))))+IF(H313=1,30,IF(H313=2,20,IF(H313=3,10,IF(H313&lt;&gt;"",1,0))))))</f>
        <v/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14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>
        <f>IF(AND(C314="",OR(E314="",E314=0)),"",(IF(E314=1,30,IF(E314=2,20,IF(E314=3,10,IF(E314&lt;&gt;"",1,0))))+IF(F314=1,30,IF(F314=2,20,IF(F314=3,10,IF(F314&lt;&gt;"",1,0))))+IF(G314=1,30,IF(G314=2,20,IF(G314=3,10,IF(G314&lt;&gt;"",1,0))))+IF(H314=1,30,IF(H314=2,20,IF(H314=3,10,IF(H314&lt;&gt;"",1,0))))))</f>
        <v/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14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>
        <f>IF(AND(C315="",OR(E315="",E315=0)),"",(IF(E315=1,30,IF(E315=2,20,IF(E315=3,10,IF(E315&lt;&gt;"",1,0))))+IF(F315=1,30,IF(F315=2,20,IF(F315=3,10,IF(F315&lt;&gt;"",1,0))))+IF(G315=1,30,IF(G315=2,20,IF(G315=3,10,IF(G315&lt;&gt;"",1,0))))+IF(H315=1,30,IF(H315=2,20,IF(H315=3,10,IF(H315&lt;&gt;"",1,0)))))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14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>
        <f>IF(AND(C316="",OR(E316="",E316=0)),"",(IF(E316=1,30,IF(E316=2,20,IF(E316=3,10,IF(E316&lt;&gt;"",1,0))))+IF(F316=1,30,IF(F316=2,20,IF(F316=3,10,IF(F316&lt;&gt;"",1,0))))+IF(G316=1,30,IF(G316=2,20,IF(G316=3,10,IF(G316&lt;&gt;"",1,0))))+IF(H316=1,30,IF(H316=2,20,IF(H316=3,10,IF(H316&lt;&gt;"",1,0))))))</f>
        <v/>
      </c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14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>
        <f>IF(AND(C317="",OR(E317="",E317=0)),"",(IF(E317=1,30,IF(E317=2,20,IF(E317=3,10,IF(E317&lt;&gt;"",1,0))))+IF(F317=1,30,IF(F317=2,20,IF(F317=3,10,IF(F317&lt;&gt;"",1,0))))+IF(G317=1,30,IF(G317=2,20,IF(G317=3,10,IF(G317&lt;&gt;"",1,0))))+IF(H317=1,30,IF(H317=2,20,IF(H317=3,10,IF(H317&lt;&gt;"",1,0))))))</f>
        <v/>
      </c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14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>
        <f>IF(AND(C318="",OR(E318="",E318=0)),"",(IF(E318=1,30,IF(E318=2,20,IF(E318=3,10,IF(E318&lt;&gt;"",1,0))))+IF(F318=1,30,IF(F318=2,20,IF(F318=3,10,IF(F318&lt;&gt;"",1,0))))+IF(G318=1,30,IF(G318=2,20,IF(G318=3,10,IF(G318&lt;&gt;"",1,0))))+IF(H318=1,30,IF(H318=2,20,IF(H318=3,10,IF(H318&lt;&gt;"",1,0))))))</f>
        <v/>
      </c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14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>
        <f>IF(AND(C319="",OR(E319="",E319=0)),"",(IF(E319=1,30,IF(E319=2,20,IF(E319=3,10,IF(E319&lt;&gt;"",1,0))))+IF(F319=1,30,IF(F319=2,20,IF(F319=3,10,IF(F319&lt;&gt;"",1,0))))+IF(G319=1,30,IF(G319=2,20,IF(G319=3,10,IF(G319&lt;&gt;"",1,0))))+IF(H319=1,30,IF(H319=2,20,IF(H319=3,10,IF(H319&lt;&gt;"",1,0))))))</f>
        <v/>
      </c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14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>
        <f>IF(AND(C320="",OR(E320="",E320=0)),"",(IF(E320=1,30,IF(E320=2,20,IF(E320=3,10,IF(E320&lt;&gt;"",1,0))))+IF(F320=1,30,IF(F320=2,20,IF(F320=3,10,IF(F320&lt;&gt;"",1,0))))+IF(G320=1,30,IF(G320=2,20,IF(G320=3,10,IF(G320&lt;&gt;"",1,0))))+IF(H320=1,30,IF(H320=2,20,IF(H320=3,10,IF(H320&lt;&gt;"",1,0)))))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14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>
        <f>IF(AND(C321="",OR(E321="",E321=0)),"",(IF(E321=1,30,IF(E321=2,20,IF(E321=3,10,IF(E321&lt;&gt;"",1,0))))+IF(F321=1,30,IF(F321=2,20,IF(F321=3,10,IF(F321&lt;&gt;"",1,0))))+IF(G321=1,30,IF(G321=2,20,IF(G321=3,10,IF(G321&lt;&gt;"",1,0))))+IF(H321=1,30,IF(H321=2,20,IF(H321=3,10,IF(H321&lt;&gt;"",1,0))))))</f>
        <v/>
      </c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14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>
        <f>IF(AND(C322="",OR(E322="",E322=0)),"",(IF(E322=1,30,IF(E322=2,20,IF(E322=3,10,IF(E322&lt;&gt;"",1,0))))+IF(F322=1,30,IF(F322=2,20,IF(F322=3,10,IF(F322&lt;&gt;"",1,0))))+IF(G322=1,30,IF(G322=2,20,IF(G322=3,10,IF(G322&lt;&gt;"",1,0))))+IF(H322=1,30,IF(H322=2,20,IF(H322=3,10,IF(H322&lt;&gt;"",1,0))))))</f>
        <v/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14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>
        <f>IF(AND(C323="",OR(E323="",E323=0)),"",(IF(E323=1,30,IF(E323=2,20,IF(E323=3,10,IF(E323&lt;&gt;"",1,0))))+IF(F323=1,30,IF(F323=2,20,IF(F323=3,10,IF(F323&lt;&gt;"",1,0))))+IF(G323=1,30,IF(G323=2,20,IF(G323=3,10,IF(G323&lt;&gt;"",1,0))))+IF(H323=1,30,IF(H323=2,20,IF(H323=3,10,IF(H323&lt;&gt;"",1,0))))))</f>
        <v/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14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>
        <f>IF(AND(C324="",OR(E324="",E324=0)),"",(IF(E324=1,30,IF(E324=2,20,IF(E324=3,10,IF(E324&lt;&gt;"",1,0))))+IF(F324=1,30,IF(F324=2,20,IF(F324=3,10,IF(F324&lt;&gt;"",1,0))))+IF(G324=1,30,IF(G324=2,20,IF(G324=3,10,IF(G324&lt;&gt;"",1,0))))+IF(H324=1,30,IF(H324=2,20,IF(H324=3,10,IF(H324&lt;&gt;"",1,0)))))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14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>
        <f>IF(AND(C325="",OR(E325="",E325=0)),"",(IF(E325=1,30,IF(E325=2,20,IF(E325=3,10,IF(E325&lt;&gt;"",1,0))))+IF(F325=1,30,IF(F325=2,20,IF(F325=3,10,IF(F325&lt;&gt;"",1,0))))+IF(G325=1,30,IF(G325=2,20,IF(G325=3,10,IF(G325&lt;&gt;"",1,0))))+IF(H325=1,30,IF(H325=2,20,IF(H325=3,10,IF(H325&lt;&gt;"",1,0))))))</f>
        <v/>
      </c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14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>
        <f>IF(AND(C326="",OR(E326="",E326=0)),"",(IF(E326=1,30,IF(E326=2,20,IF(E326=3,10,IF(E326&lt;&gt;"",1,0))))+IF(F326=1,30,IF(F326=2,20,IF(F326=3,10,IF(F326&lt;&gt;"",1,0))))+IF(G326=1,30,IF(G326=2,20,IF(G326=3,10,IF(G326&lt;&gt;"",1,0))))+IF(H326=1,30,IF(H326=2,20,IF(H326=3,10,IF(H326&lt;&gt;"",1,0))))))</f>
        <v/>
      </c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14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>
        <f>IF(AND(C327="",OR(E327="",E327=0)),"",(IF(E327=1,30,IF(E327=2,20,IF(E327=3,10,IF(E327&lt;&gt;"",1,0))))+IF(F327=1,30,IF(F327=2,20,IF(F327=3,10,IF(F327&lt;&gt;"",1,0))))+IF(G327=1,30,IF(G327=2,20,IF(G327=3,10,IF(G327&lt;&gt;"",1,0))))+IF(H327=1,30,IF(H327=2,20,IF(H327=3,10,IF(H327&lt;&gt;"",1,0))))))</f>
        <v/>
      </c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14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>
        <f>IF(AND(C328="",OR(E328="",E328=0)),"",(IF(E328=1,30,IF(E328=2,20,IF(E328=3,10,IF(E328&lt;&gt;"",1,0))))+IF(F328=1,30,IF(F328=2,20,IF(F328=3,10,IF(F328&lt;&gt;"",1,0))))+IF(G328=1,30,IF(G328=2,20,IF(G328=3,10,IF(G328&lt;&gt;"",1,0))))+IF(H328=1,30,IF(H328=2,20,IF(H328=3,10,IF(H328&lt;&gt;"",1,0))))))</f>
        <v/>
      </c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14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>
        <f>IF(AND(C329="",OR(E329="",E329=0)),"",(IF(E329=1,30,IF(E329=2,20,IF(E329=3,10,IF(E329&lt;&gt;"",1,0))))+IF(F329=1,30,IF(F329=2,20,IF(F329=3,10,IF(F329&lt;&gt;"",1,0))))+IF(G329=1,30,IF(G329=2,20,IF(G329=3,10,IF(G329&lt;&gt;"",1,0))))+IF(H329=1,30,IF(H329=2,20,IF(H329=3,10,IF(H329&lt;&gt;"",1,0)))))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14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>
        <f>IF(AND(C330="",OR(E330="",E330=0)),"",(IF(E330=1,30,IF(E330=2,20,IF(E330=3,10,IF(E330&lt;&gt;"",1,0))))+IF(F330=1,30,IF(F330=2,20,IF(F330=3,10,IF(F330&lt;&gt;"",1,0))))+IF(G330=1,30,IF(G330=2,20,IF(G330=3,10,IF(G330&lt;&gt;"",1,0))))+IF(H330=1,30,IF(H330=2,20,IF(H330=3,10,IF(H330&lt;&gt;"",1,0))))))</f>
        <v/>
      </c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14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>
        <f>IF(AND(C331="",OR(E331="",E331=0)),"",(IF(E331=1,30,IF(E331=2,20,IF(E331=3,10,IF(E331&lt;&gt;"",1,0))))+IF(F331=1,30,IF(F331=2,20,IF(F331=3,10,IF(F331&lt;&gt;"",1,0))))+IF(G331=1,30,IF(G331=2,20,IF(G331=3,10,IF(G331&lt;&gt;"",1,0))))+IF(H331=1,30,IF(H331=2,20,IF(H331=3,10,IF(H331&lt;&gt;"",1,0))))))</f>
        <v/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14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>
        <f>IF(AND(C332="",OR(E332="",E332=0)),"",(IF(E332=1,30,IF(E332=2,20,IF(E332=3,10,IF(E332&lt;&gt;"",1,0))))+IF(F332=1,30,IF(F332=2,20,IF(F332=3,10,IF(F332&lt;&gt;"",1,0))))+IF(G332=1,30,IF(G332=2,20,IF(G332=3,10,IF(G332&lt;&gt;"",1,0))))+IF(H332=1,30,IF(H332=2,20,IF(H332=3,10,IF(H332&lt;&gt;"",1,0))))))</f>
        <v/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14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>
        <f>IF(AND(C333="",OR(E333="",E333=0)),"",(IF(E333=1,30,IF(E333=2,20,IF(E333=3,10,IF(E333&lt;&gt;"",1,0))))+IF(F333=1,30,IF(F333=2,20,IF(F333=3,10,IF(F333&lt;&gt;"",1,0))))+IF(G333=1,30,IF(G333=2,20,IF(G333=3,10,IF(G333&lt;&gt;"",1,0))))+IF(H333=1,30,IF(H333=2,20,IF(H333=3,10,IF(H333&lt;&gt;"",1,0)))))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14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>
        <f>IF(AND(C334="",OR(E334="",E334=0)),"",(IF(E334=1,30,IF(E334=2,20,IF(E334=3,10,IF(E334&lt;&gt;"",1,0))))+IF(F334=1,30,IF(F334=2,20,IF(F334=3,10,IF(F334&lt;&gt;"",1,0))))+IF(G334=1,30,IF(G334=2,20,IF(G334=3,10,IF(G334&lt;&gt;"",1,0))))+IF(H334=1,30,IF(H334=2,20,IF(H334=3,10,IF(H334&lt;&gt;"",1,0))))))</f>
        <v/>
      </c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14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>
        <f>IF(AND(C335="",OR(E335="",E335=0)),"",(IF(E335=1,30,IF(E335=2,20,IF(E335=3,10,IF(E335&lt;&gt;"",1,0))))+IF(F335=1,30,IF(F335=2,20,IF(F335=3,10,IF(F335&lt;&gt;"",1,0))))+IF(G335=1,30,IF(G335=2,20,IF(G335=3,10,IF(G335&lt;&gt;"",1,0))))+IF(H335=1,30,IF(H335=2,20,IF(H335=3,10,IF(H335&lt;&gt;"",1,0))))))</f>
        <v/>
      </c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14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>
        <f>IF(AND(C336="",OR(E336="",E336=0)),"",(IF(E336=1,30,IF(E336=2,20,IF(E336=3,10,IF(E336&lt;&gt;"",1,0))))+IF(F336=1,30,IF(F336=2,20,IF(F336=3,10,IF(F336&lt;&gt;"",1,0))))+IF(G336=1,30,IF(G336=2,20,IF(G336=3,10,IF(G336&lt;&gt;"",1,0))))+IF(H336=1,30,IF(H336=2,20,IF(H336=3,10,IF(H336&lt;&gt;"",1,0))))))</f>
        <v/>
      </c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14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>
        <f>IF(AND(C337="",OR(E337="",E337=0)),"",(IF(E337=1,30,IF(E337=2,20,IF(E337=3,10,IF(E337&lt;&gt;"",1,0))))+IF(F337=1,30,IF(F337=2,20,IF(F337=3,10,IF(F337&lt;&gt;"",1,0))))+IF(G337=1,30,IF(G337=2,20,IF(G337=3,10,IF(G337&lt;&gt;"",1,0))))+IF(H337=1,30,IF(H337=2,20,IF(H337=3,10,IF(H337&lt;&gt;"",1,0))))))</f>
        <v/>
      </c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14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>
        <f>IF(AND(C338="",OR(E338="",E338=0)),"",(IF(E338=1,30,IF(E338=2,20,IF(E338=3,10,IF(E338&lt;&gt;"",1,0))))+IF(F338=1,30,IF(F338=2,20,IF(F338=3,10,IF(F338&lt;&gt;"",1,0))))+IF(G338=1,30,IF(G338=2,20,IF(G338=3,10,IF(G338&lt;&gt;"",1,0))))+IF(H338=1,30,IF(H338=2,20,IF(H338=3,10,IF(H338&lt;&gt;"",1,0)))))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14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>
        <f>IF(AND(C339="",OR(E339="",E339=0)),"",(IF(E339=1,30,IF(E339=2,20,IF(E339=3,10,IF(E339&lt;&gt;"",1,0))))+IF(F339=1,30,IF(F339=2,20,IF(F339=3,10,IF(F339&lt;&gt;"",1,0))))+IF(G339=1,30,IF(G339=2,20,IF(G339=3,10,IF(G339&lt;&gt;"",1,0))))+IF(H339=1,30,IF(H339=2,20,IF(H339=3,10,IF(H339&lt;&gt;"",1,0))))))</f>
        <v/>
      </c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14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>
        <f>IF(AND(C340="",OR(E340="",E340=0)),"",(IF(E340=1,30,IF(E340=2,20,IF(E340=3,10,IF(E340&lt;&gt;"",1,0))))+IF(F340=1,30,IF(F340=2,20,IF(F340=3,10,IF(F340&lt;&gt;"",1,0))))+IF(G340=1,30,IF(G340=2,20,IF(G340=3,10,IF(G340&lt;&gt;"",1,0))))+IF(H340=1,30,IF(H340=2,20,IF(H340=3,10,IF(H340&lt;&gt;"",1,0))))))</f>
        <v/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14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>
        <f>IF(AND(C341="",OR(E341="",E341=0)),"",(IF(E341=1,30,IF(E341=2,20,IF(E341=3,10,IF(E341&lt;&gt;"",1,0))))+IF(F341=1,30,IF(F341=2,20,IF(F341=3,10,IF(F341&lt;&gt;"",1,0))))+IF(G341=1,30,IF(G341=2,20,IF(G341=3,10,IF(G341&lt;&gt;"",1,0))))+IF(H341=1,30,IF(H341=2,20,IF(H341=3,10,IF(H341&lt;&gt;"",1,0))))))</f>
        <v/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14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>
        <f>IF(AND(C342="",OR(E342="",E342=0)),"",(IF(E342=1,30,IF(E342=2,20,IF(E342=3,10,IF(E342&lt;&gt;"",1,0))))+IF(F342=1,30,IF(F342=2,20,IF(F342=3,10,IF(F342&lt;&gt;"",1,0))))+IF(G342=1,30,IF(G342=2,20,IF(G342=3,10,IF(G342&lt;&gt;"",1,0))))+IF(H342=1,30,IF(H342=2,20,IF(H342=3,10,IF(H342&lt;&gt;"",1,0)))))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1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>
        <f>IF(AND(C343="",OR(E343="",E343=0)),"",(IF(E343=1,30,IF(E343=2,20,IF(E343=3,10,IF(E343&lt;&gt;"",1,0))))+IF(F343=1,30,IF(F343=2,20,IF(F343=3,10,IF(F343&lt;&gt;"",1,0))))+IF(G343=1,30,IF(G343=2,20,IF(G343=3,10,IF(G343&lt;&gt;"",1,0))))+IF(H343=1,30,IF(H343=2,20,IF(H343=3,10,IF(H343&lt;&gt;"",1,0))))))</f>
        <v/>
      </c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14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>
        <f>IF(AND(C344="",OR(E344="",E344=0)),"",(IF(E344=1,30,IF(E344=2,20,IF(E344=3,10,IF(E344&lt;&gt;"",1,0))))+IF(F344=1,30,IF(F344=2,20,IF(F344=3,10,IF(F344&lt;&gt;"",1,0))))+IF(G344=1,30,IF(G344=2,20,IF(G344=3,10,IF(G344&lt;&gt;"",1,0))))+IF(H344=1,30,IF(H344=2,20,IF(H344=3,10,IF(H344&lt;&gt;"",1,0))))))</f>
        <v/>
      </c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14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>
        <f>IF(AND(C345="",OR(E345="",E345=0)),"",(IF(E345=1,30,IF(E345=2,20,IF(E345=3,10,IF(E345&lt;&gt;"",1,0))))+IF(F345=1,30,IF(F345=2,20,IF(F345=3,10,IF(F345&lt;&gt;"",1,0))))+IF(G345=1,30,IF(G345=2,20,IF(G345=3,10,IF(G345&lt;&gt;"",1,0))))+IF(H345=1,30,IF(H345=2,20,IF(H345=3,10,IF(H345&lt;&gt;"",1,0))))))</f>
        <v/>
      </c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14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>
        <f>IF(AND(C346="",OR(E346="",E346=0)),"",(IF(E346=1,30,IF(E346=2,20,IF(E346=3,10,IF(E346&lt;&gt;"",1,0))))+IF(F346=1,30,IF(F346=2,20,IF(F346=3,10,IF(F346&lt;&gt;"",1,0))))+IF(G346=1,30,IF(G346=2,20,IF(G346=3,10,IF(G346&lt;&gt;"",1,0))))+IF(H346=1,30,IF(H346=2,20,IF(H346=3,10,IF(H346&lt;&gt;"",1,0))))))</f>
        <v/>
      </c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14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>
        <f>IF(AND(C347="",OR(E347="",E347=0)),"",(IF(E347=1,30,IF(E347=2,20,IF(E347=3,10,IF(E347&lt;&gt;"",1,0))))+IF(F347=1,30,IF(F347=2,20,IF(F347=3,10,IF(F347&lt;&gt;"",1,0))))+IF(G347=1,30,IF(G347=2,20,IF(G347=3,10,IF(G347&lt;&gt;"",1,0))))+IF(H347=1,30,IF(H347=2,20,IF(H347=3,10,IF(H347&lt;&gt;"",1,0)))))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14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>
        <f>IF(AND(C348="",OR(E348="",E348=0)),"",(IF(E348=1,30,IF(E348=2,20,IF(E348=3,10,IF(E348&lt;&gt;"",1,0))))+IF(F348=1,30,IF(F348=2,20,IF(F348=3,10,IF(F348&lt;&gt;"",1,0))))+IF(G348=1,30,IF(G348=2,20,IF(G348=3,10,IF(G348&lt;&gt;"",1,0))))+IF(H348=1,30,IF(H348=2,20,IF(H348=3,10,IF(H348&lt;&gt;"",1,0))))))</f>
        <v/>
      </c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14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>
        <f>IF(AND(C349="",OR(E349="",E349=0)),"",(IF(E349=1,30,IF(E349=2,20,IF(E349=3,10,IF(E349&lt;&gt;"",1,0))))+IF(F349=1,30,IF(F349=2,20,IF(F349=3,10,IF(F349&lt;&gt;"",1,0))))+IF(G349=1,30,IF(G349=2,20,IF(G349=3,10,IF(G349&lt;&gt;"",1,0))))+IF(H349=1,30,IF(H349=2,20,IF(H349=3,10,IF(H349&lt;&gt;"",1,0))))))</f>
        <v/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14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>
        <f>IF(AND(C350="",OR(E350="",E350=0)),"",(IF(E350=1,30,IF(E350=2,20,IF(E350=3,10,IF(E350&lt;&gt;"",1,0))))+IF(F350=1,30,IF(F350=2,20,IF(F350=3,10,IF(F350&lt;&gt;"",1,0))))+IF(G350=1,30,IF(G350=2,20,IF(G350=3,10,IF(G350&lt;&gt;"",1,0))))+IF(H350=1,30,IF(H350=2,20,IF(H350=3,10,IF(H350&lt;&gt;"",1,0))))))</f>
        <v/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14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>
        <f>IF(AND(C351="",OR(E351="",E351=0)),"",(IF(E351=1,30,IF(E351=2,20,IF(E351=3,10,IF(E351&lt;&gt;"",1,0))))+IF(F351=1,30,IF(F351=2,20,IF(F351=3,10,IF(F351&lt;&gt;"",1,0))))+IF(G351=1,30,IF(G351=2,20,IF(G351=3,10,IF(G351&lt;&gt;"",1,0))))+IF(H351=1,30,IF(H351=2,20,IF(H351=3,10,IF(H351&lt;&gt;"",1,0))))))</f>
        <v/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14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>
        <f>IF(AND(C352="",OR(E352="",E352=0)),"",(IF(E352=1,30,IF(E352=2,20,IF(E352=3,10,IF(E352&lt;&gt;"",1,0))))+IF(F352=1,30,IF(F352=2,20,IF(F352=3,10,IF(F352&lt;&gt;"",1,0))))+IF(G352=1,30,IF(G352=2,20,IF(G352=3,10,IF(G352&lt;&gt;"",1,0))))+IF(H352=1,30,IF(H352=2,20,IF(H352=3,10,IF(H352&lt;&gt;"",1,0))))))</f>
        <v/>
      </c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14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>
        <f>IF(AND(C353="",OR(E353="",E353=0)),"",(IF(E353=1,30,IF(E353=2,20,IF(E353=3,10,IF(E353&lt;&gt;"",1,0))))+IF(F353=1,30,IF(F353=2,20,IF(F353=3,10,IF(F353&lt;&gt;"",1,0))))+IF(G353=1,30,IF(G353=2,20,IF(G353=3,10,IF(G353&lt;&gt;"",1,0))))+IF(H353=1,30,IF(H353=2,20,IF(H353=3,10,IF(H353&lt;&gt;"",1,0))))))</f>
        <v/>
      </c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14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>
        <f>IF(AND(C354="",OR(E354="",E354=0)),"",(IF(E354=1,30,IF(E354=2,20,IF(E354=3,10,IF(E354&lt;&gt;"",1,0))))+IF(F354=1,30,IF(F354=2,20,IF(F354=3,10,IF(F354&lt;&gt;"",1,0))))+IF(G354=1,30,IF(G354=2,20,IF(G354=3,10,IF(G354&lt;&gt;"",1,0))))+IF(H354=1,30,IF(H354=2,20,IF(H354=3,10,IF(H354&lt;&gt;"",1,0))))))</f>
        <v/>
      </c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14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>
        <f>IF(AND(C355="",OR(E355="",E355=0)),"",(IF(E355=1,30,IF(E355=2,20,IF(E355=3,10,IF(E355&lt;&gt;"",1,0))))+IF(F355=1,30,IF(F355=2,20,IF(F355=3,10,IF(F355&lt;&gt;"",1,0))))+IF(G355=1,30,IF(G355=2,20,IF(G355=3,10,IF(G355&lt;&gt;"",1,0))))+IF(H355=1,30,IF(H355=2,20,IF(H355=3,10,IF(H355&lt;&gt;"",1,0))))))</f>
        <v/>
      </c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14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>
        <f>IF(AND(C356="",OR(E356="",E356=0)),"",(IF(E356=1,30,IF(E356=2,20,IF(E356=3,10,IF(E356&lt;&gt;"",1,0))))+IF(F356=1,30,IF(F356=2,20,IF(F356=3,10,IF(F356&lt;&gt;"",1,0))))+IF(G356=1,30,IF(G356=2,20,IF(G356=3,10,IF(G356&lt;&gt;"",1,0))))+IF(H356=1,30,IF(H356=2,20,IF(H356=3,10,IF(H356&lt;&gt;"",1,0)))))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14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>
        <f>IF(AND(C357="",OR(E357="",E357=0)),"",(IF(E357=1,30,IF(E357=2,20,IF(E357=3,10,IF(E357&lt;&gt;"",1,0))))+IF(F357=1,30,IF(F357=2,20,IF(F357=3,10,IF(F357&lt;&gt;"",1,0))))+IF(G357=1,30,IF(G357=2,20,IF(G357=3,10,IF(G357&lt;&gt;"",1,0))))+IF(H357=1,30,IF(H357=2,20,IF(H357=3,10,IF(H357&lt;&gt;"",1,0))))))</f>
        <v/>
      </c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14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>
        <f>IF(AND(C358="",OR(E358="",E358=0)),"",(IF(E358=1,30,IF(E358=2,20,IF(E358=3,10,IF(E358&lt;&gt;"",1,0))))+IF(F358=1,30,IF(F358=2,20,IF(F358=3,10,IF(F358&lt;&gt;"",1,0))))+IF(G358=1,30,IF(G358=2,20,IF(G358=3,10,IF(G358&lt;&gt;"",1,0))))+IF(H358=1,30,IF(H358=2,20,IF(H358=3,10,IF(H358&lt;&gt;"",1,0))))))</f>
        <v/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14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>
        <f>IF(AND(C359="",OR(E359="",E359=0)),"",(IF(E359=1,30,IF(E359=2,20,IF(E359=3,10,IF(E359&lt;&gt;"",1,0))))+IF(F359=1,30,IF(F359=2,20,IF(F359=3,10,IF(F359&lt;&gt;"",1,0))))+IF(G359=1,30,IF(G359=2,20,IF(G359=3,10,IF(G359&lt;&gt;"",1,0))))+IF(H359=1,30,IF(H359=2,20,IF(H359=3,10,IF(H359&lt;&gt;"",1,0))))))</f>
        <v/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14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>
        <f>IF(AND(C360="",OR(E360="",E360=0)),"",(IF(E360=1,30,IF(E360=2,20,IF(E360=3,10,IF(E360&lt;&gt;"",1,0))))+IF(F360=1,30,IF(F360=2,20,IF(F360=3,10,IF(F360&lt;&gt;"",1,0))))+IF(G360=1,30,IF(G360=2,20,IF(G360=3,10,IF(G360&lt;&gt;"",1,0))))+IF(H360=1,30,IF(H360=2,20,IF(H360=3,10,IF(H360&lt;&gt;"",1,0)))))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14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>
        <f>IF(AND(C361="",OR(E361="",E361=0)),"",(IF(E361=1,30,IF(E361=2,20,IF(E361=3,10,IF(E361&lt;&gt;"",1,0))))+IF(F361=1,30,IF(F361=2,20,IF(F361=3,10,IF(F361&lt;&gt;"",1,0))))+IF(G361=1,30,IF(G361=2,20,IF(G361=3,10,IF(G361&lt;&gt;"",1,0))))+IF(H361=1,30,IF(H361=2,20,IF(H361=3,10,IF(H361&lt;&gt;"",1,0))))))</f>
        <v/>
      </c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14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>
        <f>IF(AND(C362="",OR(E362="",E362=0)),"",(IF(E362=1,30,IF(E362=2,20,IF(E362=3,10,IF(E362&lt;&gt;"",1,0))))+IF(F362=1,30,IF(F362=2,20,IF(F362=3,10,IF(F362&lt;&gt;"",1,0))))+IF(G362=1,30,IF(G362=2,20,IF(G362=3,10,IF(G362&lt;&gt;"",1,0))))+IF(H362=1,30,IF(H362=2,20,IF(H362=3,10,IF(H362&lt;&gt;"",1,0))))))</f>
        <v/>
      </c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14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>
        <f>IF(AND(C363="",OR(E363="",E363=0)),"",(IF(E363=1,30,IF(E363=2,20,IF(E363=3,10,IF(E363&lt;&gt;"",1,0))))+IF(F363=1,30,IF(F363=2,20,IF(F363=3,10,IF(F363&lt;&gt;"",1,0))))+IF(G363=1,30,IF(G363=2,20,IF(G363=3,10,IF(G363&lt;&gt;"",1,0))))+IF(H363=1,30,IF(H363=2,20,IF(H363=3,10,IF(H363&lt;&gt;"",1,0))))))</f>
        <v/>
      </c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14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>
        <f>IF(AND(C364="",OR(E364="",E364=0)),"",(IF(E364=1,30,IF(E364=2,20,IF(E364=3,10,IF(E364&lt;&gt;"",1,0))))+IF(F364=1,30,IF(F364=2,20,IF(F364=3,10,IF(F364&lt;&gt;"",1,0))))+IF(G364=1,30,IF(G364=2,20,IF(G364=3,10,IF(G364&lt;&gt;"",1,0))))+IF(H364=1,30,IF(H364=2,20,IF(H364=3,10,IF(H364&lt;&gt;"",1,0))))))</f>
        <v/>
      </c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14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>
        <f>IF(AND(C365="",OR(E365="",E365=0)),"",(IF(E365=1,30,IF(E365=2,20,IF(E365=3,10,IF(E365&lt;&gt;"",1,0))))+IF(F365=1,30,IF(F365=2,20,IF(F365=3,10,IF(F365&lt;&gt;"",1,0))))+IF(G365=1,30,IF(G365=2,20,IF(G365=3,10,IF(G365&lt;&gt;"",1,0))))+IF(H365=1,30,IF(H365=2,20,IF(H365=3,10,IF(H365&lt;&gt;"",1,0)))))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14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>
        <f>IF(AND(C366="",OR(E366="",E366=0)),"",(IF(E366=1,30,IF(E366=2,20,IF(E366=3,10,IF(E366&lt;&gt;"",1,0))))+IF(F366=1,30,IF(F366=2,20,IF(F366=3,10,IF(F366&lt;&gt;"",1,0))))+IF(G366=1,30,IF(G366=2,20,IF(G366=3,10,IF(G366&lt;&gt;"",1,0))))+IF(H366=1,30,IF(H366=2,20,IF(H366=3,10,IF(H366&lt;&gt;"",1,0))))))</f>
        <v/>
      </c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14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>
        <f>IF(AND(C367="",OR(E367="",E367=0)),"",(IF(E367=1,30,IF(E367=2,20,IF(E367=3,10,IF(E367&lt;&gt;"",1,0))))+IF(F367=1,30,IF(F367=2,20,IF(F367=3,10,IF(F367&lt;&gt;"",1,0))))+IF(G367=1,30,IF(G367=2,20,IF(G367=3,10,IF(G367&lt;&gt;"",1,0))))+IF(H367=1,30,IF(H367=2,20,IF(H367=3,10,IF(H367&lt;&gt;"",1,0))))))</f>
        <v/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14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>
        <f>IF(AND(C368="",OR(E368="",E368=0)),"",(IF(E368=1,30,IF(E368=2,20,IF(E368=3,10,IF(E368&lt;&gt;"",1,0))))+IF(F368=1,30,IF(F368=2,20,IF(F368=3,10,IF(F368&lt;&gt;"",1,0))))+IF(G368=1,30,IF(G368=2,20,IF(G368=3,10,IF(G368&lt;&gt;"",1,0))))+IF(H368=1,30,IF(H368=2,20,IF(H368=3,10,IF(H368&lt;&gt;"",1,0))))))</f>
        <v/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14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>
        <f>IF(AND(C369="",OR(E369="",E369=0)),"",(IF(E369=1,30,IF(E369=2,20,IF(E369=3,10,IF(E369&lt;&gt;"",1,0))))+IF(F369=1,30,IF(F369=2,20,IF(F369=3,10,IF(F369&lt;&gt;"",1,0))))+IF(G369=1,30,IF(G369=2,20,IF(G369=3,10,IF(G369&lt;&gt;"",1,0))))+IF(H369=1,30,IF(H369=2,20,IF(H369=3,10,IF(H369&lt;&gt;"",1,0)))))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14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>
        <f>IF(AND(C370="",OR(E370="",E370=0)),"",(IF(E370=1,30,IF(E370=2,20,IF(E370=3,10,IF(E370&lt;&gt;"",1,0))))+IF(F370=1,30,IF(F370=2,20,IF(F370=3,10,IF(F370&lt;&gt;"",1,0))))+IF(G370=1,30,IF(G370=2,20,IF(G370=3,10,IF(G370&lt;&gt;"",1,0))))+IF(H370=1,30,IF(H370=2,20,IF(H370=3,10,IF(H370&lt;&gt;"",1,0))))))</f>
        <v/>
      </c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14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>
        <f>IF(AND(C371="",OR(E371="",E371=0)),"",(IF(E371=1,30,IF(E371=2,20,IF(E371=3,10,IF(E371&lt;&gt;"",1,0))))+IF(F371=1,30,IF(F371=2,20,IF(F371=3,10,IF(F371&lt;&gt;"",1,0))))+IF(G371=1,30,IF(G371=2,20,IF(G371=3,10,IF(G371&lt;&gt;"",1,0))))+IF(H371=1,30,IF(H371=2,20,IF(H371=3,10,IF(H371&lt;&gt;"",1,0))))))</f>
        <v/>
      </c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14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>
        <f>IF(AND(C372="",OR(E372="",E372=0)),"",(IF(E372=1,30,IF(E372=2,20,IF(E372=3,10,IF(E372&lt;&gt;"",1,0))))+IF(F372=1,30,IF(F372=2,20,IF(F372=3,10,IF(F372&lt;&gt;"",1,0))))+IF(G372=1,30,IF(G372=2,20,IF(G372=3,10,IF(G372&lt;&gt;"",1,0))))+IF(H372=1,30,IF(H372=2,20,IF(H372=3,10,IF(H372&lt;&gt;"",1,0))))))</f>
        <v/>
      </c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14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>
        <f>IF(AND(C373="",OR(E373="",E373=0)),"",(IF(E373=1,30,IF(E373=2,20,IF(E373=3,10,IF(E373&lt;&gt;"",1,0))))+IF(F373=1,30,IF(F373=2,20,IF(F373=3,10,IF(F373&lt;&gt;"",1,0))))+IF(G373=1,30,IF(G373=2,20,IF(G373=3,10,IF(G373&lt;&gt;"",1,0))))+IF(H373=1,30,IF(H373=2,20,IF(H373=3,10,IF(H373&lt;&gt;"",1,0))))))</f>
        <v/>
      </c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14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>
        <f>IF(AND(C374="",OR(E374="",E374=0)),"",(IF(E374=1,30,IF(E374=2,20,IF(E374=3,10,IF(E374&lt;&gt;"",1,0))))+IF(F374=1,30,IF(F374=2,20,IF(F374=3,10,IF(F374&lt;&gt;"",1,0))))+IF(G374=1,30,IF(G374=2,20,IF(G374=3,10,IF(G374&lt;&gt;"",1,0))))+IF(H374=1,30,IF(H374=2,20,IF(H374=3,10,IF(H374&lt;&gt;"",1,0)))))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14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>
        <f>IF(AND(C375="",OR(E375="",E375=0)),"",(IF(E375=1,30,IF(E375=2,20,IF(E375=3,10,IF(E375&lt;&gt;"",1,0))))+IF(F375=1,30,IF(F375=2,20,IF(F375=3,10,IF(F375&lt;&gt;"",1,0))))+IF(G375=1,30,IF(G375=2,20,IF(G375=3,10,IF(G375&lt;&gt;"",1,0))))+IF(H375=1,30,IF(H375=2,20,IF(H375=3,10,IF(H375&lt;&gt;"",1,0))))))</f>
        <v/>
      </c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14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>
        <f>IF(AND(C376="",OR(E376="",E376=0)),"",(IF(E376=1,30,IF(E376=2,20,IF(E376=3,10,IF(E376&lt;&gt;"",1,0))))+IF(F376=1,30,IF(F376=2,20,IF(F376=3,10,IF(F376&lt;&gt;"",1,0))))+IF(G376=1,30,IF(G376=2,20,IF(G376=3,10,IF(G376&lt;&gt;"",1,0))))+IF(H376=1,30,IF(H376=2,20,IF(H376=3,10,IF(H376&lt;&gt;"",1,0))))))</f>
        <v/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14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>
        <f>IF(AND(C377="",OR(E377="",E377=0)),"",(IF(E377=1,30,IF(E377=2,20,IF(E377=3,10,IF(E377&lt;&gt;"",1,0))))+IF(F377=1,30,IF(F377=2,20,IF(F377=3,10,IF(F377&lt;&gt;"",1,0))))+IF(G377=1,30,IF(G377=2,20,IF(G377=3,10,IF(G377&lt;&gt;"",1,0))))+IF(H377=1,30,IF(H377=2,20,IF(H377=3,10,IF(H377&lt;&gt;"",1,0))))))</f>
        <v/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14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>
        <f>IF(AND(C378="",OR(E378="",E378=0)),"",(IF(E378=1,30,IF(E378=2,20,IF(E378=3,10,IF(E378&lt;&gt;"",1,0))))+IF(F378=1,30,IF(F378=2,20,IF(F378=3,10,IF(F378&lt;&gt;"",1,0))))+IF(G378=1,30,IF(G378=2,20,IF(G378=3,10,IF(G378&lt;&gt;"",1,0))))+IF(H378=1,30,IF(H378=2,20,IF(H378=3,10,IF(H378&lt;&gt;"",1,0)))))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14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>
        <f>IF(AND(C379="",OR(E379="",E379=0)),"",(IF(E379=1,30,IF(E379=2,20,IF(E379=3,10,IF(E379&lt;&gt;"",1,0))))+IF(F379=1,30,IF(F379=2,20,IF(F379=3,10,IF(F379&lt;&gt;"",1,0))))+IF(G379=1,30,IF(G379=2,20,IF(G379=3,10,IF(G379&lt;&gt;"",1,0))))+IF(H379=1,30,IF(H379=2,20,IF(H379=3,10,IF(H379&lt;&gt;"",1,0))))))</f>
        <v/>
      </c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14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>
        <f>IF(AND(C380="",OR(E380="",E380=0)),"",(IF(E380=1,30,IF(E380=2,20,IF(E380=3,10,IF(E380&lt;&gt;"",1,0))))+IF(F380=1,30,IF(F380=2,20,IF(F380=3,10,IF(F380&lt;&gt;"",1,0))))+IF(G380=1,30,IF(G380=2,20,IF(G380=3,10,IF(G380&lt;&gt;"",1,0))))+IF(H380=1,30,IF(H380=2,20,IF(H380=3,10,IF(H380&lt;&gt;"",1,0))))))</f>
        <v/>
      </c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14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>
        <f>IF(AND(C381="",OR(E381="",E381=0)),"",(IF(E381=1,30,IF(E381=2,20,IF(E381=3,10,IF(E381&lt;&gt;"",1,0))))+IF(F381=1,30,IF(F381=2,20,IF(F381=3,10,IF(F381&lt;&gt;"",1,0))))+IF(G381=1,30,IF(G381=2,20,IF(G381=3,10,IF(G381&lt;&gt;"",1,0))))+IF(H381=1,30,IF(H381=2,20,IF(H381=3,10,IF(H381&lt;&gt;"",1,0))))))</f>
        <v/>
      </c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14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>
        <f>IF(AND(C382="",OR(E382="",E382=0)),"",(IF(E382=1,30,IF(E382=2,20,IF(E382=3,10,IF(E382&lt;&gt;"",1,0))))+IF(F382=1,30,IF(F382=2,20,IF(F382=3,10,IF(F382&lt;&gt;"",1,0))))+IF(G382=1,30,IF(G382=2,20,IF(G382=3,10,IF(G382&lt;&gt;"",1,0))))+IF(H382=1,30,IF(H382=2,20,IF(H382=3,10,IF(H382&lt;&gt;"",1,0))))))</f>
        <v/>
      </c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14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>
        <f>IF(AND(C383="",OR(E383="",E383=0)),"",(IF(E383=1,30,IF(E383=2,20,IF(E383=3,10,IF(E383&lt;&gt;"",1,0))))+IF(F383=1,30,IF(F383=2,20,IF(F383=3,10,IF(F383&lt;&gt;"",1,0))))+IF(G383=1,30,IF(G383=2,20,IF(G383=3,10,IF(G383&lt;&gt;"",1,0))))+IF(H383=1,30,IF(H383=2,20,IF(H383=3,10,IF(H383&lt;&gt;"",1,0)))))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14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>
        <f>IF(AND(C384="",OR(E384="",E384=0)),"",(IF(E384=1,30,IF(E384=2,20,IF(E384=3,10,IF(E384&lt;&gt;"",1,0))))+IF(F384=1,30,IF(F384=2,20,IF(F384=3,10,IF(F384&lt;&gt;"",1,0))))+IF(G384=1,30,IF(G384=2,20,IF(G384=3,10,IF(G384&lt;&gt;"",1,0))))+IF(H384=1,30,IF(H384=2,20,IF(H384=3,10,IF(H384&lt;&gt;"",1,0))))))</f>
        <v/>
      </c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14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>
        <f>IF(AND(C385="",OR(E385="",E385=0)),"",(IF(E385=1,30,IF(E385=2,20,IF(E385=3,10,IF(E385&lt;&gt;"",1,0))))+IF(F385=1,30,IF(F385=2,20,IF(F385=3,10,IF(F385&lt;&gt;"",1,0))))+IF(G385=1,30,IF(G385=2,20,IF(G385=3,10,IF(G385&lt;&gt;"",1,0))))+IF(H385=1,30,IF(H385=2,20,IF(H385=3,10,IF(H385&lt;&gt;"",1,0))))))</f>
        <v/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14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>
        <f>IF(AND(C386="",OR(E386="",E386=0)),"",(IF(E386=1,30,IF(E386=2,20,IF(E386=3,10,IF(E386&lt;&gt;"",1,0))))+IF(F386=1,30,IF(F386=2,20,IF(F386=3,10,IF(F386&lt;&gt;"",1,0))))+IF(G386=1,30,IF(G386=2,20,IF(G386=3,10,IF(G386&lt;&gt;"",1,0))))+IF(H386=1,30,IF(H386=2,20,IF(H386=3,10,IF(H386&lt;&gt;"",1,0))))))</f>
        <v/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14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>
        <f>IF(AND(C387="",OR(E387="",E387=0)),"",(IF(E387=1,30,IF(E387=2,20,IF(E387=3,10,IF(E387&lt;&gt;"",1,0))))+IF(F387=1,30,IF(F387=2,20,IF(F387=3,10,IF(F387&lt;&gt;"",1,0))))+IF(G387=1,30,IF(G387=2,20,IF(G387=3,10,IF(G387&lt;&gt;"",1,0))))+IF(H387=1,30,IF(H387=2,20,IF(H387=3,10,IF(H387&lt;&gt;"",1,0)))))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14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>
        <f>IF(AND(C388="",OR(E388="",E388=0)),"",(IF(E388=1,30,IF(E388=2,20,IF(E388=3,10,IF(E388&lt;&gt;"",1,0))))+IF(F388=1,30,IF(F388=2,20,IF(F388=3,10,IF(F388&lt;&gt;"",1,0))))+IF(G388=1,30,IF(G388=2,20,IF(G388=3,10,IF(G388&lt;&gt;"",1,0))))+IF(H388=1,30,IF(H388=2,20,IF(H388=3,10,IF(H388&lt;&gt;"",1,0))))))</f>
        <v/>
      </c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14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>
        <f>IF(AND(C389="",OR(E389="",E389=0)),"",(IF(E389=1,30,IF(E389=2,20,IF(E389=3,10,IF(E389&lt;&gt;"",1,0))))+IF(F389=1,30,IF(F389=2,20,IF(F389=3,10,IF(F389&lt;&gt;"",1,0))))+IF(G389=1,30,IF(G389=2,20,IF(G389=3,10,IF(G389&lt;&gt;"",1,0))))+IF(H389=1,30,IF(H389=2,20,IF(H389=3,10,IF(H389&lt;&gt;"",1,0))))))</f>
        <v/>
      </c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14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>
        <f>IF(AND(C390="",OR(E390="",E390=0)),"",(IF(E390=1,30,IF(E390=2,20,IF(E390=3,10,IF(E390&lt;&gt;"",1,0))))+IF(F390=1,30,IF(F390=2,20,IF(F390=3,10,IF(F390&lt;&gt;"",1,0))))+IF(G390=1,30,IF(G390=2,20,IF(G390=3,10,IF(G390&lt;&gt;"",1,0))))+IF(H390=1,30,IF(H390=2,20,IF(H390=3,10,IF(H390&lt;&gt;"",1,0))))))</f>
        <v/>
      </c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14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>
        <f>IF(AND(C391="",OR(E391="",E391=0)),"",(IF(E391=1,30,IF(E391=2,20,IF(E391=3,10,IF(E391&lt;&gt;"",1,0))))+IF(F391=1,30,IF(F391=2,20,IF(F391=3,10,IF(F391&lt;&gt;"",1,0))))+IF(G391=1,30,IF(G391=2,20,IF(G391=3,10,IF(G391&lt;&gt;"",1,0))))+IF(H391=1,30,IF(H391=2,20,IF(H391=3,10,IF(H391&lt;&gt;"",1,0))))))</f>
        <v/>
      </c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14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>
        <f>IF(AND(C392="",OR(E392="",E392=0)),"",(IF(E392=1,30,IF(E392=2,20,IF(E392=3,10,IF(E392&lt;&gt;"",1,0))))+IF(F392=1,30,IF(F392=2,20,IF(F392=3,10,IF(F392&lt;&gt;"",1,0))))+IF(G392=1,30,IF(G392=2,20,IF(G392=3,10,IF(G392&lt;&gt;"",1,0))))+IF(H392=1,30,IF(H392=2,20,IF(H392=3,10,IF(H392&lt;&gt;"",1,0)))))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14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>
        <f>IF(AND(C393="",OR(E393="",E393=0)),"",(IF(E393=1,30,IF(E393=2,20,IF(E393=3,10,IF(E393&lt;&gt;"",1,0))))+IF(F393=1,30,IF(F393=2,20,IF(F393=3,10,IF(F393&lt;&gt;"",1,0))))+IF(G393=1,30,IF(G393=2,20,IF(G393=3,10,IF(G393&lt;&gt;"",1,0))))+IF(H393=1,30,IF(H393=2,20,IF(H393=3,10,IF(H393&lt;&gt;"",1,0))))))</f>
        <v/>
      </c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14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>
        <f>IF(AND(C394="",OR(E394="",E394=0)),"",(IF(E394=1,30,IF(E394=2,20,IF(E394=3,10,IF(E394&lt;&gt;"",1,0))))+IF(F394=1,30,IF(F394=2,20,IF(F394=3,10,IF(F394&lt;&gt;"",1,0))))+IF(G394=1,30,IF(G394=2,20,IF(G394=3,10,IF(G394&lt;&gt;"",1,0))))+IF(H394=1,30,IF(H394=2,20,IF(H394=3,10,IF(H394&lt;&gt;"",1,0))))))</f>
        <v/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14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>
        <f>IF(AND(C395="",OR(E395="",E395=0)),"",(IF(E395=1,30,IF(E395=2,20,IF(E395=3,10,IF(E395&lt;&gt;"",1,0))))+IF(F395=1,30,IF(F395=2,20,IF(F395=3,10,IF(F395&lt;&gt;"",1,0))))+IF(G395=1,30,IF(G395=2,20,IF(G395=3,10,IF(G395&lt;&gt;"",1,0))))+IF(H395=1,30,IF(H395=2,20,IF(H395=3,10,IF(H395&lt;&gt;"",1,0))))))</f>
        <v/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14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>
        <f>IF(AND(C396="",OR(E396="",E396=0)),"",(IF(E396=1,30,IF(E396=2,20,IF(E396=3,10,IF(E396&lt;&gt;"",1,0))))+IF(F396=1,30,IF(F396=2,20,IF(F396=3,10,IF(F396&lt;&gt;"",1,0))))+IF(G396=1,30,IF(G396=2,20,IF(G396=3,10,IF(G396&lt;&gt;"",1,0))))+IF(H396=1,30,IF(H396=2,20,IF(H396=3,10,IF(H396&lt;&gt;"",1,0)))))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14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>
        <f>IF(AND(C397="",OR(E397="",E397=0)),"",(IF(E397=1,30,IF(E397=2,20,IF(E397=3,10,IF(E397&lt;&gt;"",1,0))))+IF(F397=1,30,IF(F397=2,20,IF(F397=3,10,IF(F397&lt;&gt;"",1,0))))+IF(G397=1,30,IF(G397=2,20,IF(G397=3,10,IF(G397&lt;&gt;"",1,0))))+IF(H397=1,30,IF(H397=2,20,IF(H397=3,10,IF(H397&lt;&gt;"",1,0))))))</f>
        <v/>
      </c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14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>
        <f>IF(AND(C398="",OR(E398="",E398=0)),"",(IF(E398=1,30,IF(E398=2,20,IF(E398=3,10,IF(E398&lt;&gt;"",1,0))))+IF(F398=1,30,IF(F398=2,20,IF(F398=3,10,IF(F398&lt;&gt;"",1,0))))+IF(G398=1,30,IF(G398=2,20,IF(G398=3,10,IF(G398&lt;&gt;"",1,0))))+IF(H398=1,30,IF(H398=2,20,IF(H398=3,10,IF(H398&lt;&gt;"",1,0))))))</f>
        <v/>
      </c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14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>
        <f>IF(AND(C399="",OR(E399="",E399=0)),"",(IF(E399=1,30,IF(E399=2,20,IF(E399=3,10,IF(E399&lt;&gt;"",1,0))))+IF(F399=1,30,IF(F399=2,20,IF(F399=3,10,IF(F399&lt;&gt;"",1,0))))+IF(G399=1,30,IF(G399=2,20,IF(G399=3,10,IF(G399&lt;&gt;"",1,0))))+IF(H399=1,30,IF(H399=2,20,IF(H399=3,10,IF(H399&lt;&gt;"",1,0))))))</f>
        <v/>
      </c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14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>
        <f>IF(AND(C400="",OR(E400="",E400=0)),"",(IF(E400=1,30,IF(E400=2,20,IF(E400=3,10,IF(E400&lt;&gt;"",1,0))))+IF(F400=1,30,IF(F400=2,20,IF(F400=3,10,IF(F400&lt;&gt;"",1,0))))+IF(G400=1,30,IF(G400=2,20,IF(G400=3,10,IF(G400&lt;&gt;"",1,0))))+IF(H400=1,30,IF(H400=2,20,IF(H400=3,10,IF(H400&lt;&gt;"",1,0))))))</f>
        <v/>
      </c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14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>
        <f>IF(AND(C401="",OR(E401="",E401=0)),"",(IF(E401=1,30,IF(E401=2,20,IF(E401=3,10,IF(E401&lt;&gt;"",1,0))))+IF(F401=1,30,IF(F401=2,20,IF(F401=3,10,IF(F401&lt;&gt;"",1,0))))+IF(G401=1,30,IF(G401=2,20,IF(G401=3,10,IF(G401&lt;&gt;"",1,0))))+IF(H401=1,30,IF(H401=2,20,IF(H401=3,10,IF(H401&lt;&gt;"",1,0)))))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14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>
        <f>IF(AND(C402="",OR(E402="",E402=0)),"",(IF(E402=1,30,IF(E402=2,20,IF(E402=3,10,IF(E402&lt;&gt;"",1,0))))+IF(F402=1,30,IF(F402=2,20,IF(F402=3,10,IF(F402&lt;&gt;"",1,0))))+IF(G402=1,30,IF(G402=2,20,IF(G402=3,10,IF(G402&lt;&gt;"",1,0))))+IF(H402=1,30,IF(H402=2,20,IF(H402=3,10,IF(H402&lt;&gt;"",1,0))))))</f>
        <v/>
      </c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14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>
        <f>IF(AND(C403="",OR(E403="",E403=0)),"",(IF(E403=1,30,IF(E403=2,20,IF(E403=3,10,IF(E403&lt;&gt;"",1,0))))+IF(F403=1,30,IF(F403=2,20,IF(F403=3,10,IF(F403&lt;&gt;"",1,0))))+IF(G403=1,30,IF(G403=2,20,IF(G403=3,10,IF(G403&lt;&gt;"",1,0))))+IF(H403=1,30,IF(H403=2,20,IF(H403=3,10,IF(H403&lt;&gt;"",1,0))))))</f>
        <v/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14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>
        <f>IF(AND(C404="",OR(E404="",E404=0)),"",(IF(E404=1,30,IF(E404=2,20,IF(E404=3,10,IF(E404&lt;&gt;"",1,0))))+IF(F404=1,30,IF(F404=2,20,IF(F404=3,10,IF(F404&lt;&gt;"",1,0))))+IF(G404=1,30,IF(G404=2,20,IF(G404=3,10,IF(G404&lt;&gt;"",1,0))))+IF(H404=1,30,IF(H404=2,20,IF(H404=3,10,IF(H404&lt;&gt;"",1,0))))))</f>
        <v/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14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>
        <f>IF(AND(C405="",OR(E405="",E405=0)),"",(IF(E405=1,30,IF(E405=2,20,IF(E405=3,10,IF(E405&lt;&gt;"",1,0))))+IF(F405=1,30,IF(F405=2,20,IF(F405=3,10,IF(F405&lt;&gt;"",1,0))))+IF(G405=1,30,IF(G405=2,20,IF(G405=3,10,IF(G405&lt;&gt;"",1,0))))+IF(H405=1,30,IF(H405=2,20,IF(H405=3,10,IF(H405&lt;&gt;"",1,0)))))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14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>
        <f>IF(AND(C406="",OR(E406="",E406=0)),"",(IF(E406=1,30,IF(E406=2,20,IF(E406=3,10,IF(E406&lt;&gt;"",1,0))))+IF(F406=1,30,IF(F406=2,20,IF(F406=3,10,IF(F406&lt;&gt;"",1,0))))+IF(G406=1,30,IF(G406=2,20,IF(G406=3,10,IF(G406&lt;&gt;"",1,0))))+IF(H406=1,30,IF(H406=2,20,IF(H406=3,10,IF(H406&lt;&gt;"",1,0)))))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14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>
        <f>IF(AND(C407="",OR(E407="",E407=0)),"",(IF(E407=1,30,IF(E407=2,20,IF(E407=3,10,IF(E407&lt;&gt;"",1,0))))+IF(F407=1,30,IF(F407=2,20,IF(F407=3,10,IF(F407&lt;&gt;"",1,0))))+IF(G407=1,30,IF(G407=2,20,IF(G407=3,10,IF(G407&lt;&gt;"",1,0))))+IF(H407=1,30,IF(H407=2,20,IF(H407=3,10,IF(H407&lt;&gt;"",1,0))))))</f>
        <v/>
      </c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14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>
        <f>IF(AND(C408="",OR(E408="",E408=0)),"",(IF(E408=1,30,IF(E408=2,20,IF(E408=3,10,IF(E408&lt;&gt;"",1,0))))+IF(F408=1,30,IF(F408=2,20,IF(F408=3,10,IF(F408&lt;&gt;"",1,0))))+IF(G408=1,30,IF(G408=2,20,IF(G408=3,10,IF(G408&lt;&gt;"",1,0))))+IF(H408=1,30,IF(H408=2,20,IF(H408=3,10,IF(H408&lt;&gt;"",1,0))))))</f>
        <v/>
      </c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14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>
        <f>IF(AND(C409="",OR(E409="",E409=0)),"",(IF(E409=1,30,IF(E409=2,20,IF(E409=3,10,IF(E409&lt;&gt;"",1,0))))+IF(F409=1,30,IF(F409=2,20,IF(F409=3,10,IF(F409&lt;&gt;"",1,0))))+IF(G409=1,30,IF(G409=2,20,IF(G409=3,10,IF(G409&lt;&gt;"",1,0))))+IF(H409=1,30,IF(H409=2,20,IF(H409=3,10,IF(H409&lt;&gt;"",1,0))))))</f>
        <v/>
      </c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14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>
        <f>IF(AND(C410="",OR(E410="",E410=0)),"",(IF(E410=1,30,IF(E410=2,20,IF(E410=3,10,IF(E410&lt;&gt;"",1,0))))+IF(F410=1,30,IF(F410=2,20,IF(F410=3,10,IF(F410&lt;&gt;"",1,0))))+IF(G410=1,30,IF(G410=2,20,IF(G410=3,10,IF(G410&lt;&gt;"",1,0))))+IF(H410=1,30,IF(H410=2,20,IF(H410=3,10,IF(H410&lt;&gt;"",1,0)))))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14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>
        <f>IF(AND(C411="",OR(E411="",E411=0)),"",(IF(E411=1,30,IF(E411=2,20,IF(E411=3,10,IF(E411&lt;&gt;"",1,0))))+IF(F411=1,30,IF(F411=2,20,IF(F411=3,10,IF(F411&lt;&gt;"",1,0))))+IF(G411=1,30,IF(G411=2,20,IF(G411=3,10,IF(G411&lt;&gt;"",1,0))))+IF(H411=1,30,IF(H411=2,20,IF(H411=3,10,IF(H411&lt;&gt;"",1,0))))))</f>
        <v/>
      </c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14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>
        <f>IF(AND(C412="",OR(E412="",E412=0)),"",(IF(E412=1,30,IF(E412=2,20,IF(E412=3,10,IF(E412&lt;&gt;"",1,0))))+IF(F412=1,30,IF(F412=2,20,IF(F412=3,10,IF(F412&lt;&gt;"",1,0))))+IF(G412=1,30,IF(G412=2,20,IF(G412=3,10,IF(G412&lt;&gt;"",1,0))))+IF(H412=1,30,IF(H412=2,20,IF(H412=3,10,IF(H412&lt;&gt;"",1,0))))))</f>
        <v/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14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>
        <f>IF(AND(C413="",OR(E413="",E413=0)),"",(IF(E413=1,30,IF(E413=2,20,IF(E413=3,10,IF(E413&lt;&gt;"",1,0))))+IF(F413=1,30,IF(F413=2,20,IF(F413=3,10,IF(F413&lt;&gt;"",1,0))))+IF(G413=1,30,IF(G413=2,20,IF(G413=3,10,IF(G413&lt;&gt;"",1,0))))+IF(H413=1,30,IF(H413=2,20,IF(H413=3,10,IF(H413&lt;&gt;"",1,0))))))</f>
        <v/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14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>
        <f>IF(AND(C414="",OR(E414="",E414=0)),"",(IF(E414=1,30,IF(E414=2,20,IF(E414=3,10,IF(E414&lt;&gt;"",1,0))))+IF(F414=1,30,IF(F414=2,20,IF(F414=3,10,IF(F414&lt;&gt;"",1,0))))+IF(G414=1,30,IF(G414=2,20,IF(G414=3,10,IF(G414&lt;&gt;"",1,0))))+IF(H414=1,30,IF(H414=2,20,IF(H414=3,10,IF(H414&lt;&gt;"",1,0)))))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14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>
        <f>IF(AND(C415="",OR(E415="",E415=0)),"",(IF(E415=1,30,IF(E415=2,20,IF(E415=3,10,IF(E415&lt;&gt;"",1,0))))+IF(F415=1,30,IF(F415=2,20,IF(F415=3,10,IF(F415&lt;&gt;"",1,0))))+IF(G415=1,30,IF(G415=2,20,IF(G415=3,10,IF(G415&lt;&gt;"",1,0))))+IF(H415=1,30,IF(H415=2,20,IF(H415=3,10,IF(H415&lt;&gt;"",1,0))))))</f>
        <v/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14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>
        <f>IF(AND(C416="",OR(E416="",E416=0)),"",(IF(E416=1,30,IF(E416=2,20,IF(E416=3,10,IF(E416&lt;&gt;"",1,0))))+IF(F416=1,30,IF(F416=2,20,IF(F416=3,10,IF(F416&lt;&gt;"",1,0))))+IF(G416=1,30,IF(G416=2,20,IF(G416=3,10,IF(G416&lt;&gt;"",1,0))))+IF(H416=1,30,IF(H416=2,20,IF(H416=3,10,IF(H416&lt;&gt;"",1,0))))))</f>
        <v/>
      </c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14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>
        <f>IF(AND(C417="",OR(E417="",E417=0)),"",(IF(E417=1,30,IF(E417=2,20,IF(E417=3,10,IF(E417&lt;&gt;"",1,0))))+IF(F417=1,30,IF(F417=2,20,IF(F417=3,10,IF(F417&lt;&gt;"",1,0))))+IF(G417=1,30,IF(G417=2,20,IF(G417=3,10,IF(G417&lt;&gt;"",1,0))))+IF(H417=1,30,IF(H417=2,20,IF(H417=3,10,IF(H417&lt;&gt;"",1,0))))))</f>
        <v/>
      </c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14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>
        <f>IF(AND(C418="",OR(E418="",E418=0)),"",(IF(E418=1,30,IF(E418=2,20,IF(E418=3,10,IF(E418&lt;&gt;"",1,0))))+IF(F418=1,30,IF(F418=2,20,IF(F418=3,10,IF(F418&lt;&gt;"",1,0))))+IF(G418=1,30,IF(G418=2,20,IF(G418=3,10,IF(G418&lt;&gt;"",1,0))))+IF(H418=1,30,IF(H418=2,20,IF(H418=3,10,IF(H418&lt;&gt;"",1,0))))))</f>
        <v/>
      </c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14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>
        <f>IF(AND(C419="",OR(E419="",E419=0)),"",(IF(E419=1,30,IF(E419=2,20,IF(E419=3,10,IF(E419&lt;&gt;"",1,0))))+IF(F419=1,30,IF(F419=2,20,IF(F419=3,10,IF(F419&lt;&gt;"",1,0))))+IF(G419=1,30,IF(G419=2,20,IF(G419=3,10,IF(G419&lt;&gt;"",1,0))))+IF(H419=1,30,IF(H419=2,20,IF(H419=3,10,IF(H419&lt;&gt;"",1,0)))))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14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>
        <f>IF(AND(C420="",OR(E420="",E420=0)),"",(IF(E420=1,30,IF(E420=2,20,IF(E420=3,10,IF(E420&lt;&gt;"",1,0))))+IF(F420=1,30,IF(F420=2,20,IF(F420=3,10,IF(F420&lt;&gt;"",1,0))))+IF(G420=1,30,IF(G420=2,20,IF(G420=3,10,IF(G420&lt;&gt;"",1,0))))+IF(H420=1,30,IF(H420=2,20,IF(H420=3,10,IF(H420&lt;&gt;"",1,0))))))</f>
        <v/>
      </c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14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>
        <f>IF(AND(C421="",OR(E421="",E421=0)),"",(IF(E421=1,30,IF(E421=2,20,IF(E421=3,10,IF(E421&lt;&gt;"",1,0))))+IF(F421=1,30,IF(F421=2,20,IF(F421=3,10,IF(F421&lt;&gt;"",1,0))))+IF(G421=1,30,IF(G421=2,20,IF(G421=3,10,IF(G421&lt;&gt;"",1,0))))+IF(H421=1,30,IF(H421=2,20,IF(H421=3,10,IF(H421&lt;&gt;"",1,0))))))</f>
        <v/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14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>
        <f>IF(AND(C422="",OR(E422="",E422=0)),"",(IF(E422=1,30,IF(E422=2,20,IF(E422=3,10,IF(E422&lt;&gt;"",1,0))))+IF(F422=1,30,IF(F422=2,20,IF(F422=3,10,IF(F422&lt;&gt;"",1,0))))+IF(G422=1,30,IF(G422=2,20,IF(G422=3,10,IF(G422&lt;&gt;"",1,0))))+IF(H422=1,30,IF(H422=2,20,IF(H422=3,10,IF(H422&lt;&gt;"",1,0))))))</f>
        <v/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14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>
        <f>IF(AND(C423="",OR(E423="",E423=0)),"",(IF(E423=1,30,IF(E423=2,20,IF(E423=3,10,IF(E423&lt;&gt;"",1,0))))+IF(F423=1,30,IF(F423=2,20,IF(F423=3,10,IF(F423&lt;&gt;"",1,0))))+IF(G423=1,30,IF(G423=2,20,IF(G423=3,10,IF(G423&lt;&gt;"",1,0))))+IF(H423=1,30,IF(H423=2,20,IF(H423=3,10,IF(H423&lt;&gt;"",1,0)))))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14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>
        <f>IF(AND(C424="",OR(E424="",E424=0)),"",(IF(E424=1,30,IF(E424=2,20,IF(E424=3,10,IF(E424&lt;&gt;"",1,0))))+IF(F424=1,30,IF(F424=2,20,IF(F424=3,10,IF(F424&lt;&gt;"",1,0))))+IF(G424=1,30,IF(G424=2,20,IF(G424=3,10,IF(G424&lt;&gt;"",1,0))))+IF(H424=1,30,IF(H424=2,20,IF(H424=3,10,IF(H424&lt;&gt;"",1,0))))))</f>
        <v/>
      </c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14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>
        <f>IF(AND(C425="",OR(E425="",E425=0)),"",(IF(E425=1,30,IF(E425=2,20,IF(E425=3,10,IF(E425&lt;&gt;"",1,0))))+IF(F425=1,30,IF(F425=2,20,IF(F425=3,10,IF(F425&lt;&gt;"",1,0))))+IF(G425=1,30,IF(G425=2,20,IF(G425=3,10,IF(G425&lt;&gt;"",1,0))))+IF(H425=1,30,IF(H425=2,20,IF(H425=3,10,IF(H425&lt;&gt;"",1,0))))))</f>
        <v/>
      </c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14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>
        <f>IF(AND(C426="",OR(E426="",E426=0)),"",(IF(E426=1,30,IF(E426=2,20,IF(E426=3,10,IF(E426&lt;&gt;"",1,0))))+IF(F426=1,30,IF(F426=2,20,IF(F426=3,10,IF(F426&lt;&gt;"",1,0))))+IF(G426=1,30,IF(G426=2,20,IF(G426=3,10,IF(G426&lt;&gt;"",1,0))))+IF(H426=1,30,IF(H426=2,20,IF(H426=3,10,IF(H426&lt;&gt;"",1,0))))))</f>
        <v/>
      </c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14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>
        <f>IF(AND(C427="",OR(E427="",E427=0)),"",(IF(E427=1,30,IF(E427=2,20,IF(E427=3,10,IF(E427&lt;&gt;"",1,0))))+IF(F427=1,30,IF(F427=2,20,IF(F427=3,10,IF(F427&lt;&gt;"",1,0))))+IF(G427=1,30,IF(G427=2,20,IF(G427=3,10,IF(G427&lt;&gt;"",1,0))))+IF(H427=1,30,IF(H427=2,20,IF(H427=3,10,IF(H427&lt;&gt;"",1,0))))))</f>
        <v/>
      </c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14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>
        <f>IF(AND(C428="",OR(E428="",E428=0)),"",(IF(E428=1,30,IF(E428=2,20,IF(E428=3,10,IF(E428&lt;&gt;"",1,0))))+IF(F428=1,30,IF(F428=2,20,IF(F428=3,10,IF(F428&lt;&gt;"",1,0))))+IF(G428=1,30,IF(G428=2,20,IF(G428=3,10,IF(G428&lt;&gt;"",1,0))))+IF(H428=1,30,IF(H428=2,20,IF(H428=3,10,IF(H428&lt;&gt;"",1,0)))))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14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>
        <f>IF(AND(C429="",OR(E429="",E429=0)),"",(IF(E429=1,30,IF(E429=2,20,IF(E429=3,10,IF(E429&lt;&gt;"",1,0))))+IF(F429=1,30,IF(F429=2,20,IF(F429=3,10,IF(F429&lt;&gt;"",1,0))))+IF(G429=1,30,IF(G429=2,20,IF(G429=3,10,IF(G429&lt;&gt;"",1,0))))+IF(H429=1,30,IF(H429=2,20,IF(H429=3,10,IF(H429&lt;&gt;"",1,0))))))</f>
        <v/>
      </c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14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>
        <f>IF(AND(C430="",OR(E430="",E430=0)),"",(IF(E430=1,30,IF(E430=2,20,IF(E430=3,10,IF(E430&lt;&gt;"",1,0))))+IF(F430=1,30,IF(F430=2,20,IF(F430=3,10,IF(F430&lt;&gt;"",1,0))))+IF(G430=1,30,IF(G430=2,20,IF(G430=3,10,IF(G430&lt;&gt;"",1,0))))+IF(H430=1,30,IF(H430=2,20,IF(H430=3,10,IF(H430&lt;&gt;"",1,0))))))</f>
        <v/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14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>
        <f>IF(AND(C431="",OR(E431="",E431=0)),"",(IF(E431=1,30,IF(E431=2,20,IF(E431=3,10,IF(E431&lt;&gt;"",1,0))))+IF(F431=1,30,IF(F431=2,20,IF(F431=3,10,IF(F431&lt;&gt;"",1,0))))+IF(G431=1,30,IF(G431=2,20,IF(G431=3,10,IF(G431&lt;&gt;"",1,0))))+IF(H431=1,30,IF(H431=2,20,IF(H431=3,10,IF(H431&lt;&gt;"",1,0))))))</f>
        <v/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14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>
        <f>IF(AND(C432="",OR(E432="",E432=0)),"",(IF(E432=1,30,IF(E432=2,20,IF(E432=3,10,IF(E432&lt;&gt;"",1,0))))+IF(F432=1,30,IF(F432=2,20,IF(F432=3,10,IF(F432&lt;&gt;"",1,0))))+IF(G432=1,30,IF(G432=2,20,IF(G432=3,10,IF(G432&lt;&gt;"",1,0))))+IF(H432=1,30,IF(H432=2,20,IF(H432=3,10,IF(H432&lt;&gt;"",1,0)))))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14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>
        <f>IF(AND(C433="",OR(E433="",E433=0)),"",(IF(E433=1,30,IF(E433=2,20,IF(E433=3,10,IF(E433&lt;&gt;"",1,0))))+IF(F433=1,30,IF(F433=2,20,IF(F433=3,10,IF(F433&lt;&gt;"",1,0))))+IF(G433=1,30,IF(G433=2,20,IF(G433=3,10,IF(G433&lt;&gt;"",1,0))))+IF(H433=1,30,IF(H433=2,20,IF(H433=3,10,IF(H433&lt;&gt;"",1,0))))))</f>
        <v/>
      </c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14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>
        <f>IF(AND(C434="",OR(E434="",E434=0)),"",(IF(E434=1,30,IF(E434=2,20,IF(E434=3,10,IF(E434&lt;&gt;"",1,0))))+IF(F434=1,30,IF(F434=2,20,IF(F434=3,10,IF(F434&lt;&gt;"",1,0))))+IF(G434=1,30,IF(G434=2,20,IF(G434=3,10,IF(G434&lt;&gt;"",1,0))))+IF(H434=1,30,IF(H434=2,20,IF(H434=3,10,IF(H434&lt;&gt;"",1,0))))))</f>
        <v/>
      </c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14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>
        <f>IF(AND(C435="",OR(E435="",E435=0)),"",(IF(E435=1,30,IF(E435=2,20,IF(E435=3,10,IF(E435&lt;&gt;"",1,0))))+IF(F435=1,30,IF(F435=2,20,IF(F435=3,10,IF(F435&lt;&gt;"",1,0))))+IF(G435=1,30,IF(G435=2,20,IF(G435=3,10,IF(G435&lt;&gt;"",1,0))))+IF(H435=1,30,IF(H435=2,20,IF(H435=3,10,IF(H435&lt;&gt;"",1,0))))))</f>
        <v/>
      </c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14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>
        <f>IF(AND(C436="",OR(E436="",E436=0)),"",(IF(E436=1,30,IF(E436=2,20,IF(E436=3,10,IF(E436&lt;&gt;"",1,0))))+IF(F436=1,30,IF(F436=2,20,IF(F436=3,10,IF(F436&lt;&gt;"",1,0))))+IF(G436=1,30,IF(G436=2,20,IF(G436=3,10,IF(G436&lt;&gt;"",1,0))))+IF(H436=1,30,IF(H436=2,20,IF(H436=3,10,IF(H436&lt;&gt;"",1,0))))))</f>
        <v/>
      </c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14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>
        <f>IF(AND(C437="",OR(E437="",E437=0)),"",(IF(E437=1,30,IF(E437=2,20,IF(E437=3,10,IF(E437&lt;&gt;"",1,0))))+IF(F437=1,30,IF(F437=2,20,IF(F437=3,10,IF(F437&lt;&gt;"",1,0))))+IF(G437=1,30,IF(G437=2,20,IF(G437=3,10,IF(G437&lt;&gt;"",1,0))))+IF(H437=1,30,IF(H437=2,20,IF(H437=3,10,IF(H437&lt;&gt;"",1,0)))))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14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>
        <f>IF(AND(C438="",OR(E438="",E438=0)),"",(IF(E438=1,30,IF(E438=2,20,IF(E438=3,10,IF(E438&lt;&gt;"",1,0))))+IF(F438=1,30,IF(F438=2,20,IF(F438=3,10,IF(F438&lt;&gt;"",1,0))))+IF(G438=1,30,IF(G438=2,20,IF(G438=3,10,IF(G438&lt;&gt;"",1,0))))+IF(H438=1,30,IF(H438=2,20,IF(H438=3,10,IF(H438&lt;&gt;"",1,0))))))</f>
        <v/>
      </c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14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>
        <f>IF(AND(C439="",OR(E439="",E439=0)),"",(IF(E439=1,30,IF(E439=2,20,IF(E439=3,10,IF(E439&lt;&gt;"",1,0))))+IF(F439=1,30,IF(F439=2,20,IF(F439=3,10,IF(F439&lt;&gt;"",1,0))))+IF(G439=1,30,IF(G439=2,20,IF(G439=3,10,IF(G439&lt;&gt;"",1,0))))+IF(H439=1,30,IF(H439=2,20,IF(H439=3,10,IF(H439&lt;&gt;"",1,0))))))</f>
        <v/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14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>
        <f>IF(AND(C440="",OR(E440="",E440=0)),"",(IF(E440=1,30,IF(E440=2,20,IF(E440=3,10,IF(E440&lt;&gt;"",1,0))))+IF(F440=1,30,IF(F440=2,20,IF(F440=3,10,IF(F440&lt;&gt;"",1,0))))+IF(G440=1,30,IF(G440=2,20,IF(G440=3,10,IF(G440&lt;&gt;"",1,0))))+IF(H440=1,30,IF(H440=2,20,IF(H440=3,10,IF(H440&lt;&gt;"",1,0))))))</f>
        <v/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14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>
        <f>IF(AND(C441="",OR(E441="",E441=0)),"",(IF(E441=1,30,IF(E441=2,20,IF(E441=3,10,IF(E441&lt;&gt;"",1,0))))+IF(F441=1,30,IF(F441=2,20,IF(F441=3,10,IF(F441&lt;&gt;"",1,0))))+IF(G441=1,30,IF(G441=2,20,IF(G441=3,10,IF(G441&lt;&gt;"",1,0))))+IF(H441=1,30,IF(H441=2,20,IF(H441=3,10,IF(H441&lt;&gt;"",1,0)))))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14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>
        <f>IF(AND(C442="",OR(E442="",E442=0)),"",(IF(E442=1,30,IF(E442=2,20,IF(E442=3,10,IF(E442&lt;&gt;"",1,0))))+IF(F442=1,30,IF(F442=2,20,IF(F442=3,10,IF(F442&lt;&gt;"",1,0))))+IF(G442=1,30,IF(G442=2,20,IF(G442=3,10,IF(G442&lt;&gt;"",1,0))))+IF(H442=1,30,IF(H442=2,20,IF(H442=3,10,IF(H442&lt;&gt;"",1,0))))))</f>
        <v/>
      </c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1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>
        <f>IF(AND(C443="",OR(E443="",E443=0)),"",(IF(E443=1,30,IF(E443=2,20,IF(E443=3,10,IF(E443&lt;&gt;"",1,0))))+IF(F443=1,30,IF(F443=2,20,IF(F443=3,10,IF(F443&lt;&gt;"",1,0))))+IF(G443=1,30,IF(G443=2,20,IF(G443=3,10,IF(G443&lt;&gt;"",1,0))))+IF(H443=1,30,IF(H443=2,20,IF(H443=3,10,IF(H443&lt;&gt;"",1,0))))))</f>
        <v/>
      </c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14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>
        <f>IF(AND(C444="",OR(E444="",E444=0)),"",(IF(E444=1,30,IF(E444=2,20,IF(E444=3,10,IF(E444&lt;&gt;"",1,0))))+IF(F444=1,30,IF(F444=2,20,IF(F444=3,10,IF(F444&lt;&gt;"",1,0))))+IF(G444=1,30,IF(G444=2,20,IF(G444=3,10,IF(G444&lt;&gt;"",1,0))))+IF(H444=1,30,IF(H444=2,20,IF(H444=3,10,IF(H444&lt;&gt;"",1,0))))))</f>
        <v/>
      </c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14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>
        <f>IF(AND(C445="",OR(E445="",E445=0)),"",(IF(E445=1,30,IF(E445=2,20,IF(E445=3,10,IF(E445&lt;&gt;"",1,0))))+IF(F445=1,30,IF(F445=2,20,IF(F445=3,10,IF(F445&lt;&gt;"",1,0))))+IF(G445=1,30,IF(G445=2,20,IF(G445=3,10,IF(G445&lt;&gt;"",1,0))))+IF(H445=1,30,IF(H445=2,20,IF(H445=3,10,IF(H445&lt;&gt;"",1,0))))))</f>
        <v/>
      </c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14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>
        <f>IF(AND(C446="",OR(E446="",E446=0)),"",(IF(E446=1,30,IF(E446=2,20,IF(E446=3,10,IF(E446&lt;&gt;"",1,0))))+IF(F446=1,30,IF(F446=2,20,IF(F446=3,10,IF(F446&lt;&gt;"",1,0))))+IF(G446=1,30,IF(G446=2,20,IF(G446=3,10,IF(G446&lt;&gt;"",1,0))))+IF(H446=1,30,IF(H446=2,20,IF(H446=3,10,IF(H446&lt;&gt;"",1,0)))))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14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>
        <f>IF(AND(C447="",OR(E447="",E447=0)),"",(IF(E447=1,30,IF(E447=2,20,IF(E447=3,10,IF(E447&lt;&gt;"",1,0))))+IF(F447=1,30,IF(F447=2,20,IF(F447=3,10,IF(F447&lt;&gt;"",1,0))))+IF(G447=1,30,IF(G447=2,20,IF(G447=3,10,IF(G447&lt;&gt;"",1,0))))+IF(H447=1,30,IF(H447=2,20,IF(H447=3,10,IF(H447&lt;&gt;"",1,0))))))</f>
        <v/>
      </c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14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>
        <f>IF(AND(C448="",OR(E448="",E448=0)),"",(IF(E448=1,30,IF(E448=2,20,IF(E448=3,10,IF(E448&lt;&gt;"",1,0))))+IF(F448=1,30,IF(F448=2,20,IF(F448=3,10,IF(F448&lt;&gt;"",1,0))))+IF(G448=1,30,IF(G448=2,20,IF(G448=3,10,IF(G448&lt;&gt;"",1,0))))+IF(H448=1,30,IF(H448=2,20,IF(H448=3,10,IF(H448&lt;&gt;"",1,0))))))</f>
        <v/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14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>
        <f>IF(AND(C449="",OR(E449="",E449=0)),"",(IF(E449=1,30,IF(E449=2,20,IF(E449=3,10,IF(E449&lt;&gt;"",1,0))))+IF(F449=1,30,IF(F449=2,20,IF(F449=3,10,IF(F449&lt;&gt;"",1,0))))+IF(G449=1,30,IF(G449=2,20,IF(G449=3,10,IF(G449&lt;&gt;"",1,0))))+IF(H449=1,30,IF(H449=2,20,IF(H449=3,10,IF(H449&lt;&gt;"",1,0))))))</f>
        <v/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14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>
        <f>IF(AND(C450="",OR(E450="",E450=0)),"",(IF(E450=1,30,IF(E450=2,20,IF(E450=3,10,IF(E450&lt;&gt;"",1,0))))+IF(F450=1,30,IF(F450=2,20,IF(F450=3,10,IF(F450&lt;&gt;"",1,0))))+IF(G450=1,30,IF(G450=2,20,IF(G450=3,10,IF(G450&lt;&gt;"",1,0))))+IF(H450=1,30,IF(H450=2,20,IF(H450=3,10,IF(H450&lt;&gt;"",1,0)))))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14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>
        <f>IF(AND(C451="",OR(E451="",E451=0)),"",(IF(E451=1,30,IF(E451=2,20,IF(E451=3,10,IF(E451&lt;&gt;"",1,0))))+IF(F451=1,30,IF(F451=2,20,IF(F451=3,10,IF(F451&lt;&gt;"",1,0))))+IF(G451=1,30,IF(G451=2,20,IF(G451=3,10,IF(G451&lt;&gt;"",1,0))))+IF(H451=1,30,IF(H451=2,20,IF(H451=3,10,IF(H451&lt;&gt;"",1,0))))))</f>
        <v/>
      </c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14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>
        <f>IF(AND(C452="",OR(E452="",E452=0)),"",(IF(E452=1,30,IF(E452=2,20,IF(E452=3,10,IF(E452&lt;&gt;"",1,0))))+IF(F452=1,30,IF(F452=2,20,IF(F452=3,10,IF(F452&lt;&gt;"",1,0))))+IF(G452=1,30,IF(G452=2,20,IF(G452=3,10,IF(G452&lt;&gt;"",1,0))))+IF(H452=1,30,IF(H452=2,20,IF(H452=3,10,IF(H452&lt;&gt;"",1,0))))))</f>
        <v/>
      </c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14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>
        <f>IF(AND(C453="",OR(E453="",E453=0)),"",(IF(E453=1,30,IF(E453=2,20,IF(E453=3,10,IF(E453&lt;&gt;"",1,0))))+IF(F453=1,30,IF(F453=2,20,IF(F453=3,10,IF(F453&lt;&gt;"",1,0))))+IF(G453=1,30,IF(G453=2,20,IF(G453=3,10,IF(G453&lt;&gt;"",1,0))))+IF(H453=1,30,IF(H453=2,20,IF(H453=3,10,IF(H453&lt;&gt;"",1,0))))))</f>
        <v/>
      </c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14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>
        <f>IF(AND(C454="",OR(E454="",E454=0)),"",(IF(E454=1,30,IF(E454=2,20,IF(E454=3,10,IF(E454&lt;&gt;"",1,0))))+IF(F454=1,30,IF(F454=2,20,IF(F454=3,10,IF(F454&lt;&gt;"",1,0))))+IF(G454=1,30,IF(G454=2,20,IF(G454=3,10,IF(G454&lt;&gt;"",1,0))))+IF(H454=1,30,IF(H454=2,20,IF(H454=3,10,IF(H454&lt;&gt;"",1,0))))))</f>
        <v/>
      </c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14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>
        <f>IF(AND(C455="",OR(E455="",E455=0)),"",(IF(E455=1,30,IF(E455=2,20,IF(E455=3,10,IF(E455&lt;&gt;"",1,0))))+IF(F455=1,30,IF(F455=2,20,IF(F455=3,10,IF(F455&lt;&gt;"",1,0))))+IF(G455=1,30,IF(G455=2,20,IF(G455=3,10,IF(G455&lt;&gt;"",1,0))))+IF(H455=1,30,IF(H455=2,20,IF(H455=3,10,IF(H455&lt;&gt;"",1,0)))))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14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>
        <f>IF(AND(C456="",OR(E456="",E456=0)),"",(IF(E456=1,30,IF(E456=2,20,IF(E456=3,10,IF(E456&lt;&gt;"",1,0))))+IF(F456=1,30,IF(F456=2,20,IF(F456=3,10,IF(F456&lt;&gt;"",1,0))))+IF(G456=1,30,IF(G456=2,20,IF(G456=3,10,IF(G456&lt;&gt;"",1,0))))+IF(H456=1,30,IF(H456=2,20,IF(H456=3,10,IF(H456&lt;&gt;"",1,0))))))</f>
        <v/>
      </c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14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>
        <f>IF(AND(C457="",OR(E457="",E457=0)),"",(IF(E457=1,30,IF(E457=2,20,IF(E457=3,10,IF(E457&lt;&gt;"",1,0))))+IF(F457=1,30,IF(F457=2,20,IF(F457=3,10,IF(F457&lt;&gt;"",1,0))))+IF(G457=1,30,IF(G457=2,20,IF(G457=3,10,IF(G457&lt;&gt;"",1,0))))+IF(H457=1,30,IF(H457=2,20,IF(H457=3,10,IF(H457&lt;&gt;"",1,0))))))</f>
        <v/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14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>
        <f>IF(AND(C458="",OR(E458="",E458=0)),"",(IF(E458=1,30,IF(E458=2,20,IF(E458=3,10,IF(E458&lt;&gt;"",1,0))))+IF(F458=1,30,IF(F458=2,20,IF(F458=3,10,IF(F458&lt;&gt;"",1,0))))+IF(G458=1,30,IF(G458=2,20,IF(G458=3,10,IF(G458&lt;&gt;"",1,0))))+IF(H458=1,30,IF(H458=2,20,IF(H458=3,10,IF(H458&lt;&gt;"",1,0))))))</f>
        <v/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14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>
        <f>IF(AND(C459="",OR(E459="",E459=0)),"",(IF(E459=1,30,IF(E459=2,20,IF(E459=3,10,IF(E459&lt;&gt;"",1,0))))+IF(F459=1,30,IF(F459=2,20,IF(F459=3,10,IF(F459&lt;&gt;"",1,0))))+IF(G459=1,30,IF(G459=2,20,IF(G459=3,10,IF(G459&lt;&gt;"",1,0))))+IF(H459=1,30,IF(H459=2,20,IF(H459=3,10,IF(H459&lt;&gt;"",1,0)))))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14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>
        <f>IF(AND(C460="",OR(E460="",E460=0)),"",(IF(E460=1,30,IF(E460=2,20,IF(E460=3,10,IF(E460&lt;&gt;"",1,0))))+IF(F460=1,30,IF(F460=2,20,IF(F460=3,10,IF(F460&lt;&gt;"",1,0))))+IF(G460=1,30,IF(G460=2,20,IF(G460=3,10,IF(G460&lt;&gt;"",1,0))))+IF(H460=1,30,IF(H460=2,20,IF(H460=3,10,IF(H460&lt;&gt;"",1,0))))))</f>
        <v/>
      </c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14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>
        <f>IF(AND(C461="",OR(E461="",E461=0)),"",(IF(E461=1,30,IF(E461=2,20,IF(E461=3,10,IF(E461&lt;&gt;"",1,0))))+IF(F461=1,30,IF(F461=2,20,IF(F461=3,10,IF(F461&lt;&gt;"",1,0))))+IF(G461=1,30,IF(G461=2,20,IF(G461=3,10,IF(G461&lt;&gt;"",1,0))))+IF(H461=1,30,IF(H461=2,20,IF(H461=3,10,IF(H461&lt;&gt;"",1,0))))))</f>
        <v/>
      </c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14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>
        <f>IF(AND(C462="",OR(E462="",E462=0)),"",(IF(E462=1,30,IF(E462=2,20,IF(E462=3,10,IF(E462&lt;&gt;"",1,0))))+IF(F462=1,30,IF(F462=2,20,IF(F462=3,10,IF(F462&lt;&gt;"",1,0))))+IF(G462=1,30,IF(G462=2,20,IF(G462=3,10,IF(G462&lt;&gt;"",1,0))))+IF(H462=1,30,IF(H462=2,20,IF(H462=3,10,IF(H462&lt;&gt;"",1,0))))))</f>
        <v/>
      </c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14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>
        <f>IF(AND(C463="",OR(E463="",E463=0)),"",(IF(E463=1,30,IF(E463=2,20,IF(E463=3,10,IF(E463&lt;&gt;"",1,0))))+IF(F463=1,30,IF(F463=2,20,IF(F463=3,10,IF(F463&lt;&gt;"",1,0))))+IF(G463=1,30,IF(G463=2,20,IF(G463=3,10,IF(G463&lt;&gt;"",1,0))))+IF(H463=1,30,IF(H463=2,20,IF(H463=3,10,IF(H463&lt;&gt;"",1,0))))))</f>
        <v/>
      </c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14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>
        <f>IF(AND(C464="",OR(E464="",E464=0)),"",(IF(E464=1,30,IF(E464=2,20,IF(E464=3,10,IF(E464&lt;&gt;"",1,0))))+IF(F464=1,30,IF(F464=2,20,IF(F464=3,10,IF(F464&lt;&gt;"",1,0))))+IF(G464=1,30,IF(G464=2,20,IF(G464=3,10,IF(G464&lt;&gt;"",1,0))))+IF(H464=1,30,IF(H464=2,20,IF(H464=3,10,IF(H464&lt;&gt;"",1,0)))))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14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>
        <f>IF(AND(C465="",OR(E465="",E465=0)),"",(IF(E465=1,30,IF(E465=2,20,IF(E465=3,10,IF(E465&lt;&gt;"",1,0))))+IF(F465=1,30,IF(F465=2,20,IF(F465=3,10,IF(F465&lt;&gt;"",1,0))))+IF(G465=1,30,IF(G465=2,20,IF(G465=3,10,IF(G465&lt;&gt;"",1,0))))+IF(H465=1,30,IF(H465=2,20,IF(H465=3,10,IF(H465&lt;&gt;"",1,0))))))</f>
        <v/>
      </c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14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>
        <f>IF(AND(C466="",OR(E466="",E466=0)),"",(IF(E466=1,30,IF(E466=2,20,IF(E466=3,10,IF(E466&lt;&gt;"",1,0))))+IF(F466=1,30,IF(F466=2,20,IF(F466=3,10,IF(F466&lt;&gt;"",1,0))))+IF(G466=1,30,IF(G466=2,20,IF(G466=3,10,IF(G466&lt;&gt;"",1,0))))+IF(H466=1,30,IF(H466=2,20,IF(H466=3,10,IF(H466&lt;&gt;"",1,0))))))</f>
        <v/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14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>
        <f>IF(AND(C467="",OR(E467="",E467=0)),"",(IF(E467=1,30,IF(E467=2,20,IF(E467=3,10,IF(E467&lt;&gt;"",1,0))))+IF(F467=1,30,IF(F467=2,20,IF(F467=3,10,IF(F467&lt;&gt;"",1,0))))+IF(G467=1,30,IF(G467=2,20,IF(G467=3,10,IF(G467&lt;&gt;"",1,0))))+IF(H467=1,30,IF(H467=2,20,IF(H467=3,10,IF(H467&lt;&gt;"",1,0))))))</f>
        <v/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14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>
        <f>IF(AND(C468="",OR(E468="",E468=0)),"",(IF(E468=1,30,IF(E468=2,20,IF(E468=3,10,IF(E468&lt;&gt;"",1,0))))+IF(F468=1,30,IF(F468=2,20,IF(F468=3,10,IF(F468&lt;&gt;"",1,0))))+IF(G468=1,30,IF(G468=2,20,IF(G468=3,10,IF(G468&lt;&gt;"",1,0))))+IF(H468=1,30,IF(H468=2,20,IF(H468=3,10,IF(H468&lt;&gt;"",1,0)))))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14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>
        <f>IF(AND(C469="",OR(E469="",E469=0)),"",(IF(E469=1,30,IF(E469=2,20,IF(E469=3,10,IF(E469&lt;&gt;"",1,0))))+IF(F469=1,30,IF(F469=2,20,IF(F469=3,10,IF(F469&lt;&gt;"",1,0))))+IF(G469=1,30,IF(G469=2,20,IF(G469=3,10,IF(G469&lt;&gt;"",1,0))))+IF(H469=1,30,IF(H469=2,20,IF(H469=3,10,IF(H469&lt;&gt;"",1,0))))))</f>
        <v/>
      </c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14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>
        <f>IF(AND(C470="",OR(E470="",E470=0)),"",(IF(E470=1,30,IF(E470=2,20,IF(E470=3,10,IF(E470&lt;&gt;"",1,0))))+IF(F470=1,30,IF(F470=2,20,IF(F470=3,10,IF(F470&lt;&gt;"",1,0))))+IF(G470=1,30,IF(G470=2,20,IF(G470=3,10,IF(G470&lt;&gt;"",1,0))))+IF(H470=1,30,IF(H470=2,20,IF(H470=3,10,IF(H470&lt;&gt;"",1,0))))))</f>
        <v/>
      </c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14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>
        <f>IF(AND(C471="",OR(E471="",E471=0)),"",(IF(E471=1,30,IF(E471=2,20,IF(E471=3,10,IF(E471&lt;&gt;"",1,0))))+IF(F471=1,30,IF(F471=2,20,IF(F471=3,10,IF(F471&lt;&gt;"",1,0))))+IF(G471=1,30,IF(G471=2,20,IF(G471=3,10,IF(G471&lt;&gt;"",1,0))))+IF(H471=1,30,IF(H471=2,20,IF(H471=3,10,IF(H471&lt;&gt;"",1,0))))))</f>
        <v/>
      </c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14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>
        <f>IF(AND(C472="",OR(E472="",E472=0)),"",(IF(E472=1,30,IF(E472=2,20,IF(E472=3,10,IF(E472&lt;&gt;"",1,0))))+IF(F472=1,30,IF(F472=2,20,IF(F472=3,10,IF(F472&lt;&gt;"",1,0))))+IF(G472=1,30,IF(G472=2,20,IF(G472=3,10,IF(G472&lt;&gt;"",1,0))))+IF(H472=1,30,IF(H472=2,20,IF(H472=3,10,IF(H472&lt;&gt;"",1,0))))))</f>
        <v/>
      </c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14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>
        <f>IF(AND(C473="",OR(E473="",E473=0)),"",(IF(E473=1,30,IF(E473=2,20,IF(E473=3,10,IF(E473&lt;&gt;"",1,0))))+IF(F473=1,30,IF(F473=2,20,IF(F473=3,10,IF(F473&lt;&gt;"",1,0))))+IF(G473=1,30,IF(G473=2,20,IF(G473=3,10,IF(G473&lt;&gt;"",1,0))))+IF(H473=1,30,IF(H473=2,20,IF(H473=3,10,IF(H473&lt;&gt;"",1,0)))))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14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>
        <f>IF(AND(C474="",OR(E474="",E474=0)),"",(IF(E474=1,30,IF(E474=2,20,IF(E474=3,10,IF(E474&lt;&gt;"",1,0))))+IF(F474=1,30,IF(F474=2,20,IF(F474=3,10,IF(F474&lt;&gt;"",1,0))))+IF(G474=1,30,IF(G474=2,20,IF(G474=3,10,IF(G474&lt;&gt;"",1,0))))+IF(H474=1,30,IF(H474=2,20,IF(H474=3,10,IF(H474&lt;&gt;"",1,0))))))</f>
        <v/>
      </c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14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>
        <f>IF(AND(C475="",OR(E475="",E475=0)),"",(IF(E475=1,30,IF(E475=2,20,IF(E475=3,10,IF(E475&lt;&gt;"",1,0))))+IF(F475=1,30,IF(F475=2,20,IF(F475=3,10,IF(F475&lt;&gt;"",1,0))))+IF(G475=1,30,IF(G475=2,20,IF(G475=3,10,IF(G475&lt;&gt;"",1,0))))+IF(H475=1,30,IF(H475=2,20,IF(H475=3,10,IF(H475&lt;&gt;"",1,0))))))</f>
        <v/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14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>
        <f>IF(AND(C476="",OR(E476="",E476=0)),"",(IF(E476=1,30,IF(E476=2,20,IF(E476=3,10,IF(E476&lt;&gt;"",1,0))))+IF(F476=1,30,IF(F476=2,20,IF(F476=3,10,IF(F476&lt;&gt;"",1,0))))+IF(G476=1,30,IF(G476=2,20,IF(G476=3,10,IF(G476&lt;&gt;"",1,0))))+IF(H476=1,30,IF(H476=2,20,IF(H476=3,10,IF(H476&lt;&gt;"",1,0))))))</f>
        <v/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14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>
        <f>IF(AND(C477="",OR(E477="",E477=0)),"",(IF(E477=1,30,IF(E477=2,20,IF(E477=3,10,IF(E477&lt;&gt;"",1,0))))+IF(F477=1,30,IF(F477=2,20,IF(F477=3,10,IF(F477&lt;&gt;"",1,0))))+IF(G477=1,30,IF(G477=2,20,IF(G477=3,10,IF(G477&lt;&gt;"",1,0))))+IF(H477=1,30,IF(H477=2,20,IF(H477=3,10,IF(H477&lt;&gt;"",1,0)))))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14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>
        <f>IF(AND(C478="",OR(E478="",E478=0)),"",(IF(E478=1,30,IF(E478=2,20,IF(E478=3,10,IF(E478&lt;&gt;"",1,0))))+IF(F478=1,30,IF(F478=2,20,IF(F478=3,10,IF(F478&lt;&gt;"",1,0))))+IF(G478=1,30,IF(G478=2,20,IF(G478=3,10,IF(G478&lt;&gt;"",1,0))))+IF(H478=1,30,IF(H478=2,20,IF(H478=3,10,IF(H478&lt;&gt;"",1,0))))))</f>
        <v/>
      </c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14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>
        <f>IF(AND(C479="",OR(E479="",E479=0)),"",(IF(E479=1,30,IF(E479=2,20,IF(E479=3,10,IF(E479&lt;&gt;"",1,0))))+IF(F479=1,30,IF(F479=2,20,IF(F479=3,10,IF(F479&lt;&gt;"",1,0))))+IF(G479=1,30,IF(G479=2,20,IF(G479=3,10,IF(G479&lt;&gt;"",1,0))))+IF(H479=1,30,IF(H479=2,20,IF(H479=3,10,IF(H479&lt;&gt;"",1,0))))))</f>
        <v/>
      </c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14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>
        <f>IF(AND(C480="",OR(E480="",E480=0)),"",(IF(E480=1,30,IF(E480=2,20,IF(E480=3,10,IF(E480&lt;&gt;"",1,0))))+IF(F480=1,30,IF(F480=2,20,IF(F480=3,10,IF(F480&lt;&gt;"",1,0))))+IF(G480=1,30,IF(G480=2,20,IF(G480=3,10,IF(G480&lt;&gt;"",1,0))))+IF(H480=1,30,IF(H480=2,20,IF(H480=3,10,IF(H480&lt;&gt;"",1,0))))))</f>
        <v/>
      </c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14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>
        <f>IF(AND(C481="",OR(E481="",E481=0)),"",(IF(E481=1,30,IF(E481=2,20,IF(E481=3,10,IF(E481&lt;&gt;"",1,0))))+IF(F481=1,30,IF(F481=2,20,IF(F481=3,10,IF(F481&lt;&gt;"",1,0))))+IF(G481=1,30,IF(G481=2,20,IF(G481=3,10,IF(G481&lt;&gt;"",1,0))))+IF(H481=1,30,IF(H481=2,20,IF(H481=3,10,IF(H481&lt;&gt;"",1,0))))))</f>
        <v/>
      </c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14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>
        <f>IF(AND(C482="",OR(E482="",E482=0)),"",(IF(E482=1,30,IF(E482=2,20,IF(E482=3,10,IF(E482&lt;&gt;"",1,0))))+IF(F482=1,30,IF(F482=2,20,IF(F482=3,10,IF(F482&lt;&gt;"",1,0))))+IF(G482=1,30,IF(G482=2,20,IF(G482=3,10,IF(G482&lt;&gt;"",1,0))))+IF(H482=1,30,IF(H482=2,20,IF(H482=3,10,IF(H482&lt;&gt;"",1,0)))))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14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>
        <f>IF(AND(C483="",OR(E483="",E483=0)),"",(IF(E483=1,30,IF(E483=2,20,IF(E483=3,10,IF(E483&lt;&gt;"",1,0))))+IF(F483=1,30,IF(F483=2,20,IF(F483=3,10,IF(F483&lt;&gt;"",1,0))))+IF(G483=1,30,IF(G483=2,20,IF(G483=3,10,IF(G483&lt;&gt;"",1,0))))+IF(H483=1,30,IF(H483=2,20,IF(H483=3,10,IF(H483&lt;&gt;"",1,0))))))</f>
        <v/>
      </c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14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>
        <f>IF(AND(C484="",OR(E484="",E484=0)),"",(IF(E484=1,30,IF(E484=2,20,IF(E484=3,10,IF(E484&lt;&gt;"",1,0))))+IF(F484=1,30,IF(F484=2,20,IF(F484=3,10,IF(F484&lt;&gt;"",1,0))))+IF(G484=1,30,IF(G484=2,20,IF(G484=3,10,IF(G484&lt;&gt;"",1,0))))+IF(H484=1,30,IF(H484=2,20,IF(H484=3,10,IF(H484&lt;&gt;"",1,0))))))</f>
        <v/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14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>
        <f>IF(AND(C485="",OR(E485="",E485=0)),"",(IF(E485=1,30,IF(E485=2,20,IF(E485=3,10,IF(E485&lt;&gt;"",1,0))))+IF(F485=1,30,IF(F485=2,20,IF(F485=3,10,IF(F485&lt;&gt;"",1,0))))+IF(G485=1,30,IF(G485=2,20,IF(G485=3,10,IF(G485&lt;&gt;"",1,0))))+IF(H485=1,30,IF(H485=2,20,IF(H485=3,10,IF(H485&lt;&gt;"",1,0))))))</f>
        <v/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14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>
        <f>IF(AND(C486="",OR(E486="",E486=0)),"",(IF(E486=1,30,IF(E486=2,20,IF(E486=3,10,IF(E486&lt;&gt;"",1,0))))+IF(F486=1,30,IF(F486=2,20,IF(F486=3,10,IF(F486&lt;&gt;"",1,0))))+IF(G486=1,30,IF(G486=2,20,IF(G486=3,10,IF(G486&lt;&gt;"",1,0))))+IF(H486=1,30,IF(H486=2,20,IF(H486=3,10,IF(H486&lt;&gt;"",1,0)))))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14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>
        <f>IF(AND(C487="",OR(E487="",E487=0)),"",(IF(E487=1,30,IF(E487=2,20,IF(E487=3,10,IF(E487&lt;&gt;"",1,0))))+IF(F487=1,30,IF(F487=2,20,IF(F487=3,10,IF(F487&lt;&gt;"",1,0))))+IF(G487=1,30,IF(G487=2,20,IF(G487=3,10,IF(G487&lt;&gt;"",1,0))))+IF(H487=1,30,IF(H487=2,20,IF(H487=3,10,IF(H487&lt;&gt;"",1,0))))))</f>
        <v/>
      </c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14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>
        <f>IF(AND(C488="",OR(E488="",E488=0)),"",(IF(E488=1,30,IF(E488=2,20,IF(E488=3,10,IF(E488&lt;&gt;"",1,0))))+IF(F488=1,30,IF(F488=2,20,IF(F488=3,10,IF(F488&lt;&gt;"",1,0))))+IF(G488=1,30,IF(G488=2,20,IF(G488=3,10,IF(G488&lt;&gt;"",1,0))))+IF(H488=1,30,IF(H488=2,20,IF(H488=3,10,IF(H488&lt;&gt;"",1,0))))))</f>
        <v/>
      </c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14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>
        <f>IF(AND(C489="",OR(E489="",E489=0)),"",(IF(E489=1,30,IF(E489=2,20,IF(E489=3,10,IF(E489&lt;&gt;"",1,0))))+IF(F489=1,30,IF(F489=2,20,IF(F489=3,10,IF(F489&lt;&gt;"",1,0))))+IF(G489=1,30,IF(G489=2,20,IF(G489=3,10,IF(G489&lt;&gt;"",1,0))))+IF(H489=1,30,IF(H489=2,20,IF(H489=3,10,IF(H489&lt;&gt;"",1,0))))))</f>
        <v/>
      </c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14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>
        <f>IF(AND(C490="",OR(E490="",E490=0)),"",(IF(E490=1,30,IF(E490=2,20,IF(E490=3,10,IF(E490&lt;&gt;"",1,0))))+IF(F490=1,30,IF(F490=2,20,IF(F490=3,10,IF(F490&lt;&gt;"",1,0))))+IF(G490=1,30,IF(G490=2,20,IF(G490=3,10,IF(G490&lt;&gt;"",1,0))))+IF(H490=1,30,IF(H490=2,20,IF(H490=3,10,IF(H490&lt;&gt;"",1,0))))))</f>
        <v/>
      </c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14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>
        <f>IF(AND(C491="",OR(E491="",E491=0)),"",(IF(E491=1,30,IF(E491=2,20,IF(E491=3,10,IF(E491&lt;&gt;"",1,0))))+IF(F491=1,30,IF(F491=2,20,IF(F491=3,10,IF(F491&lt;&gt;"",1,0))))+IF(G491=1,30,IF(G491=2,20,IF(G491=3,10,IF(G491&lt;&gt;"",1,0))))+IF(H491=1,30,IF(H491=2,20,IF(H491=3,10,IF(H491&lt;&gt;"",1,0)))))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14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>
        <f>IF(AND(C492="",OR(E492="",E492=0)),"",(IF(E492=1,30,IF(E492=2,20,IF(E492=3,10,IF(E492&lt;&gt;"",1,0))))+IF(F492=1,30,IF(F492=2,20,IF(F492=3,10,IF(F492&lt;&gt;"",1,0))))+IF(G492=1,30,IF(G492=2,20,IF(G492=3,10,IF(G492&lt;&gt;"",1,0))))+IF(H492=1,30,IF(H492=2,20,IF(H492=3,10,IF(H492&lt;&gt;"",1,0))))))</f>
        <v/>
      </c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14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>
        <f>IF(AND(C493="",OR(E493="",E493=0)),"",(IF(E493=1,30,IF(E493=2,20,IF(E493=3,10,IF(E493&lt;&gt;"",1,0))))+IF(F493=1,30,IF(F493=2,20,IF(F493=3,10,IF(F493&lt;&gt;"",1,0))))+IF(G493=1,30,IF(G493=2,20,IF(G493=3,10,IF(G493&lt;&gt;"",1,0))))+IF(H493=1,30,IF(H493=2,20,IF(H493=3,10,IF(H493&lt;&gt;"",1,0))))))</f>
        <v/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14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>
        <f>IF(AND(C494="",OR(E494="",E494=0)),"",(IF(E494=1,30,IF(E494=2,20,IF(E494=3,10,IF(E494&lt;&gt;"",1,0))))+IF(F494=1,30,IF(F494=2,20,IF(F494=3,10,IF(F494&lt;&gt;"",1,0))))+IF(G494=1,30,IF(G494=2,20,IF(G494=3,10,IF(G494&lt;&gt;"",1,0))))+IF(H494=1,30,IF(H494=2,20,IF(H494=3,10,IF(H494&lt;&gt;"",1,0))))))</f>
        <v/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14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>
        <f>IF(AND(C495="",OR(E495="",E495=0)),"",(IF(E495=1,30,IF(E495=2,20,IF(E495=3,10,IF(E495&lt;&gt;"",1,0))))+IF(F495=1,30,IF(F495=2,20,IF(F495=3,10,IF(F495&lt;&gt;"",1,0))))+IF(G495=1,30,IF(G495=2,20,IF(G495=3,10,IF(G495&lt;&gt;"",1,0))))+IF(H495=1,30,IF(H495=2,20,IF(H495=3,10,IF(H495&lt;&gt;"",1,0)))))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14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>
        <f>IF(AND(C496="",OR(E496="",E496=0)),"",(IF(E496=1,30,IF(E496=2,20,IF(E496=3,10,IF(E496&lt;&gt;"",1,0))))+IF(F496=1,30,IF(F496=2,20,IF(F496=3,10,IF(F496&lt;&gt;"",1,0))))+IF(G496=1,30,IF(G496=2,20,IF(G496=3,10,IF(G496&lt;&gt;"",1,0))))+IF(H496=1,30,IF(H496=2,20,IF(H496=3,10,IF(H496&lt;&gt;"",1,0)))))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14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>
        <f>IF(AND(C497="",OR(E497="",E497=0)),"",(IF(E497=1,30,IF(E497=2,20,IF(E497=3,10,IF(E497&lt;&gt;"",1,0))))+IF(F497=1,30,IF(F497=2,20,IF(F497=3,10,IF(F497&lt;&gt;"",1,0))))+IF(G497=1,30,IF(G497=2,20,IF(G497=3,10,IF(G497&lt;&gt;"",1,0))))+IF(H497=1,30,IF(H497=2,20,IF(H497=3,10,IF(H497&lt;&gt;"",1,0)))))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14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>
        <f>IF(AND(C498="",OR(E498="",E498=0)),"",(IF(E498=1,30,IF(E498=2,20,IF(E498=3,10,IF(E498&lt;&gt;"",1,0))))+IF(F498=1,30,IF(F498=2,20,IF(F498=3,10,IF(F498&lt;&gt;"",1,0))))+IF(G498=1,30,IF(G498=2,20,IF(G498=3,10,IF(G498&lt;&gt;"",1,0))))+IF(H498=1,30,IF(H498=2,20,IF(H498=3,10,IF(H498&lt;&gt;"",1,0)))))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14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>
        <f>IF(AND(C499="",OR(E499="",E499=0)),"",(IF(E499=1,30,IF(E499=2,20,IF(E499=3,10,IF(E499&lt;&gt;"",1,0))))+IF(F499=1,30,IF(F499=2,20,IF(F499=3,10,IF(F499&lt;&gt;"",1,0))))+IF(G499=1,30,IF(G499=2,20,IF(G499=3,10,IF(G499&lt;&gt;"",1,0))))+IF(H499=1,30,IF(H499=2,20,IF(H499=3,10,IF(H499&lt;&gt;"",1,0))))))</f>
        <v/>
      </c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14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>
        <f>IF(AND(C500="",OR(E500="",E500=0)),"",(IF(E500=1,30,IF(E500=2,20,IF(E500=3,10,IF(E500&lt;&gt;"",1,0))))+IF(F500=1,30,IF(F500=2,20,IF(F500=3,10,IF(F500&lt;&gt;"",1,0))))+IF(G500=1,30,IF(G500=2,20,IF(G500=3,10,IF(G500&lt;&gt;"",1,0))))+IF(H500=1,30,IF(H500=2,20,IF(H500=3,10,IF(H500&lt;&gt;"",1,0)))))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14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>
        <f>IF(AND(C501="",OR(E501="",E501=0)),"",(IF(E501=1,30,IF(E501=2,20,IF(E501=3,10,IF(E501&lt;&gt;"",1,0))))+IF(F501=1,30,IF(F501=2,20,IF(F501=3,10,IF(F501&lt;&gt;"",1,0))))+IF(G501=1,30,IF(G501=2,20,IF(G501=3,10,IF(G501&lt;&gt;"",1,0))))+IF(H501=1,30,IF(H501=2,20,IF(H501=3,10,IF(H501&lt;&gt;"",1,0))))))</f>
        <v/>
      </c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14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>
        <f>IF(AND(C502="",OR(E502="",E502=0)),"",(IF(E502=1,30,IF(E502=2,20,IF(E502=3,10,IF(E502&lt;&gt;"",1,0))))+IF(F502=1,30,IF(F502=2,20,IF(F502=3,10,IF(F502&lt;&gt;"",1,0))))+IF(G502=1,30,IF(G502=2,20,IF(G502=3,10,IF(G502&lt;&gt;"",1,0))))+IF(H502=1,30,IF(H502=2,20,IF(H502=3,10,IF(H502&lt;&gt;"",1,0))))))</f>
        <v/>
      </c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14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>
        <f>IF(AND(C503="",OR(E503="",E503=0)),"",(IF(E503=1,30,IF(E503=2,20,IF(E503=3,10,IF(E503&lt;&gt;"",1,0))))+IF(F503=1,30,IF(F503=2,20,IF(F503=3,10,IF(F503&lt;&gt;"",1,0))))+IF(G503=1,30,IF(G503=2,20,IF(G503=3,10,IF(G503&lt;&gt;"",1,0))))+IF(H503=1,30,IF(H503=2,20,IF(H503=3,10,IF(H503&lt;&gt;"",1,0))))))</f>
        <v/>
      </c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14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>
        <f>IF(AND(C504="",OR(E504="",E504=0)),"",(IF(E504=1,30,IF(E504=2,20,IF(E504=3,10,IF(E504&lt;&gt;"",1,0))))+IF(F504=1,30,IF(F504=2,20,IF(F504=3,10,IF(F504&lt;&gt;"",1,0))))+IF(G504=1,30,IF(G504=2,20,IF(G504=3,10,IF(G504&lt;&gt;"",1,0))))+IF(H504=1,30,IF(H504=2,20,IF(H504=3,10,IF(H504&lt;&gt;"",1,0))))))</f>
        <v/>
      </c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14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>
        <f>IF(AND(C505="",OR(E505="",E505=0)),"",(IF(E505=1,30,IF(E505=2,20,IF(E505=3,10,IF(E505&lt;&gt;"",1,0))))+IF(F505=1,30,IF(F505=2,20,IF(F505=3,10,IF(F505&lt;&gt;"",1,0))))+IF(G505=1,30,IF(G505=2,20,IF(G505=3,10,IF(G505&lt;&gt;"",1,0))))+IF(H505=1,30,IF(H505=2,20,IF(H505=3,10,IF(H505&lt;&gt;"",1,0))))))</f>
        <v/>
      </c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14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>
        <f>IF(AND(C506="",OR(E506="",E506=0)),"",(IF(E506=1,30,IF(E506=2,20,IF(E506=3,10,IF(E506&lt;&gt;"",1,0))))+IF(F506=1,30,IF(F506=2,20,IF(F506=3,10,IF(F506&lt;&gt;"",1,0))))+IF(G506=1,30,IF(G506=2,20,IF(G506=3,10,IF(G506&lt;&gt;"",1,0))))+IF(H506=1,30,IF(H506=2,20,IF(H506=3,10,IF(H506&lt;&gt;"",1,0))))))</f>
        <v/>
      </c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14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>
        <f>IF(AND(C507="",OR(E507="",E507=0)),"",(IF(E507=1,30,IF(E507=2,20,IF(E507=3,10,IF(E507&lt;&gt;"",1,0))))+IF(F507=1,30,IF(F507=2,20,IF(F507=3,10,IF(F507&lt;&gt;"",1,0))))+IF(G507=1,30,IF(G507=2,20,IF(G507=3,10,IF(G507&lt;&gt;"",1,0))))+IF(H507=1,30,IF(H507=2,20,IF(H507=3,10,IF(H507&lt;&gt;"",1,0))))))</f>
        <v/>
      </c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14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>
        <f>IF(AND(C508="",OR(E508="",E508=0)),"",(IF(E508=1,30,IF(E508=2,20,IF(E508=3,10,IF(E508&lt;&gt;"",1,0))))+IF(F508=1,30,IF(F508=2,20,IF(F508=3,10,IF(F508&lt;&gt;"",1,0))))+IF(G508=1,30,IF(G508=2,20,IF(G508=3,10,IF(G508&lt;&gt;"",1,0))))+IF(H508=1,30,IF(H508=2,20,IF(H508=3,10,IF(H508&lt;&gt;"",1,0))))))</f>
        <v/>
      </c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14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>
        <f>IF(AND(C509="",OR(E509="",E509=0)),"",(IF(E509=1,30,IF(E509=2,20,IF(E509=3,10,IF(E509&lt;&gt;"",1,0))))+IF(F509=1,30,IF(F509=2,20,IF(F509=3,10,IF(F509&lt;&gt;"",1,0))))+IF(G509=1,30,IF(G509=2,20,IF(G509=3,10,IF(G509&lt;&gt;"",1,0))))+IF(H509=1,30,IF(H509=2,20,IF(H509=3,10,IF(H509&lt;&gt;"",1,0))))))</f>
        <v/>
      </c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14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>
        <f>IF(AND(C510="",OR(E510="",E510=0)),"",(IF(E510=1,30,IF(E510=2,20,IF(E510=3,10,IF(E510&lt;&gt;"",1,0))))+IF(F510=1,30,IF(F510=2,20,IF(F510=3,10,IF(F510&lt;&gt;"",1,0))))+IF(G510=1,30,IF(G510=2,20,IF(G510=3,10,IF(G510&lt;&gt;"",1,0))))+IF(H510=1,30,IF(H510=2,20,IF(H510=3,10,IF(H510&lt;&gt;"",1,0))))))</f>
        <v/>
      </c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14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>
        <f>IF(AND(C511="",OR(E511="",E511=0)),"",(IF(E511=1,30,IF(E511=2,20,IF(E511=3,10,IF(E511&lt;&gt;"",1,0))))+IF(F511=1,30,IF(F511=2,20,IF(F511=3,10,IF(F511&lt;&gt;"",1,0))))+IF(G511=1,30,IF(G511=2,20,IF(G511=3,10,IF(G511&lt;&gt;"",1,0))))+IF(H511=1,30,IF(H511=2,20,IF(H511=3,10,IF(H511&lt;&gt;"",1,0))))))</f>
        <v/>
      </c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14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>
        <f>IF(AND(C512="",OR(E512="",E512=0)),"",(IF(E512=1,30,IF(E512=2,20,IF(E512=3,10,IF(E512&lt;&gt;"",1,0))))+IF(F512=1,30,IF(F512=2,20,IF(F512=3,10,IF(F512&lt;&gt;"",1,0))))+IF(G512=1,30,IF(G512=2,20,IF(G512=3,10,IF(G512&lt;&gt;"",1,0))))+IF(H512=1,30,IF(H512=2,20,IF(H512=3,10,IF(H512&lt;&gt;"",1,0))))))</f>
        <v/>
      </c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14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>
        <f>IF(AND(C513="",OR(E513="",E513=0)),"",(IF(E513=1,30,IF(E513=2,20,IF(E513=3,10,IF(E513&lt;&gt;"",1,0))))+IF(F513=1,30,IF(F513=2,20,IF(F513=3,10,IF(F513&lt;&gt;"",1,0))))+IF(G513=1,30,IF(G513=2,20,IF(G513=3,10,IF(G513&lt;&gt;"",1,0))))+IF(H513=1,30,IF(H513=2,20,IF(H513=3,10,IF(H513&lt;&gt;"",1,0))))))</f>
        <v/>
      </c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14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>
        <f>IF(AND(C514="",OR(E514="",E514=0)),"",(IF(E514=1,30,IF(E514=2,20,IF(E514=3,10,IF(E514&lt;&gt;"",1,0))))+IF(F514=1,30,IF(F514=2,20,IF(F514=3,10,IF(F514&lt;&gt;"",1,0))))+IF(G514=1,30,IF(G514=2,20,IF(G514=3,10,IF(G514&lt;&gt;"",1,0))))+IF(H514=1,30,IF(H514=2,20,IF(H514=3,10,IF(H514&lt;&gt;"",1,0))))))</f>
        <v/>
      </c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14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>
        <f>IF(AND(C515="",OR(E515="",E515=0)),"",(IF(E515=1,30,IF(E515=2,20,IF(E515=3,10,IF(E515&lt;&gt;"",1,0))))+IF(F515=1,30,IF(F515=2,20,IF(F515=3,10,IF(F515&lt;&gt;"",1,0))))+IF(G515=1,30,IF(G515=2,20,IF(G515=3,10,IF(G515&lt;&gt;"",1,0))))+IF(H515=1,30,IF(H515=2,20,IF(H515=3,10,IF(H515&lt;&gt;"",1,0))))))</f>
        <v/>
      </c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14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>
        <f>IF(AND(C516="",OR(E516="",E516=0)),"",(IF(E516=1,30,IF(E516=2,20,IF(E516=3,10,IF(E516&lt;&gt;"",1,0))))+IF(F516=1,30,IF(F516=2,20,IF(F516=3,10,IF(F516&lt;&gt;"",1,0))))+IF(G516=1,30,IF(G516=2,20,IF(G516=3,10,IF(G516&lt;&gt;"",1,0))))+IF(H516=1,30,IF(H516=2,20,IF(H516=3,10,IF(H516&lt;&gt;"",1,0))))))</f>
        <v/>
      </c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14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>
        <f>IF(AND(C517="",OR(E517="",E517=0)),"",(IF(E517=1,30,IF(E517=2,20,IF(E517=3,10,IF(E517&lt;&gt;"",1,0))))+IF(F517=1,30,IF(F517=2,20,IF(F517=3,10,IF(F517&lt;&gt;"",1,0))))+IF(G517=1,30,IF(G517=2,20,IF(G517=3,10,IF(G517&lt;&gt;"",1,0))))+IF(H517=1,30,IF(H517=2,20,IF(H517=3,10,IF(H517&lt;&gt;"",1,0))))))</f>
        <v/>
      </c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14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>
        <f>IF(AND(C518="",OR(E518="",E518=0)),"",(IF(E518=1,30,IF(E518=2,20,IF(E518=3,10,IF(E518&lt;&gt;"",1,0))))+IF(F518=1,30,IF(F518=2,20,IF(F518=3,10,IF(F518&lt;&gt;"",1,0))))+IF(G518=1,30,IF(G518=2,20,IF(G518=3,10,IF(G518&lt;&gt;"",1,0))))+IF(H518=1,30,IF(H518=2,20,IF(H518=3,10,IF(H518&lt;&gt;"",1,0))))))</f>
        <v/>
      </c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14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>
        <f>IF(AND(C519="",OR(E519="",E519=0)),"",(IF(E519=1,30,IF(E519=2,20,IF(E519=3,10,IF(E519&lt;&gt;"",1,0))))+IF(F519=1,30,IF(F519=2,20,IF(F519=3,10,IF(F519&lt;&gt;"",1,0))))+IF(G519=1,30,IF(G519=2,20,IF(G519=3,10,IF(G519&lt;&gt;"",1,0))))+IF(H519=1,30,IF(H519=2,20,IF(H519=3,10,IF(H519&lt;&gt;"",1,0))))))</f>
        <v/>
      </c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14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>
        <f>IF(AND(C520="",OR(E520="",E520=0)),"",(IF(E520=1,30,IF(E520=2,20,IF(E520=3,10,IF(E520&lt;&gt;"",1,0))))+IF(F520=1,30,IF(F520=2,20,IF(F520=3,10,IF(F520&lt;&gt;"",1,0))))+IF(G520=1,30,IF(G520=2,20,IF(G520=3,10,IF(G520&lt;&gt;"",1,0))))+IF(H520=1,30,IF(H520=2,20,IF(H520=3,10,IF(H520&lt;&gt;"",1,0))))))</f>
        <v/>
      </c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14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>
        <f>IF(AND(C521="",OR(E521="",E521=0)),"",(IF(E521=1,30,IF(E521=2,20,IF(E521=3,10,IF(E521&lt;&gt;"",1,0))))+IF(F521=1,30,IF(F521=2,20,IF(F521=3,10,IF(F521&lt;&gt;"",1,0))))+IF(G521=1,30,IF(G521=2,20,IF(G521=3,10,IF(G521&lt;&gt;"",1,0))))+IF(H521=1,30,IF(H521=2,20,IF(H521=3,10,IF(H521&lt;&gt;"",1,0))))))</f>
        <v/>
      </c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14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>
        <f>IF(AND(C522="",OR(E522="",E522=0)),"",(IF(E522=1,30,IF(E522=2,20,IF(E522=3,10,IF(E522&lt;&gt;"",1,0))))+IF(F522=1,30,IF(F522=2,20,IF(F522=3,10,IF(F522&lt;&gt;"",1,0))))+IF(G522=1,30,IF(G522=2,20,IF(G522=3,10,IF(G522&lt;&gt;"",1,0))))+IF(H522=1,30,IF(H522=2,20,IF(H522=3,10,IF(H522&lt;&gt;"",1,0))))))</f>
        <v/>
      </c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14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>
        <f>IF(AND(C523="",OR(E523="",E523=0)),"",(IF(E523=1,30,IF(E523=2,20,IF(E523=3,10,IF(E523&lt;&gt;"",1,0))))+IF(F523=1,30,IF(F523=2,20,IF(F523=3,10,IF(F523&lt;&gt;"",1,0))))+IF(G523=1,30,IF(G523=2,20,IF(G523=3,10,IF(G523&lt;&gt;"",1,0))))+IF(H523=1,30,IF(H523=2,20,IF(H523=3,10,IF(H523&lt;&gt;"",1,0))))))</f>
        <v/>
      </c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14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>
        <f>IF(AND(C524="",OR(E524="",E524=0)),"",(IF(E524=1,30,IF(E524=2,20,IF(E524=3,10,IF(E524&lt;&gt;"",1,0))))+IF(F524=1,30,IF(F524=2,20,IF(F524=3,10,IF(F524&lt;&gt;"",1,0))))+IF(G524=1,30,IF(G524=2,20,IF(G524=3,10,IF(G524&lt;&gt;"",1,0))))+IF(H524=1,30,IF(H524=2,20,IF(H524=3,10,IF(H524&lt;&gt;"",1,0))))))</f>
        <v/>
      </c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14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>
        <f>IF(AND(C525="",OR(E525="",E525=0)),"",(IF(E525=1,30,IF(E525=2,20,IF(E525=3,10,IF(E525&lt;&gt;"",1,0))))+IF(F525=1,30,IF(F525=2,20,IF(F525=3,10,IF(F525&lt;&gt;"",1,0))))+IF(G525=1,30,IF(G525=2,20,IF(G525=3,10,IF(G525&lt;&gt;"",1,0))))+IF(H525=1,30,IF(H525=2,20,IF(H525=3,10,IF(H525&lt;&gt;"",1,0))))))</f>
        <v/>
      </c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14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>
        <f>IF(AND(C526="",OR(E526="",E526=0)),"",(IF(E526=1,30,IF(E526=2,20,IF(E526=3,10,IF(E526&lt;&gt;"",1,0))))+IF(F526=1,30,IF(F526=2,20,IF(F526=3,10,IF(F526&lt;&gt;"",1,0))))+IF(G526=1,30,IF(G526=2,20,IF(G526=3,10,IF(G526&lt;&gt;"",1,0))))+IF(H526=1,30,IF(H526=2,20,IF(H526=3,10,IF(H526&lt;&gt;"",1,0))))))</f>
        <v/>
      </c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14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>
        <f>IF(AND(C527="",OR(E527="",E527=0)),"",(IF(E527=1,30,IF(E527=2,20,IF(E527=3,10,IF(E527&lt;&gt;"",1,0))))+IF(F527=1,30,IF(F527=2,20,IF(F527=3,10,IF(F527&lt;&gt;"",1,0))))+IF(G527=1,30,IF(G527=2,20,IF(G527=3,10,IF(G527&lt;&gt;"",1,0))))+IF(H527=1,30,IF(H527=2,20,IF(H527=3,10,IF(H527&lt;&gt;"",1,0))))))</f>
        <v/>
      </c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14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>
        <f>IF(AND(C528="",OR(E528="",E528=0)),"",(IF(E528=1,30,IF(E528=2,20,IF(E528=3,10,IF(E528&lt;&gt;"",1,0))))+IF(F528=1,30,IF(F528=2,20,IF(F528=3,10,IF(F528&lt;&gt;"",1,0))))+IF(G528=1,30,IF(G528=2,20,IF(G528=3,10,IF(G528&lt;&gt;"",1,0))))+IF(H528=1,30,IF(H528=2,20,IF(H528=3,10,IF(H528&lt;&gt;"",1,0))))))</f>
        <v/>
      </c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14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>
        <f>IF(AND(C529="",OR(E529="",E529=0)),"",(IF(E529=1,30,IF(E529=2,20,IF(E529=3,10,IF(E529&lt;&gt;"",1,0))))+IF(F529=1,30,IF(F529=2,20,IF(F529=3,10,IF(F529&lt;&gt;"",1,0))))+IF(G529=1,30,IF(G529=2,20,IF(G529=3,10,IF(G529&lt;&gt;"",1,0))))+IF(H529=1,30,IF(H529=2,20,IF(H529=3,10,IF(H529&lt;&gt;"",1,0))))))</f>
        <v/>
      </c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14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>
        <f>IF(AND(C530="",OR(E530="",E530=0)),"",(IF(E530=1,30,IF(E530=2,20,IF(E530=3,10,IF(E530&lt;&gt;"",1,0))))+IF(F530=1,30,IF(F530=2,20,IF(F530=3,10,IF(F530&lt;&gt;"",1,0))))+IF(G530=1,30,IF(G530=2,20,IF(G530=3,10,IF(G530&lt;&gt;"",1,0))))+IF(H530=1,30,IF(H530=2,20,IF(H530=3,10,IF(H530&lt;&gt;"",1,0))))))</f>
        <v/>
      </c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14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>
        <f>IF(AND(C531="",OR(E531="",E531=0)),"",(IF(E531=1,30,IF(E531=2,20,IF(E531=3,10,IF(E531&lt;&gt;"",1,0))))+IF(F531=1,30,IF(F531=2,20,IF(F531=3,10,IF(F531&lt;&gt;"",1,0))))+IF(G531=1,30,IF(G531=2,20,IF(G531=3,10,IF(G531&lt;&gt;"",1,0))))+IF(H531=1,30,IF(H531=2,20,IF(H531=3,10,IF(H531&lt;&gt;"",1,0))))))</f>
        <v/>
      </c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14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>
        <f>IF(AND(C532="",OR(E532="",E532=0)),"",(IF(E532=1,30,IF(E532=2,20,IF(E532=3,10,IF(E532&lt;&gt;"",1,0))))+IF(F532=1,30,IF(F532=2,20,IF(F532=3,10,IF(F532&lt;&gt;"",1,0))))+IF(G532=1,30,IF(G532=2,20,IF(G532=3,10,IF(G532&lt;&gt;"",1,0))))+IF(H532=1,30,IF(H532=2,20,IF(H532=3,10,IF(H532&lt;&gt;"",1,0))))))</f>
        <v/>
      </c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14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>
        <f>IF(AND(C533="",OR(E533="",E533=0)),"",(IF(E533=1,30,IF(E533=2,20,IF(E533=3,10,IF(E533&lt;&gt;"",1,0))))+IF(F533=1,30,IF(F533=2,20,IF(F533=3,10,IF(F533&lt;&gt;"",1,0))))+IF(G533=1,30,IF(G533=2,20,IF(G533=3,10,IF(G533&lt;&gt;"",1,0))))+IF(H533=1,30,IF(H533=2,20,IF(H533=3,10,IF(H533&lt;&gt;"",1,0))))))</f>
        <v/>
      </c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14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>
        <f>IF(AND(C534="",OR(E534="",E534=0)),"",(IF(E534=1,30,IF(E534=2,20,IF(E534=3,10,IF(E534&lt;&gt;"",1,0))))+IF(F534=1,30,IF(F534=2,20,IF(F534=3,10,IF(F534&lt;&gt;"",1,0))))+IF(G534=1,30,IF(G534=2,20,IF(G534=3,10,IF(G534&lt;&gt;"",1,0))))+IF(H534=1,30,IF(H534=2,20,IF(H534=3,10,IF(H534&lt;&gt;"",1,0))))))</f>
        <v/>
      </c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14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>
        <f>IF(AND(C535="",OR(E535="",E535=0)),"",(IF(E535=1,30,IF(E535=2,20,IF(E535=3,10,IF(E535&lt;&gt;"",1,0))))+IF(F535=1,30,IF(F535=2,20,IF(F535=3,10,IF(F535&lt;&gt;"",1,0))))+IF(G535=1,30,IF(G535=2,20,IF(G535=3,10,IF(G535&lt;&gt;"",1,0))))+IF(H535=1,30,IF(H535=2,20,IF(H535=3,10,IF(H535&lt;&gt;"",1,0))))))</f>
        <v/>
      </c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14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>
        <f>IF(AND(C536="",OR(E536="",E536=0)),"",(IF(E536=1,30,IF(E536=2,20,IF(E536=3,10,IF(E536&lt;&gt;"",1,0))))+IF(F536=1,30,IF(F536=2,20,IF(F536=3,10,IF(F536&lt;&gt;"",1,0))))+IF(G536=1,30,IF(G536=2,20,IF(G536=3,10,IF(G536&lt;&gt;"",1,0))))+IF(H536=1,30,IF(H536=2,20,IF(H536=3,10,IF(H536&lt;&gt;"",1,0))))))</f>
        <v/>
      </c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14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>
        <f>IF(AND(C537="",OR(E537="",E537=0)),"",(IF(E537=1,30,IF(E537=2,20,IF(E537=3,10,IF(E537&lt;&gt;"",1,0))))+IF(F537=1,30,IF(F537=2,20,IF(F537=3,10,IF(F537&lt;&gt;"",1,0))))+IF(G537=1,30,IF(G537=2,20,IF(G537=3,10,IF(G537&lt;&gt;"",1,0))))+IF(H537=1,30,IF(H537=2,20,IF(H537=3,10,IF(H537&lt;&gt;"",1,0))))))</f>
        <v/>
      </c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14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>
        <f>IF(AND(C538="",OR(E538="",E538=0)),"",(IF(E538=1,30,IF(E538=2,20,IF(E538=3,10,IF(E538&lt;&gt;"",1,0))))+IF(F538=1,30,IF(F538=2,20,IF(F538=3,10,IF(F538&lt;&gt;"",1,0))))+IF(G538=1,30,IF(G538=2,20,IF(G538=3,10,IF(G538&lt;&gt;"",1,0))))+IF(H538=1,30,IF(H538=2,20,IF(H538=3,10,IF(H538&lt;&gt;"",1,0))))))</f>
        <v/>
      </c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14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>
        <f>IF(AND(C539="",OR(E539="",E539=0)),"",(IF(E539=1,30,IF(E539=2,20,IF(E539=3,10,IF(E539&lt;&gt;"",1,0))))+IF(F539=1,30,IF(F539=2,20,IF(F539=3,10,IF(F539&lt;&gt;"",1,0))))+IF(G539=1,30,IF(G539=2,20,IF(G539=3,10,IF(G539&lt;&gt;"",1,0))))+IF(H539=1,30,IF(H539=2,20,IF(H539=3,10,IF(H539&lt;&gt;"",1,0))))))</f>
        <v/>
      </c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14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>
        <f>IF(AND(C540="",OR(E540="",E540=0)),"",(IF(E540=1,30,IF(E540=2,20,IF(E540=3,10,IF(E540&lt;&gt;"",1,0))))+IF(F540=1,30,IF(F540=2,20,IF(F540=3,10,IF(F540&lt;&gt;"",1,0))))+IF(G540=1,30,IF(G540=2,20,IF(G540=3,10,IF(G540&lt;&gt;"",1,0))))+IF(H540=1,30,IF(H540=2,20,IF(H540=3,10,IF(H540&lt;&gt;"",1,0))))))</f>
        <v/>
      </c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14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>
        <f>IF(AND(C541="",OR(E541="",E541=0)),"",(IF(E541=1,30,IF(E541=2,20,IF(E541=3,10,IF(E541&lt;&gt;"",1,0))))+IF(F541=1,30,IF(F541=2,20,IF(F541=3,10,IF(F541&lt;&gt;"",1,0))))+IF(G541=1,30,IF(G541=2,20,IF(G541=3,10,IF(G541&lt;&gt;"",1,0))))+IF(H541=1,30,IF(H541=2,20,IF(H541=3,10,IF(H541&lt;&gt;"",1,0))))))</f>
        <v/>
      </c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14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>
        <f>IF(AND(C542="",OR(E542="",E542=0)),"",(IF(E542=1,30,IF(E542=2,20,IF(E542=3,10,IF(E542&lt;&gt;"",1,0))))+IF(F542=1,30,IF(F542=2,20,IF(F542=3,10,IF(F542&lt;&gt;"",1,0))))+IF(G542=1,30,IF(G542=2,20,IF(G542=3,10,IF(G542&lt;&gt;"",1,0))))+IF(H542=1,30,IF(H542=2,20,IF(H542=3,10,IF(H542&lt;&gt;"",1,0))))))</f>
        <v/>
      </c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1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>
        <f>IF(AND(C543="",OR(E543="",E543=0)),"",(IF(E543=1,30,IF(E543=2,20,IF(E543=3,10,IF(E543&lt;&gt;"",1,0))))+IF(F543=1,30,IF(F543=2,20,IF(F543=3,10,IF(F543&lt;&gt;"",1,0))))+IF(G543=1,30,IF(G543=2,20,IF(G543=3,10,IF(G543&lt;&gt;"",1,0))))+IF(H543=1,30,IF(H543=2,20,IF(H543=3,10,IF(H543&lt;&gt;"",1,0))))))</f>
        <v/>
      </c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14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>
        <f>IF(AND(C544="",OR(E544="",E544=0)),"",(IF(E544=1,30,IF(E544=2,20,IF(E544=3,10,IF(E544&lt;&gt;"",1,0))))+IF(F544=1,30,IF(F544=2,20,IF(F544=3,10,IF(F544&lt;&gt;"",1,0))))+IF(G544=1,30,IF(G544=2,20,IF(G544=3,10,IF(G544&lt;&gt;"",1,0))))+IF(H544=1,30,IF(H544=2,20,IF(H544=3,10,IF(H544&lt;&gt;"",1,0))))))</f>
        <v/>
      </c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14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>
        <f>IF(AND(C545="",OR(E545="",E545=0)),"",(IF(E545=1,30,IF(E545=2,20,IF(E545=3,10,IF(E545&lt;&gt;"",1,0))))+IF(F545=1,30,IF(F545=2,20,IF(F545=3,10,IF(F545&lt;&gt;"",1,0))))+IF(G545=1,30,IF(G545=2,20,IF(G545=3,10,IF(G545&lt;&gt;"",1,0))))+IF(H545=1,30,IF(H545=2,20,IF(H545=3,10,IF(H545&lt;&gt;"",1,0))))))</f>
        <v/>
      </c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14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>
        <f>IF(AND(C546="",OR(E546="",E546=0)),"",(IF(E546=1,30,IF(E546=2,20,IF(E546=3,10,IF(E546&lt;&gt;"",1,0))))+IF(F546=1,30,IF(F546=2,20,IF(F546=3,10,IF(F546&lt;&gt;"",1,0))))+IF(G546=1,30,IF(G546=2,20,IF(G546=3,10,IF(G546&lt;&gt;"",1,0))))+IF(H546=1,30,IF(H546=2,20,IF(H546=3,10,IF(H546&lt;&gt;"",1,0))))))</f>
        <v/>
      </c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14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>
        <f>IF(AND(C547="",OR(E547="",E547=0)),"",(IF(E547=1,30,IF(E547=2,20,IF(E547=3,10,IF(E547&lt;&gt;"",1,0))))+IF(F547=1,30,IF(F547=2,20,IF(F547=3,10,IF(F547&lt;&gt;"",1,0))))+IF(G547=1,30,IF(G547=2,20,IF(G547=3,10,IF(G547&lt;&gt;"",1,0))))+IF(H547=1,30,IF(H547=2,20,IF(H547=3,10,IF(H547&lt;&gt;"",1,0))))))</f>
        <v/>
      </c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14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>
        <f>IF(AND(C548="",OR(E548="",E548=0)),"",(IF(E548=1,30,IF(E548=2,20,IF(E548=3,10,IF(E548&lt;&gt;"",1,0))))+IF(F548=1,30,IF(F548=2,20,IF(F548=3,10,IF(F548&lt;&gt;"",1,0))))+IF(G548=1,30,IF(G548=2,20,IF(G548=3,10,IF(G548&lt;&gt;"",1,0))))+IF(H548=1,30,IF(H548=2,20,IF(H548=3,10,IF(H548&lt;&gt;"",1,0))))))</f>
        <v/>
      </c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14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>
        <f>IF(AND(C549="",OR(E549="",E549=0)),"",(IF(E549=1,30,IF(E549=2,20,IF(E549=3,10,IF(E549&lt;&gt;"",1,0))))+IF(F549=1,30,IF(F549=2,20,IF(F549=3,10,IF(F549&lt;&gt;"",1,0))))+IF(G549=1,30,IF(G549=2,20,IF(G549=3,10,IF(G549&lt;&gt;"",1,0))))+IF(H549=1,30,IF(H549=2,20,IF(H549=3,10,IF(H549&lt;&gt;"",1,0))))))</f>
        <v/>
      </c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14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>
        <f>IF(AND(C550="",OR(E550="",E550=0)),"",(IF(E550=1,30,IF(E550=2,20,IF(E550=3,10,IF(E550&lt;&gt;"",1,0))))+IF(F550=1,30,IF(F550=2,20,IF(F550=3,10,IF(F550&lt;&gt;"",1,0))))+IF(G550=1,30,IF(G550=2,20,IF(G550=3,10,IF(G550&lt;&gt;"",1,0))))+IF(H550=1,30,IF(H550=2,20,IF(H550=3,10,IF(H550&lt;&gt;"",1,0))))))</f>
        <v/>
      </c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14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>
        <f>IF(AND(C551="",OR(E551="",E551=0)),"",(IF(E551=1,30,IF(E551=2,20,IF(E551=3,10,IF(E551&lt;&gt;"",1,0))))+IF(F551=1,30,IF(F551=2,20,IF(F551=3,10,IF(F551&lt;&gt;"",1,0))))+IF(G551=1,30,IF(G551=2,20,IF(G551=3,10,IF(G551&lt;&gt;"",1,0))))+IF(H551=1,30,IF(H551=2,20,IF(H551=3,10,IF(H551&lt;&gt;"",1,0))))))</f>
        <v/>
      </c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14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>
        <f>IF(AND(C552="",OR(E552="",E552=0)),"",(IF(E552=1,30,IF(E552=2,20,IF(E552=3,10,IF(E552&lt;&gt;"",1,0))))+IF(F552=1,30,IF(F552=2,20,IF(F552=3,10,IF(F552&lt;&gt;"",1,0))))+IF(G552=1,30,IF(G552=2,20,IF(G552=3,10,IF(G552&lt;&gt;"",1,0))))+IF(H552=1,30,IF(H552=2,20,IF(H552=3,10,IF(H552&lt;&gt;"",1,0))))))</f>
        <v/>
      </c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14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>
        <f>IF(AND(C553="",OR(E553="",E553=0)),"",(IF(E553=1,30,IF(E553=2,20,IF(E553=3,10,IF(E553&lt;&gt;"",1,0))))+IF(F553=1,30,IF(F553=2,20,IF(F553=3,10,IF(F553&lt;&gt;"",1,0))))+IF(G553=1,30,IF(G553=2,20,IF(G553=3,10,IF(G553&lt;&gt;"",1,0))))+IF(H553=1,30,IF(H553=2,20,IF(H553=3,10,IF(H553&lt;&gt;"",1,0))))))</f>
        <v/>
      </c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14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>
        <f>IF(AND(C554="",OR(E554="",E554=0)),"",(IF(E554=1,30,IF(E554=2,20,IF(E554=3,10,IF(E554&lt;&gt;"",1,0))))+IF(F554=1,30,IF(F554=2,20,IF(F554=3,10,IF(F554&lt;&gt;"",1,0))))+IF(G554=1,30,IF(G554=2,20,IF(G554=3,10,IF(G554&lt;&gt;"",1,0))))+IF(H554=1,30,IF(H554=2,20,IF(H554=3,10,IF(H554&lt;&gt;"",1,0))))))</f>
        <v/>
      </c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14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>
        <f>IF(AND(C555="",OR(E555="",E555=0)),"",(IF(E555=1,30,IF(E555=2,20,IF(E555=3,10,IF(E555&lt;&gt;"",1,0))))+IF(F555=1,30,IF(F555=2,20,IF(F555=3,10,IF(F555&lt;&gt;"",1,0))))+IF(G555=1,30,IF(G555=2,20,IF(G555=3,10,IF(G555&lt;&gt;"",1,0))))+IF(H555=1,30,IF(H555=2,20,IF(H555=3,10,IF(H555&lt;&gt;"",1,0))))))</f>
        <v/>
      </c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14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>
        <f>IF(AND(C556="",OR(E556="",E556=0)),"",(IF(E556=1,30,IF(E556=2,20,IF(E556=3,10,IF(E556&lt;&gt;"",1,0))))+IF(F556=1,30,IF(F556=2,20,IF(F556=3,10,IF(F556&lt;&gt;"",1,0))))+IF(G556=1,30,IF(G556=2,20,IF(G556=3,10,IF(G556&lt;&gt;"",1,0))))+IF(H556=1,30,IF(H556=2,20,IF(H556=3,10,IF(H556&lt;&gt;"",1,0))))))</f>
        <v/>
      </c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14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>
        <f>IF(AND(C557="",OR(E557="",E557=0)),"",(IF(E557=1,30,IF(E557=2,20,IF(E557=3,10,IF(E557&lt;&gt;"",1,0))))+IF(F557=1,30,IF(F557=2,20,IF(F557=3,10,IF(F557&lt;&gt;"",1,0))))+IF(G557=1,30,IF(G557=2,20,IF(G557=3,10,IF(G557&lt;&gt;"",1,0))))+IF(H557=1,30,IF(H557=2,20,IF(H557=3,10,IF(H557&lt;&gt;"",1,0))))))</f>
        <v/>
      </c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14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>
        <f>IF(AND(C558="",OR(E558="",E558=0)),"",(IF(E558=1,30,IF(E558=2,20,IF(E558=3,10,IF(E558&lt;&gt;"",1,0))))+IF(F558=1,30,IF(F558=2,20,IF(F558=3,10,IF(F558&lt;&gt;"",1,0))))+IF(G558=1,30,IF(G558=2,20,IF(G558=3,10,IF(G558&lt;&gt;"",1,0))))+IF(H558=1,30,IF(H558=2,20,IF(H558=3,10,IF(H558&lt;&gt;"",1,0))))))</f>
        <v/>
      </c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14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>
        <f>IF(AND(C559="",OR(E559="",E559=0)),"",(IF(E559=1,30,IF(E559=2,20,IF(E559=3,10,IF(E559&lt;&gt;"",1,0))))+IF(F559=1,30,IF(F559=2,20,IF(F559=3,10,IF(F559&lt;&gt;"",1,0))))+IF(G559=1,30,IF(G559=2,20,IF(G559=3,10,IF(G559&lt;&gt;"",1,0))))+IF(H559=1,30,IF(H559=2,20,IF(H559=3,10,IF(H559&lt;&gt;"",1,0))))))</f>
        <v/>
      </c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14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>
        <f>IF(AND(C560="",OR(E560="",E560=0)),"",(IF(E560=1,30,IF(E560=2,20,IF(E560=3,10,IF(E560&lt;&gt;"",1,0))))+IF(F560=1,30,IF(F560=2,20,IF(F560=3,10,IF(F560&lt;&gt;"",1,0))))+IF(G560=1,30,IF(G560=2,20,IF(G560=3,10,IF(G560&lt;&gt;"",1,0))))+IF(H560=1,30,IF(H560=2,20,IF(H560=3,10,IF(H560&lt;&gt;"",1,0))))))</f>
        <v/>
      </c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14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>
        <f>IF(AND(C561="",OR(E561="",E561=0)),"",(IF(E561=1,30,IF(E561=2,20,IF(E561=3,10,IF(E561&lt;&gt;"",1,0))))+IF(F561=1,30,IF(F561=2,20,IF(F561=3,10,IF(F561&lt;&gt;"",1,0))))+IF(G561=1,30,IF(G561=2,20,IF(G561=3,10,IF(G561&lt;&gt;"",1,0))))+IF(H561=1,30,IF(H561=2,20,IF(H561=3,10,IF(H561&lt;&gt;"",1,0))))))</f>
        <v/>
      </c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14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>
        <f>IF(AND(C562="",OR(E562="",E562=0)),"",(IF(E562=1,30,IF(E562=2,20,IF(E562=3,10,IF(E562&lt;&gt;"",1,0))))+IF(F562=1,30,IF(F562=2,20,IF(F562=3,10,IF(F562&lt;&gt;"",1,0))))+IF(G562=1,30,IF(G562=2,20,IF(G562=3,10,IF(G562&lt;&gt;"",1,0))))+IF(H562=1,30,IF(H562=2,20,IF(H562=3,10,IF(H562&lt;&gt;"",1,0))))))</f>
        <v/>
      </c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14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>
        <f>IF(AND(C563="",OR(E563="",E563=0)),"",(IF(E563=1,30,IF(E563=2,20,IF(E563=3,10,IF(E563&lt;&gt;"",1,0))))+IF(F563=1,30,IF(F563=2,20,IF(F563=3,10,IF(F563&lt;&gt;"",1,0))))+IF(G563=1,30,IF(G563=2,20,IF(G563=3,10,IF(G563&lt;&gt;"",1,0))))+IF(H563=1,30,IF(H563=2,20,IF(H563=3,10,IF(H563&lt;&gt;"",1,0))))))</f>
        <v/>
      </c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14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>
        <f>IF(AND(C564="",OR(E564="",E564=0)),"",(IF(E564=1,30,IF(E564=2,20,IF(E564=3,10,IF(E564&lt;&gt;"",1,0))))+IF(F564=1,30,IF(F564=2,20,IF(F564=3,10,IF(F564&lt;&gt;"",1,0))))+IF(G564=1,30,IF(G564=2,20,IF(G564=3,10,IF(G564&lt;&gt;"",1,0))))+IF(H564=1,30,IF(H564=2,20,IF(H564=3,10,IF(H564&lt;&gt;"",1,0))))))</f>
        <v/>
      </c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14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>
        <f>IF(AND(C565="",OR(E565="",E565=0)),"",(IF(E565=1,30,IF(E565=2,20,IF(E565=3,10,IF(E565&lt;&gt;"",1,0))))+IF(F565=1,30,IF(F565=2,20,IF(F565=3,10,IF(F565&lt;&gt;"",1,0))))+IF(G565=1,30,IF(G565=2,20,IF(G565=3,10,IF(G565&lt;&gt;"",1,0))))+IF(H565=1,30,IF(H565=2,20,IF(H565=3,10,IF(H565&lt;&gt;"",1,0))))))</f>
        <v/>
      </c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14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>
        <f>IF(AND(C566="",OR(E566="",E566=0)),"",(IF(E566=1,30,IF(E566=2,20,IF(E566=3,10,IF(E566&lt;&gt;"",1,0))))+IF(F566=1,30,IF(F566=2,20,IF(F566=3,10,IF(F566&lt;&gt;"",1,0))))+IF(G566=1,30,IF(G566=2,20,IF(G566=3,10,IF(G566&lt;&gt;"",1,0))))+IF(H566=1,30,IF(H566=2,20,IF(H566=3,10,IF(H566&lt;&gt;"",1,0))))))</f>
        <v/>
      </c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14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>
        <f>IF(AND(C567="",OR(E567="",E567=0)),"",(IF(E567=1,30,IF(E567=2,20,IF(E567=3,10,IF(E567&lt;&gt;"",1,0))))+IF(F567=1,30,IF(F567=2,20,IF(F567=3,10,IF(F567&lt;&gt;"",1,0))))+IF(G567=1,30,IF(G567=2,20,IF(G567=3,10,IF(G567&lt;&gt;"",1,0))))+IF(H567=1,30,IF(H567=2,20,IF(H567=3,10,IF(H567&lt;&gt;"",1,0))))))</f>
        <v/>
      </c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14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>
        <f>IF(AND(C568="",OR(E568="",E568=0)),"",(IF(E568=1,30,IF(E568=2,20,IF(E568=3,10,IF(E568&lt;&gt;"",1,0))))+IF(F568=1,30,IF(F568=2,20,IF(F568=3,10,IF(F568&lt;&gt;"",1,0))))+IF(G568=1,30,IF(G568=2,20,IF(G568=3,10,IF(G568&lt;&gt;"",1,0))))+IF(H568=1,30,IF(H568=2,20,IF(H568=3,10,IF(H568&lt;&gt;"",1,0))))))</f>
        <v/>
      </c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14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>
        <f>IF(AND(C569="",OR(E569="",E569=0)),"",(IF(E569=1,30,IF(E569=2,20,IF(E569=3,10,IF(E569&lt;&gt;"",1,0))))+IF(F569=1,30,IF(F569=2,20,IF(F569=3,10,IF(F569&lt;&gt;"",1,0))))+IF(G569=1,30,IF(G569=2,20,IF(G569=3,10,IF(G569&lt;&gt;"",1,0))))+IF(H569=1,30,IF(H569=2,20,IF(H569=3,10,IF(H569&lt;&gt;"",1,0))))))</f>
        <v/>
      </c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14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>
        <f>IF(AND(C570="",OR(E570="",E570=0)),"",(IF(E570=1,30,IF(E570=2,20,IF(E570=3,10,IF(E570&lt;&gt;"",1,0))))+IF(F570=1,30,IF(F570=2,20,IF(F570=3,10,IF(F570&lt;&gt;"",1,0))))+IF(G570=1,30,IF(G570=2,20,IF(G570=3,10,IF(G570&lt;&gt;"",1,0))))+IF(H570=1,30,IF(H570=2,20,IF(H570=3,10,IF(H570&lt;&gt;"",1,0))))))</f>
        <v/>
      </c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14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>
        <f>IF(AND(C571="",OR(E571="",E571=0)),"",(IF(E571=1,30,IF(E571=2,20,IF(E571=3,10,IF(E571&lt;&gt;"",1,0))))+IF(F571=1,30,IF(F571=2,20,IF(F571=3,10,IF(F571&lt;&gt;"",1,0))))+IF(G571=1,30,IF(G571=2,20,IF(G571=3,10,IF(G571&lt;&gt;"",1,0))))+IF(H571=1,30,IF(H571=2,20,IF(H571=3,10,IF(H571&lt;&gt;"",1,0))))))</f>
        <v/>
      </c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14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>
        <f>IF(AND(C572="",OR(E572="",E572=0)),"",(IF(E572=1,30,IF(E572=2,20,IF(E572=3,10,IF(E572&lt;&gt;"",1,0))))+IF(F572=1,30,IF(F572=2,20,IF(F572=3,10,IF(F572&lt;&gt;"",1,0))))+IF(G572=1,30,IF(G572=2,20,IF(G572=3,10,IF(G572&lt;&gt;"",1,0))))+IF(H572=1,30,IF(H572=2,20,IF(H572=3,10,IF(H572&lt;&gt;"",1,0))))))</f>
        <v/>
      </c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14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>
        <f>IF(AND(C573="",OR(E573="",E573=0)),"",(IF(E573=1,30,IF(E573=2,20,IF(E573=3,10,IF(E573&lt;&gt;"",1,0))))+IF(F573=1,30,IF(F573=2,20,IF(F573=3,10,IF(F573&lt;&gt;"",1,0))))+IF(G573=1,30,IF(G573=2,20,IF(G573=3,10,IF(G573&lt;&gt;"",1,0))))+IF(H573=1,30,IF(H573=2,20,IF(H573=3,10,IF(H573&lt;&gt;"",1,0))))))</f>
        <v/>
      </c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14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>
        <f>IF(AND(C574="",OR(E574="",E574=0)),"",(IF(E574=1,30,IF(E574=2,20,IF(E574=3,10,IF(E574&lt;&gt;"",1,0))))+IF(F574=1,30,IF(F574=2,20,IF(F574=3,10,IF(F574&lt;&gt;"",1,0))))+IF(G574=1,30,IF(G574=2,20,IF(G574=3,10,IF(G574&lt;&gt;"",1,0))))+IF(H574=1,30,IF(H574=2,20,IF(H574=3,10,IF(H574&lt;&gt;"",1,0))))))</f>
        <v/>
      </c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14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>
        <f>IF(AND(C575="",OR(E575="",E575=0)),"",(IF(E575=1,30,IF(E575=2,20,IF(E575=3,10,IF(E575&lt;&gt;"",1,0))))+IF(F575=1,30,IF(F575=2,20,IF(F575=3,10,IF(F575&lt;&gt;"",1,0))))+IF(G575=1,30,IF(G575=2,20,IF(G575=3,10,IF(G575&lt;&gt;"",1,0))))+IF(H575=1,30,IF(H575=2,20,IF(H575=3,10,IF(H575&lt;&gt;"",1,0))))))</f>
        <v/>
      </c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14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>
        <f>IF(AND(C576="",OR(E576="",E576=0)),"",(IF(E576=1,30,IF(E576=2,20,IF(E576=3,10,IF(E576&lt;&gt;"",1,0))))+IF(F576=1,30,IF(F576=2,20,IF(F576=3,10,IF(F576&lt;&gt;"",1,0))))+IF(G576=1,30,IF(G576=2,20,IF(G576=3,10,IF(G576&lt;&gt;"",1,0))))+IF(H576=1,30,IF(H576=2,20,IF(H576=3,10,IF(H576&lt;&gt;"",1,0))))))</f>
        <v/>
      </c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14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>
        <f>IF(AND(C577="",OR(E577="",E577=0)),"",(IF(E577=1,30,IF(E577=2,20,IF(E577=3,10,IF(E577&lt;&gt;"",1,0))))+IF(F577=1,30,IF(F577=2,20,IF(F577=3,10,IF(F577&lt;&gt;"",1,0))))+IF(G577=1,30,IF(G577=2,20,IF(G577=3,10,IF(G577&lt;&gt;"",1,0))))+IF(H577=1,30,IF(H577=2,20,IF(H577=3,10,IF(H577&lt;&gt;"",1,0))))))</f>
        <v/>
      </c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14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>
        <f>IF(AND(C578="",OR(E578="",E578=0)),"",(IF(E578=1,30,IF(E578=2,20,IF(E578=3,10,IF(E578&lt;&gt;"",1,0))))+IF(F578=1,30,IF(F578=2,20,IF(F578=3,10,IF(F578&lt;&gt;"",1,0))))+IF(G578=1,30,IF(G578=2,20,IF(G578=3,10,IF(G578&lt;&gt;"",1,0))))+IF(H578=1,30,IF(H578=2,20,IF(H578=3,10,IF(H578&lt;&gt;"",1,0))))))</f>
        <v/>
      </c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14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>
        <f>IF(AND(C579="",OR(E579="",E579=0)),"",(IF(E579=1,30,IF(E579=2,20,IF(E579=3,10,IF(E579&lt;&gt;"",1,0))))+IF(F579=1,30,IF(F579=2,20,IF(F579=3,10,IF(F579&lt;&gt;"",1,0))))+IF(G579=1,30,IF(G579=2,20,IF(G579=3,10,IF(G579&lt;&gt;"",1,0))))+IF(H579=1,30,IF(H579=2,20,IF(H579=3,10,IF(H579&lt;&gt;"",1,0))))))</f>
        <v/>
      </c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14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>
        <f>IF(AND(C580="",OR(E580="",E580=0)),"",(IF(E580=1,30,IF(E580=2,20,IF(E580=3,10,IF(E580&lt;&gt;"",1,0))))+IF(F580=1,30,IF(F580=2,20,IF(F580=3,10,IF(F580&lt;&gt;"",1,0))))+IF(G580=1,30,IF(G580=2,20,IF(G580=3,10,IF(G580&lt;&gt;"",1,0))))+IF(H580=1,30,IF(H580=2,20,IF(H580=3,10,IF(H580&lt;&gt;"",1,0))))))</f>
        <v/>
      </c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14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>
        <f>IF(AND(C581="",OR(E581="",E581=0)),"",(IF(E581=1,30,IF(E581=2,20,IF(E581=3,10,IF(E581&lt;&gt;"",1,0))))+IF(F581=1,30,IF(F581=2,20,IF(F581=3,10,IF(F581&lt;&gt;"",1,0))))+IF(G581=1,30,IF(G581=2,20,IF(G581=3,10,IF(G581&lt;&gt;"",1,0))))+IF(H581=1,30,IF(H581=2,20,IF(H581=3,10,IF(H581&lt;&gt;"",1,0))))))</f>
        <v/>
      </c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14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>
        <f>IF(AND(C582="",OR(E582="",E582=0)),"",(IF(E582=1,30,IF(E582=2,20,IF(E582=3,10,IF(E582&lt;&gt;"",1,0))))+IF(F582=1,30,IF(F582=2,20,IF(F582=3,10,IF(F582&lt;&gt;"",1,0))))+IF(G582=1,30,IF(G582=2,20,IF(G582=3,10,IF(G582&lt;&gt;"",1,0))))+IF(H582=1,30,IF(H582=2,20,IF(H582=3,10,IF(H582&lt;&gt;"",1,0))))))</f>
        <v/>
      </c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14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>
        <f>IF(AND(C583="",OR(E583="",E583=0)),"",(IF(E583=1,30,IF(E583=2,20,IF(E583=3,10,IF(E583&lt;&gt;"",1,0))))+IF(F583=1,30,IF(F583=2,20,IF(F583=3,10,IF(F583&lt;&gt;"",1,0))))+IF(G583=1,30,IF(G583=2,20,IF(G583=3,10,IF(G583&lt;&gt;"",1,0))))+IF(H583=1,30,IF(H583=2,20,IF(H583=3,10,IF(H583&lt;&gt;"",1,0))))))</f>
        <v/>
      </c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14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>
        <f>IF(AND(C584="",OR(E584="",E584=0)),"",(IF(E584=1,30,IF(E584=2,20,IF(E584=3,10,IF(E584&lt;&gt;"",1,0))))+IF(F584=1,30,IF(F584=2,20,IF(F584=3,10,IF(F584&lt;&gt;"",1,0))))+IF(G584=1,30,IF(G584=2,20,IF(G584=3,10,IF(G584&lt;&gt;"",1,0))))+IF(H584=1,30,IF(H584=2,20,IF(H584=3,10,IF(H584&lt;&gt;"",1,0))))))</f>
        <v/>
      </c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14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>
        <f>IF(AND(C585="",OR(E585="",E585=0)),"",(IF(E585=1,30,IF(E585=2,20,IF(E585=3,10,IF(E585&lt;&gt;"",1,0))))+IF(F585=1,30,IF(F585=2,20,IF(F585=3,10,IF(F585&lt;&gt;"",1,0))))+IF(G585=1,30,IF(G585=2,20,IF(G585=3,10,IF(G585&lt;&gt;"",1,0))))+IF(H585=1,30,IF(H585=2,20,IF(H585=3,10,IF(H585&lt;&gt;"",1,0))))))</f>
        <v/>
      </c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14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>
        <f>IF(AND(C586="",OR(E586="",E586=0)),"",(IF(E586=1,30,IF(E586=2,20,IF(E586=3,10,IF(E586&lt;&gt;"",1,0))))+IF(F586=1,30,IF(F586=2,20,IF(F586=3,10,IF(F586&lt;&gt;"",1,0))))+IF(G586=1,30,IF(G586=2,20,IF(G586=3,10,IF(G586&lt;&gt;"",1,0))))+IF(H586=1,30,IF(H586=2,20,IF(H586=3,10,IF(H586&lt;&gt;"",1,0))))))</f>
        <v/>
      </c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14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>
        <f>IF(AND(C587="",OR(E587="",E587=0)),"",(IF(E587=1,30,IF(E587=2,20,IF(E587=3,10,IF(E587&lt;&gt;"",1,0))))+IF(F587=1,30,IF(F587=2,20,IF(F587=3,10,IF(F587&lt;&gt;"",1,0))))+IF(G587=1,30,IF(G587=2,20,IF(G587=3,10,IF(G587&lt;&gt;"",1,0))))+IF(H587=1,30,IF(H587=2,20,IF(H587=3,10,IF(H587&lt;&gt;"",1,0))))))</f>
        <v/>
      </c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14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>
        <f>IF(AND(C588="",OR(E588="",E588=0)),"",(IF(E588=1,30,IF(E588=2,20,IF(E588=3,10,IF(E588&lt;&gt;"",1,0))))+IF(F588=1,30,IF(F588=2,20,IF(F588=3,10,IF(F588&lt;&gt;"",1,0))))+IF(G588=1,30,IF(G588=2,20,IF(G588=3,10,IF(G588&lt;&gt;"",1,0))))+IF(H588=1,30,IF(H588=2,20,IF(H588=3,10,IF(H588&lt;&gt;"",1,0))))))</f>
        <v/>
      </c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14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>
        <f>IF(AND(C589="",OR(E589="",E589=0)),"",(IF(E589=1,30,IF(E589=2,20,IF(E589=3,10,IF(E589&lt;&gt;"",1,0))))+IF(F589=1,30,IF(F589=2,20,IF(F589=3,10,IF(F589&lt;&gt;"",1,0))))+IF(G589=1,30,IF(G589=2,20,IF(G589=3,10,IF(G589&lt;&gt;"",1,0))))+IF(H589=1,30,IF(H589=2,20,IF(H589=3,10,IF(H589&lt;&gt;"",1,0))))))</f>
        <v/>
      </c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14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>
        <f>IF(AND(C590="",OR(E590="",E590=0)),"",(IF(E590=1,30,IF(E590=2,20,IF(E590=3,10,IF(E590&lt;&gt;"",1,0))))+IF(F590=1,30,IF(F590=2,20,IF(F590=3,10,IF(F590&lt;&gt;"",1,0))))+IF(G590=1,30,IF(G590=2,20,IF(G590=3,10,IF(G590&lt;&gt;"",1,0))))+IF(H590=1,30,IF(H590=2,20,IF(H590=3,10,IF(H590&lt;&gt;"",1,0))))))</f>
        <v/>
      </c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14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>
        <f>IF(AND(C591="",OR(E591="",E591=0)),"",(IF(E591=1,30,IF(E591=2,20,IF(E591=3,10,IF(E591&lt;&gt;"",1,0))))+IF(F591=1,30,IF(F591=2,20,IF(F591=3,10,IF(F591&lt;&gt;"",1,0))))+IF(G591=1,30,IF(G591=2,20,IF(G591=3,10,IF(G591&lt;&gt;"",1,0))))+IF(H591=1,30,IF(H591=2,20,IF(H591=3,10,IF(H591&lt;&gt;"",1,0))))))</f>
        <v/>
      </c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14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>
        <f>IF(AND(C592="",OR(E592="",E592=0)),"",(IF(E592=1,30,IF(E592=2,20,IF(E592=3,10,IF(E592&lt;&gt;"",1,0))))+IF(F592=1,30,IF(F592=2,20,IF(F592=3,10,IF(F592&lt;&gt;"",1,0))))+IF(G592=1,30,IF(G592=2,20,IF(G592=3,10,IF(G592&lt;&gt;"",1,0))))+IF(H592=1,30,IF(H592=2,20,IF(H592=3,10,IF(H592&lt;&gt;"",1,0))))))</f>
        <v/>
      </c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14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>
        <f>IF(AND(C593="",OR(E593="",E593=0)),"",(IF(E593=1,30,IF(E593=2,20,IF(E593=3,10,IF(E593&lt;&gt;"",1,0))))+IF(F593=1,30,IF(F593=2,20,IF(F593=3,10,IF(F593&lt;&gt;"",1,0))))+IF(G593=1,30,IF(G593=2,20,IF(G593=3,10,IF(G593&lt;&gt;"",1,0))))+IF(H593=1,30,IF(H593=2,20,IF(H593=3,10,IF(H593&lt;&gt;"",1,0))))))</f>
        <v/>
      </c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14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>
        <f>IF(AND(C594="",OR(E594="",E594=0)),"",(IF(E594=1,30,IF(E594=2,20,IF(E594=3,10,IF(E594&lt;&gt;"",1,0))))+IF(F594=1,30,IF(F594=2,20,IF(F594=3,10,IF(F594&lt;&gt;"",1,0))))+IF(G594=1,30,IF(G594=2,20,IF(G594=3,10,IF(G594&lt;&gt;"",1,0))))+IF(H594=1,30,IF(H594=2,20,IF(H594=3,10,IF(H594&lt;&gt;"",1,0))))))</f>
        <v/>
      </c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14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>
        <f>IF(AND(C595="",OR(E595="",E595=0)),"",(IF(E595=1,30,IF(E595=2,20,IF(E595=3,10,IF(E595&lt;&gt;"",1,0))))+IF(F595=1,30,IF(F595=2,20,IF(F595=3,10,IF(F595&lt;&gt;"",1,0))))+IF(G595=1,30,IF(G595=2,20,IF(G595=3,10,IF(G595&lt;&gt;"",1,0))))+IF(H595=1,30,IF(H595=2,20,IF(H595=3,10,IF(H595&lt;&gt;"",1,0))))))</f>
        <v/>
      </c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14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>
        <f>IF(AND(C596="",OR(E596="",E596=0)),"",(IF(E596=1,30,IF(E596=2,20,IF(E596=3,10,IF(E596&lt;&gt;"",1,0))))+IF(F596=1,30,IF(F596=2,20,IF(F596=3,10,IF(F596&lt;&gt;"",1,0))))+IF(G596=1,30,IF(G596=2,20,IF(G596=3,10,IF(G596&lt;&gt;"",1,0))))+IF(H596=1,30,IF(H596=2,20,IF(H596=3,10,IF(H596&lt;&gt;"",1,0))))))</f>
        <v/>
      </c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14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>
        <f>IF(AND(C597="",OR(E597="",E597=0)),"",(IF(E597=1,30,IF(E597=2,20,IF(E597=3,10,IF(E597&lt;&gt;"",1,0))))+IF(F597=1,30,IF(F597=2,20,IF(F597=3,10,IF(F597&lt;&gt;"",1,0))))+IF(G597=1,30,IF(G597=2,20,IF(G597=3,10,IF(G597&lt;&gt;"",1,0))))+IF(H597=1,30,IF(H597=2,20,IF(H597=3,10,IF(H597&lt;&gt;"",1,0))))))</f>
        <v/>
      </c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14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>
        <f>IF(AND(C598="",OR(E598="",E598=0)),"",(IF(E598=1,30,IF(E598=2,20,IF(E598=3,10,IF(E598&lt;&gt;"",1,0))))+IF(F598=1,30,IF(F598=2,20,IF(F598=3,10,IF(F598&lt;&gt;"",1,0))))+IF(G598=1,30,IF(G598=2,20,IF(G598=3,10,IF(G598&lt;&gt;"",1,0))))+IF(H598=1,30,IF(H598=2,20,IF(H598=3,10,IF(H598&lt;&gt;"",1,0))))))</f>
        <v/>
      </c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14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>
        <f>IF(AND(C599="",OR(E599="",E599=0)),"",(IF(E599=1,30,IF(E599=2,20,IF(E599=3,10,IF(E599&lt;&gt;"",1,0))))+IF(F599=1,30,IF(F599=2,20,IF(F599=3,10,IF(F599&lt;&gt;"",1,0))))+IF(G599=1,30,IF(G599=2,20,IF(G599=3,10,IF(G599&lt;&gt;"",1,0))))+IF(H599=1,30,IF(H599=2,20,IF(H599=3,10,IF(H599&lt;&gt;"",1,0))))))</f>
        <v/>
      </c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14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>
        <f>IF(AND(C600="",OR(E600="",E600=0)),"",(IF(E600=1,30,IF(E600=2,20,IF(E600=3,10,IF(E600&lt;&gt;"",1,0))))+IF(F600=1,30,IF(F600=2,20,IF(F600=3,10,IF(F600&lt;&gt;"",1,0))))+IF(G600=1,30,IF(G600=2,20,IF(G600=3,10,IF(G600&lt;&gt;"",1,0))))+IF(H600=1,30,IF(H600=2,20,IF(H600=3,10,IF(H600&lt;&gt;"",1,0))))))</f>
        <v/>
      </c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14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>
        <f>IF(AND(C601="",OR(E601="",E601=0)),"",(IF(E601=1,30,IF(E601=2,20,IF(E601=3,10,IF(E601&lt;&gt;"",1,0))))+IF(F601=1,30,IF(F601=2,20,IF(F601=3,10,IF(F601&lt;&gt;"",1,0))))+IF(G601=1,30,IF(G601=2,20,IF(G601=3,10,IF(G601&lt;&gt;"",1,0))))+IF(H601=1,30,IF(H601=2,20,IF(H601=3,10,IF(H601&lt;&gt;"",1,0))))))</f>
        <v/>
      </c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14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>
        <f>IF(AND(C602="",OR(E602="",E602=0)),"",(IF(E602=1,30,IF(E602=2,20,IF(E602=3,10,IF(E602&lt;&gt;"",1,0))))+IF(F602=1,30,IF(F602=2,20,IF(F602=3,10,IF(F602&lt;&gt;"",1,0))))+IF(G602=1,30,IF(G602=2,20,IF(G602=3,10,IF(G602&lt;&gt;"",1,0))))+IF(H602=1,30,IF(H602=2,20,IF(H602=3,10,IF(H602&lt;&gt;"",1,0))))))</f>
        <v/>
      </c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14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>
        <f>IF(AND(C603="",OR(E603="",E603=0)),"",(IF(E603=1,30,IF(E603=2,20,IF(E603=3,10,IF(E603&lt;&gt;"",1,0))))+IF(F603=1,30,IF(F603=2,20,IF(F603=3,10,IF(F603&lt;&gt;"",1,0))))+IF(G603=1,30,IF(G603=2,20,IF(G603=3,10,IF(G603&lt;&gt;"",1,0))))+IF(H603=1,30,IF(H603=2,20,IF(H603=3,10,IF(H603&lt;&gt;"",1,0))))))</f>
        <v/>
      </c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14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>
        <f>IF(AND(C604="",OR(E604="",E604=0)),"",(IF(E604=1,30,IF(E604=2,20,IF(E604=3,10,IF(E604&lt;&gt;"",1,0))))+IF(F604=1,30,IF(F604=2,20,IF(F604=3,10,IF(F604&lt;&gt;"",1,0))))+IF(G604=1,30,IF(G604=2,20,IF(G604=3,10,IF(G604&lt;&gt;"",1,0))))+IF(H604=1,30,IF(H604=2,20,IF(H604=3,10,IF(H604&lt;&gt;"",1,0))))))</f>
        <v/>
      </c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14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>
        <f>IF(AND(C605="",OR(E605="",E605=0)),"",(IF(E605=1,30,IF(E605=2,20,IF(E605=3,10,IF(E605&lt;&gt;"",1,0))))+IF(F605=1,30,IF(F605=2,20,IF(F605=3,10,IF(F605&lt;&gt;"",1,0))))+IF(G605=1,30,IF(G605=2,20,IF(G605=3,10,IF(G605&lt;&gt;"",1,0))))+IF(H605=1,30,IF(H605=2,20,IF(H605=3,10,IF(H605&lt;&gt;"",1,0))))))</f>
        <v/>
      </c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14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>
        <f>IF(AND(C606="",OR(E606="",E606=0)),"",(IF(E606=1,30,IF(E606=2,20,IF(E606=3,10,IF(E606&lt;&gt;"",1,0))))+IF(F606=1,30,IF(F606=2,20,IF(F606=3,10,IF(F606&lt;&gt;"",1,0))))+IF(G606=1,30,IF(G606=2,20,IF(G606=3,10,IF(G606&lt;&gt;"",1,0))))+IF(H606=1,30,IF(H606=2,20,IF(H606=3,10,IF(H606&lt;&gt;"",1,0))))))</f>
        <v/>
      </c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14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>
        <f>IF(AND(C607="",OR(E607="",E607=0)),"",(IF(E607=1,30,IF(E607=2,20,IF(E607=3,10,IF(E607&lt;&gt;"",1,0))))+IF(F607=1,30,IF(F607=2,20,IF(F607=3,10,IF(F607&lt;&gt;"",1,0))))+IF(G607=1,30,IF(G607=2,20,IF(G607=3,10,IF(G607&lt;&gt;"",1,0))))+IF(H607=1,30,IF(H607=2,20,IF(H607=3,10,IF(H607&lt;&gt;"",1,0))))))</f>
        <v/>
      </c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14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>
        <f>IF(AND(C608="",OR(E608="",E608=0)),"",(IF(E608=1,30,IF(E608=2,20,IF(E608=3,10,IF(E608&lt;&gt;"",1,0))))+IF(F608=1,30,IF(F608=2,20,IF(F608=3,10,IF(F608&lt;&gt;"",1,0))))+IF(G608=1,30,IF(G608=2,20,IF(G608=3,10,IF(G608&lt;&gt;"",1,0))))+IF(H608=1,30,IF(H608=2,20,IF(H608=3,10,IF(H608&lt;&gt;"",1,0))))))</f>
        <v/>
      </c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14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>
        <f>IF(AND(C609="",OR(E609="",E609=0)),"",(IF(E609=1,30,IF(E609=2,20,IF(E609=3,10,IF(E609&lt;&gt;"",1,0))))+IF(F609=1,30,IF(F609=2,20,IF(F609=3,10,IF(F609&lt;&gt;"",1,0))))+IF(G609=1,30,IF(G609=2,20,IF(G609=3,10,IF(G609&lt;&gt;"",1,0))))+IF(H609=1,30,IF(H609=2,20,IF(H609=3,10,IF(H609&lt;&gt;"",1,0))))))</f>
        <v/>
      </c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14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>
        <f>IF(AND(C610="",OR(E610="",E610=0)),"",(IF(E610=1,30,IF(E610=2,20,IF(E610=3,10,IF(E610&lt;&gt;"",1,0))))+IF(F610=1,30,IF(F610=2,20,IF(F610=3,10,IF(F610&lt;&gt;"",1,0))))+IF(G610=1,30,IF(G610=2,20,IF(G610=3,10,IF(G610&lt;&gt;"",1,0))))+IF(H610=1,30,IF(H610=2,20,IF(H610=3,10,IF(H610&lt;&gt;"",1,0))))))</f>
        <v/>
      </c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14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>
        <f>IF(AND(C611="",OR(E611="",E611=0)),"",(IF(E611=1,30,IF(E611=2,20,IF(E611=3,10,IF(E611&lt;&gt;"",1,0))))+IF(F611=1,30,IF(F611=2,20,IF(F611=3,10,IF(F611&lt;&gt;"",1,0))))+IF(G611=1,30,IF(G611=2,20,IF(G611=3,10,IF(G611&lt;&gt;"",1,0))))+IF(H611=1,30,IF(H611=2,20,IF(H611=3,10,IF(H611&lt;&gt;"",1,0))))))</f>
        <v/>
      </c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14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>
        <f>IF(AND(C612="",OR(E612="",E612=0)),"",(IF(E612=1,30,IF(E612=2,20,IF(E612=3,10,IF(E612&lt;&gt;"",1,0))))+IF(F612=1,30,IF(F612=2,20,IF(F612=3,10,IF(F612&lt;&gt;"",1,0))))+IF(G612=1,30,IF(G612=2,20,IF(G612=3,10,IF(G612&lt;&gt;"",1,0))))+IF(H612=1,30,IF(H612=2,20,IF(H612=3,10,IF(H612&lt;&gt;"",1,0))))))</f>
        <v/>
      </c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14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>
        <f>IF(AND(C613="",OR(E613="",E613=0)),"",(IF(E613=1,30,IF(E613=2,20,IF(E613=3,10,IF(E613&lt;&gt;"",1,0))))+IF(F613=1,30,IF(F613=2,20,IF(F613=3,10,IF(F613&lt;&gt;"",1,0))))+IF(G613=1,30,IF(G613=2,20,IF(G613=3,10,IF(G613&lt;&gt;"",1,0))))+IF(H613=1,30,IF(H613=2,20,IF(H613=3,10,IF(H613&lt;&gt;"",1,0))))))</f>
        <v/>
      </c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14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>
        <f>IF(AND(C614="",OR(E614="",E614=0)),"",(IF(E614=1,30,IF(E614=2,20,IF(E614=3,10,IF(E614&lt;&gt;"",1,0))))+IF(F614=1,30,IF(F614=2,20,IF(F614=3,10,IF(F614&lt;&gt;"",1,0))))+IF(G614=1,30,IF(G614=2,20,IF(G614=3,10,IF(G614&lt;&gt;"",1,0))))+IF(H614=1,30,IF(H614=2,20,IF(H614=3,10,IF(H614&lt;&gt;"",1,0))))))</f>
        <v/>
      </c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14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>
        <f>IF(AND(C615="",OR(E615="",E615=0)),"",(IF(E615=1,30,IF(E615=2,20,IF(E615=3,10,IF(E615&lt;&gt;"",1,0))))+IF(F615=1,30,IF(F615=2,20,IF(F615=3,10,IF(F615&lt;&gt;"",1,0))))+IF(G615=1,30,IF(G615=2,20,IF(G615=3,10,IF(G615&lt;&gt;"",1,0))))+IF(H615=1,30,IF(H615=2,20,IF(H615=3,10,IF(H615&lt;&gt;"",1,0))))))</f>
        <v/>
      </c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14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>
        <f>IF(AND(C616="",OR(E616="",E616=0)),"",(IF(E616=1,30,IF(E616=2,20,IF(E616=3,10,IF(E616&lt;&gt;"",1,0))))+IF(F616=1,30,IF(F616=2,20,IF(F616=3,10,IF(F616&lt;&gt;"",1,0))))+IF(G616=1,30,IF(G616=2,20,IF(G616=3,10,IF(G616&lt;&gt;"",1,0))))+IF(H616=1,30,IF(H616=2,20,IF(H616=3,10,IF(H616&lt;&gt;"",1,0))))))</f>
        <v/>
      </c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14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>
        <f>IF(AND(C617="",OR(E617="",E617=0)),"",(IF(E617=1,30,IF(E617=2,20,IF(E617=3,10,IF(E617&lt;&gt;"",1,0))))+IF(F617=1,30,IF(F617=2,20,IF(F617=3,10,IF(F617&lt;&gt;"",1,0))))+IF(G617=1,30,IF(G617=2,20,IF(G617=3,10,IF(G617&lt;&gt;"",1,0))))+IF(H617=1,30,IF(H617=2,20,IF(H617=3,10,IF(H617&lt;&gt;"",1,0))))))</f>
        <v/>
      </c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14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>
        <f>IF(AND(C618="",OR(E618="",E618=0)),"",(IF(E618=1,30,IF(E618=2,20,IF(E618=3,10,IF(E618&lt;&gt;"",1,0))))+IF(F618=1,30,IF(F618=2,20,IF(F618=3,10,IF(F618&lt;&gt;"",1,0))))+IF(G618=1,30,IF(G618=2,20,IF(G618=3,10,IF(G618&lt;&gt;"",1,0))))+IF(H618=1,30,IF(H618=2,20,IF(H618=3,10,IF(H618&lt;&gt;"",1,0))))))</f>
        <v/>
      </c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14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>
        <f>IF(AND(C619="",OR(E619="",E619=0)),"",(IF(E619=1,30,IF(E619=2,20,IF(E619=3,10,IF(E619&lt;&gt;"",1,0))))+IF(F619=1,30,IF(F619=2,20,IF(F619=3,10,IF(F619&lt;&gt;"",1,0))))+IF(G619=1,30,IF(G619=2,20,IF(G619=3,10,IF(G619&lt;&gt;"",1,0))))+IF(H619=1,30,IF(H619=2,20,IF(H619=3,10,IF(H619&lt;&gt;"",1,0))))))</f>
        <v/>
      </c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14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>
        <f>IF(AND(C620="",OR(E620="",E620=0)),"",(IF(E620=1,30,IF(E620=2,20,IF(E620=3,10,IF(E620&lt;&gt;"",1,0))))+IF(F620=1,30,IF(F620=2,20,IF(F620=3,10,IF(F620&lt;&gt;"",1,0))))+IF(G620=1,30,IF(G620=2,20,IF(G620=3,10,IF(G620&lt;&gt;"",1,0))))+IF(H620=1,30,IF(H620=2,20,IF(H620=3,10,IF(H620&lt;&gt;"",1,0))))))</f>
        <v/>
      </c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14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>
        <f>IF(AND(C621="",OR(E621="",E621=0)),"",(IF(E621=1,30,IF(E621=2,20,IF(E621=3,10,IF(E621&lt;&gt;"",1,0))))+IF(F621=1,30,IF(F621=2,20,IF(F621=3,10,IF(F621&lt;&gt;"",1,0))))+IF(G621=1,30,IF(G621=2,20,IF(G621=3,10,IF(G621&lt;&gt;"",1,0))))+IF(H621=1,30,IF(H621=2,20,IF(H621=3,10,IF(H621&lt;&gt;"",1,0))))))</f>
        <v/>
      </c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14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>
        <f>IF(AND(C622="",OR(E622="",E622=0)),"",(IF(E622=1,30,IF(E622=2,20,IF(E622=3,10,IF(E622&lt;&gt;"",1,0))))+IF(F622=1,30,IF(F622=2,20,IF(F622=3,10,IF(F622&lt;&gt;"",1,0))))+IF(G622=1,30,IF(G622=2,20,IF(G622=3,10,IF(G622&lt;&gt;"",1,0))))+IF(H622=1,30,IF(H622=2,20,IF(H622=3,10,IF(H622&lt;&gt;"",1,0))))))</f>
        <v/>
      </c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14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>
        <f>IF(AND(C623="",OR(E623="",E623=0)),"",(IF(E623=1,30,IF(E623=2,20,IF(E623=3,10,IF(E623&lt;&gt;"",1,0))))+IF(F623=1,30,IF(F623=2,20,IF(F623=3,10,IF(F623&lt;&gt;"",1,0))))+IF(G623=1,30,IF(G623=2,20,IF(G623=3,10,IF(G623&lt;&gt;"",1,0))))+IF(H623=1,30,IF(H623=2,20,IF(H623=3,10,IF(H623&lt;&gt;"",1,0))))))</f>
        <v/>
      </c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14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>
        <f>IF(AND(C624="",OR(E624="",E624=0)),"",(IF(E624=1,30,IF(E624=2,20,IF(E624=3,10,IF(E624&lt;&gt;"",1,0))))+IF(F624=1,30,IF(F624=2,20,IF(F624=3,10,IF(F624&lt;&gt;"",1,0))))+IF(G624=1,30,IF(G624=2,20,IF(G624=3,10,IF(G624&lt;&gt;"",1,0))))+IF(H624=1,30,IF(H624=2,20,IF(H624=3,10,IF(H624&lt;&gt;"",1,0))))))</f>
        <v/>
      </c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14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>
        <f>IF(AND(C625="",OR(E625="",E625=0)),"",(IF(E625=1,30,IF(E625=2,20,IF(E625=3,10,IF(E625&lt;&gt;"",1,0))))+IF(F625=1,30,IF(F625=2,20,IF(F625=3,10,IF(F625&lt;&gt;"",1,0))))+IF(G625=1,30,IF(G625=2,20,IF(G625=3,10,IF(G625&lt;&gt;"",1,0))))+IF(H625=1,30,IF(H625=2,20,IF(H625=3,10,IF(H625&lt;&gt;"",1,0))))))</f>
        <v/>
      </c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14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>
        <f>IF(AND(C626="",OR(E626="",E626=0)),"",(IF(E626=1,30,IF(E626=2,20,IF(E626=3,10,IF(E626&lt;&gt;"",1,0))))+IF(F626=1,30,IF(F626=2,20,IF(F626=3,10,IF(F626&lt;&gt;"",1,0))))+IF(G626=1,30,IF(G626=2,20,IF(G626=3,10,IF(G626&lt;&gt;"",1,0))))+IF(H626=1,30,IF(H626=2,20,IF(H626=3,10,IF(H626&lt;&gt;"",1,0))))))</f>
        <v/>
      </c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14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>
        <f>IF(AND(C627="",OR(E627="",E627=0)),"",(IF(E627=1,30,IF(E627=2,20,IF(E627=3,10,IF(E627&lt;&gt;"",1,0))))+IF(F627=1,30,IF(F627=2,20,IF(F627=3,10,IF(F627&lt;&gt;"",1,0))))+IF(G627=1,30,IF(G627=2,20,IF(G627=3,10,IF(G627&lt;&gt;"",1,0))))+IF(H627=1,30,IF(H627=2,20,IF(H627=3,10,IF(H627&lt;&gt;"",1,0))))))</f>
        <v/>
      </c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14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>
        <f>IF(AND(C628="",OR(E628="",E628=0)),"",(IF(E628=1,30,IF(E628=2,20,IF(E628=3,10,IF(E628&lt;&gt;"",1,0))))+IF(F628=1,30,IF(F628=2,20,IF(F628=3,10,IF(F628&lt;&gt;"",1,0))))+IF(G628=1,30,IF(G628=2,20,IF(G628=3,10,IF(G628&lt;&gt;"",1,0))))+IF(H628=1,30,IF(H628=2,20,IF(H628=3,10,IF(H628&lt;&gt;"",1,0))))))</f>
        <v/>
      </c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14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>
        <f>IF(AND(C629="",OR(E629="",E629=0)),"",(IF(E629=1,30,IF(E629=2,20,IF(E629=3,10,IF(E629&lt;&gt;"",1,0))))+IF(F629=1,30,IF(F629=2,20,IF(F629=3,10,IF(F629&lt;&gt;"",1,0))))+IF(G629=1,30,IF(G629=2,20,IF(G629=3,10,IF(G629&lt;&gt;"",1,0))))+IF(H629=1,30,IF(H629=2,20,IF(H629=3,10,IF(H629&lt;&gt;"",1,0))))))</f>
        <v/>
      </c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14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>
        <f>IF(AND(C630="",OR(E630="",E630=0)),"",(IF(E630=1,30,IF(E630=2,20,IF(E630=3,10,IF(E630&lt;&gt;"",1,0))))+IF(F630=1,30,IF(F630=2,20,IF(F630=3,10,IF(F630&lt;&gt;"",1,0))))+IF(G630=1,30,IF(G630=2,20,IF(G630=3,10,IF(G630&lt;&gt;"",1,0))))+IF(H630=1,30,IF(H630=2,20,IF(H630=3,10,IF(H630&lt;&gt;"",1,0))))))</f>
        <v/>
      </c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14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>
        <f>IF(AND(C631="",OR(E631="",E631=0)),"",(IF(E631=1,30,IF(E631=2,20,IF(E631=3,10,IF(E631&lt;&gt;"",1,0))))+IF(F631=1,30,IF(F631=2,20,IF(F631=3,10,IF(F631&lt;&gt;"",1,0))))+IF(G631=1,30,IF(G631=2,20,IF(G631=3,10,IF(G631&lt;&gt;"",1,0))))+IF(H631=1,30,IF(H631=2,20,IF(H631=3,10,IF(H631&lt;&gt;"",1,0))))))</f>
        <v/>
      </c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14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>
        <f>IF(AND(C632="",OR(E632="",E632=0)),"",(IF(E632=1,30,IF(E632=2,20,IF(E632=3,10,IF(E632&lt;&gt;"",1,0))))+IF(F632=1,30,IF(F632=2,20,IF(F632=3,10,IF(F632&lt;&gt;"",1,0))))+IF(G632=1,30,IF(G632=2,20,IF(G632=3,10,IF(G632&lt;&gt;"",1,0))))+IF(H632=1,30,IF(H632=2,20,IF(H632=3,10,IF(H632&lt;&gt;"",1,0))))))</f>
        <v/>
      </c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14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>
        <f>IF(AND(C633="",OR(E633="",E633=0)),"",(IF(E633=1,30,IF(E633=2,20,IF(E633=3,10,IF(E633&lt;&gt;"",1,0))))+IF(F633=1,30,IF(F633=2,20,IF(F633=3,10,IF(F633&lt;&gt;"",1,0))))+IF(G633=1,30,IF(G633=2,20,IF(G633=3,10,IF(G633&lt;&gt;"",1,0))))+IF(H633=1,30,IF(H633=2,20,IF(H633=3,10,IF(H633&lt;&gt;"",1,0))))))</f>
        <v/>
      </c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14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>
        <f>IF(AND(C634="",OR(E634="",E634=0)),"",(IF(E634=1,30,IF(E634=2,20,IF(E634=3,10,IF(E634&lt;&gt;"",1,0))))+IF(F634=1,30,IF(F634=2,20,IF(F634=3,10,IF(F634&lt;&gt;"",1,0))))+IF(G634=1,30,IF(G634=2,20,IF(G634=3,10,IF(G634&lt;&gt;"",1,0))))+IF(H634=1,30,IF(H634=2,20,IF(H634=3,10,IF(H634&lt;&gt;"",1,0))))))</f>
        <v/>
      </c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14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>
        <f>IF(AND(C635="",OR(E635="",E635=0)),"",(IF(E635=1,30,IF(E635=2,20,IF(E635=3,10,IF(E635&lt;&gt;"",1,0))))+IF(F635=1,30,IF(F635=2,20,IF(F635=3,10,IF(F635&lt;&gt;"",1,0))))+IF(G635=1,30,IF(G635=2,20,IF(G635=3,10,IF(G635&lt;&gt;"",1,0))))+IF(H635=1,30,IF(H635=2,20,IF(H635=3,10,IF(H635&lt;&gt;"",1,0))))))</f>
        <v/>
      </c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14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>
        <f>IF(AND(C636="",OR(E636="",E636=0)),"",(IF(E636=1,30,IF(E636=2,20,IF(E636=3,10,IF(E636&lt;&gt;"",1,0))))+IF(F636=1,30,IF(F636=2,20,IF(F636=3,10,IF(F636&lt;&gt;"",1,0))))+IF(G636=1,30,IF(G636=2,20,IF(G636=3,10,IF(G636&lt;&gt;"",1,0))))+IF(H636=1,30,IF(H636=2,20,IF(H636=3,10,IF(H636&lt;&gt;"",1,0))))))</f>
        <v/>
      </c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14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>
        <f>IF(AND(C637="",OR(E637="",E637=0)),"",(IF(E637=1,30,IF(E637=2,20,IF(E637=3,10,IF(E637&lt;&gt;"",1,0))))+IF(F637=1,30,IF(F637=2,20,IF(F637=3,10,IF(F637&lt;&gt;"",1,0))))+IF(G637=1,30,IF(G637=2,20,IF(G637=3,10,IF(G637&lt;&gt;"",1,0))))+IF(H637=1,30,IF(H637=2,20,IF(H637=3,10,IF(H637&lt;&gt;"",1,0))))))</f>
        <v/>
      </c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14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>
        <f>IF(AND(C638="",OR(E638="",E638=0)),"",(IF(E638=1,30,IF(E638=2,20,IF(E638=3,10,IF(E638&lt;&gt;"",1,0))))+IF(F638=1,30,IF(F638=2,20,IF(F638=3,10,IF(F638&lt;&gt;"",1,0))))+IF(G638=1,30,IF(G638=2,20,IF(G638=3,10,IF(G638&lt;&gt;"",1,0))))+IF(H638=1,30,IF(H638=2,20,IF(H638=3,10,IF(H638&lt;&gt;"",1,0))))))</f>
        <v/>
      </c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14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>
        <f>IF(AND(C639="",OR(E639="",E639=0)),"",(IF(E639=1,30,IF(E639=2,20,IF(E639=3,10,IF(E639&lt;&gt;"",1,0))))+IF(F639=1,30,IF(F639=2,20,IF(F639=3,10,IF(F639&lt;&gt;"",1,0))))+IF(G639=1,30,IF(G639=2,20,IF(G639=3,10,IF(G639&lt;&gt;"",1,0))))+IF(H639=1,30,IF(H639=2,20,IF(H639=3,10,IF(H639&lt;&gt;"",1,0))))))</f>
        <v/>
      </c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14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>
        <f>IF(AND(C640="",OR(E640="",E640=0)),"",(IF(E640=1,30,IF(E640=2,20,IF(E640=3,10,IF(E640&lt;&gt;"",1,0))))+IF(F640=1,30,IF(F640=2,20,IF(F640=3,10,IF(F640&lt;&gt;"",1,0))))+IF(G640=1,30,IF(G640=2,20,IF(G640=3,10,IF(G640&lt;&gt;"",1,0))))+IF(H640=1,30,IF(H640=2,20,IF(H640=3,10,IF(H640&lt;&gt;"",1,0))))))</f>
        <v/>
      </c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14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>
        <f>IF(AND(C641="",OR(E641="",E641=0)),"",(IF(E641=1,30,IF(E641=2,20,IF(E641=3,10,IF(E641&lt;&gt;"",1,0))))+IF(F641=1,30,IF(F641=2,20,IF(F641=3,10,IF(F641&lt;&gt;"",1,0))))+IF(G641=1,30,IF(G641=2,20,IF(G641=3,10,IF(G641&lt;&gt;"",1,0))))+IF(H641=1,30,IF(H641=2,20,IF(H641=3,10,IF(H641&lt;&gt;"",1,0))))))</f>
        <v/>
      </c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14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>
        <f>IF(AND(C642="",OR(E642="",E642=0)),"",(IF(E642=1,30,IF(E642=2,20,IF(E642=3,10,IF(E642&lt;&gt;"",1,0))))+IF(F642=1,30,IF(F642=2,20,IF(F642=3,10,IF(F642&lt;&gt;"",1,0))))+IF(G642=1,30,IF(G642=2,20,IF(G642=3,10,IF(G642&lt;&gt;"",1,0))))+IF(H642=1,30,IF(H642=2,20,IF(H642=3,10,IF(H642&lt;&gt;"",1,0))))))</f>
        <v/>
      </c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1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>
        <f>IF(AND(C643="",OR(E643="",E643=0)),"",(IF(E643=1,30,IF(E643=2,20,IF(E643=3,10,IF(E643&lt;&gt;"",1,0))))+IF(F643=1,30,IF(F643=2,20,IF(F643=3,10,IF(F643&lt;&gt;"",1,0))))+IF(G643=1,30,IF(G643=2,20,IF(G643=3,10,IF(G643&lt;&gt;"",1,0))))+IF(H643=1,30,IF(H643=2,20,IF(H643=3,10,IF(H643&lt;&gt;"",1,0))))))</f>
        <v/>
      </c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14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>
        <f>IF(AND(C644="",OR(E644="",E644=0)),"",(IF(E644=1,30,IF(E644=2,20,IF(E644=3,10,IF(E644&lt;&gt;"",1,0))))+IF(F644=1,30,IF(F644=2,20,IF(F644=3,10,IF(F644&lt;&gt;"",1,0))))+IF(G644=1,30,IF(G644=2,20,IF(G644=3,10,IF(G644&lt;&gt;"",1,0))))+IF(H644=1,30,IF(H644=2,20,IF(H644=3,10,IF(H644&lt;&gt;"",1,0))))))</f>
        <v/>
      </c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14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>
        <f>IF(AND(C645="",OR(E645="",E645=0)),"",(IF(E645=1,30,IF(E645=2,20,IF(E645=3,10,IF(E645&lt;&gt;"",1,0))))+IF(F645=1,30,IF(F645=2,20,IF(F645=3,10,IF(F645&lt;&gt;"",1,0))))+IF(G645=1,30,IF(G645=2,20,IF(G645=3,10,IF(G645&lt;&gt;"",1,0))))+IF(H645=1,30,IF(H645=2,20,IF(H645=3,10,IF(H645&lt;&gt;"",1,0))))))</f>
        <v/>
      </c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14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>
        <f>IF(AND(C646="",OR(E646="",E646=0)),"",(IF(E646=1,30,IF(E646=2,20,IF(E646=3,10,IF(E646&lt;&gt;"",1,0))))+IF(F646=1,30,IF(F646=2,20,IF(F646=3,10,IF(F646&lt;&gt;"",1,0))))+IF(G646=1,30,IF(G646=2,20,IF(G646=3,10,IF(G646&lt;&gt;"",1,0))))+IF(H646=1,30,IF(H646=2,20,IF(H646=3,10,IF(H646&lt;&gt;"",1,0))))))</f>
        <v/>
      </c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14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>
        <f>IF(AND(C647="",OR(E647="",E647=0)),"",(IF(E647=1,30,IF(E647=2,20,IF(E647=3,10,IF(E647&lt;&gt;"",1,0))))+IF(F647=1,30,IF(F647=2,20,IF(F647=3,10,IF(F647&lt;&gt;"",1,0))))+IF(G647=1,30,IF(G647=2,20,IF(G647=3,10,IF(G647&lt;&gt;"",1,0))))+IF(H647=1,30,IF(H647=2,20,IF(H647=3,10,IF(H647&lt;&gt;"",1,0))))))</f>
        <v/>
      </c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14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>
        <f>IF(AND(C648="",OR(E648="",E648=0)),"",(IF(E648=1,30,IF(E648=2,20,IF(E648=3,10,IF(E648&lt;&gt;"",1,0))))+IF(F648=1,30,IF(F648=2,20,IF(F648=3,10,IF(F648&lt;&gt;"",1,0))))+IF(G648=1,30,IF(G648=2,20,IF(G648=3,10,IF(G648&lt;&gt;"",1,0))))+IF(H648=1,30,IF(H648=2,20,IF(H648=3,10,IF(H648&lt;&gt;"",1,0))))))</f>
        <v/>
      </c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14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>
        <f>IF(AND(C649="",OR(E649="",E649=0)),"",(IF(E649=1,30,IF(E649=2,20,IF(E649=3,10,IF(E649&lt;&gt;"",1,0))))+IF(F649=1,30,IF(F649=2,20,IF(F649=3,10,IF(F649&lt;&gt;"",1,0))))+IF(G649=1,30,IF(G649=2,20,IF(G649=3,10,IF(G649&lt;&gt;"",1,0))))+IF(H649=1,30,IF(H649=2,20,IF(H649=3,10,IF(H649&lt;&gt;"",1,0))))))</f>
        <v/>
      </c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14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>
        <f>IF(AND(C650="",OR(E650="",E650=0)),"",(IF(E650=1,30,IF(E650=2,20,IF(E650=3,10,IF(E650&lt;&gt;"",1,0))))+IF(F650=1,30,IF(F650=2,20,IF(F650=3,10,IF(F650&lt;&gt;"",1,0))))+IF(G650=1,30,IF(G650=2,20,IF(G650=3,10,IF(G650&lt;&gt;"",1,0))))+IF(H650=1,30,IF(H650=2,20,IF(H650=3,10,IF(H650&lt;&gt;"",1,0))))))</f>
        <v/>
      </c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14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>
        <f>IF(AND(C651="",OR(E651="",E651=0)),"",(IF(E651=1,30,IF(E651=2,20,IF(E651=3,10,IF(E651&lt;&gt;"",1,0))))+IF(F651=1,30,IF(F651=2,20,IF(F651=3,10,IF(F651&lt;&gt;"",1,0))))+IF(G651=1,30,IF(G651=2,20,IF(G651=3,10,IF(G651&lt;&gt;"",1,0))))+IF(H651=1,30,IF(H651=2,20,IF(H651=3,10,IF(H651&lt;&gt;"",1,0))))))</f>
        <v/>
      </c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14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>
        <f>IF(AND(C652="",OR(E652="",E652=0)),"",(IF(E652=1,30,IF(E652=2,20,IF(E652=3,10,IF(E652&lt;&gt;"",1,0))))+IF(F652=1,30,IF(F652=2,20,IF(F652=3,10,IF(F652&lt;&gt;"",1,0))))+IF(G652=1,30,IF(G652=2,20,IF(G652=3,10,IF(G652&lt;&gt;"",1,0))))+IF(H652=1,30,IF(H652=2,20,IF(H652=3,10,IF(H652&lt;&gt;"",1,0))))))</f>
        <v/>
      </c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14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>
        <f>IF(AND(C653="",OR(E653="",E653=0)),"",(IF(E653=1,30,IF(E653=2,20,IF(E653=3,10,IF(E653&lt;&gt;"",1,0))))+IF(F653=1,30,IF(F653=2,20,IF(F653=3,10,IF(F653&lt;&gt;"",1,0))))+IF(G653=1,30,IF(G653=2,20,IF(G653=3,10,IF(G653&lt;&gt;"",1,0))))+IF(H653=1,30,IF(H653=2,20,IF(H653=3,10,IF(H653&lt;&gt;"",1,0))))))</f>
        <v/>
      </c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14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>
        <f>IF(AND(C654="",OR(E654="",E654=0)),"",(IF(E654=1,30,IF(E654=2,20,IF(E654=3,10,IF(E654&lt;&gt;"",1,0))))+IF(F654=1,30,IF(F654=2,20,IF(F654=3,10,IF(F654&lt;&gt;"",1,0))))+IF(G654=1,30,IF(G654=2,20,IF(G654=3,10,IF(G654&lt;&gt;"",1,0))))+IF(H654=1,30,IF(H654=2,20,IF(H654=3,10,IF(H654&lt;&gt;"",1,0))))))</f>
        <v/>
      </c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14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>
        <f>IF(AND(C655="",OR(E655="",E655=0)),"",(IF(E655=1,30,IF(E655=2,20,IF(E655=3,10,IF(E655&lt;&gt;"",1,0))))+IF(F655=1,30,IF(F655=2,20,IF(F655=3,10,IF(F655&lt;&gt;"",1,0))))+IF(G655=1,30,IF(G655=2,20,IF(G655=3,10,IF(G655&lt;&gt;"",1,0))))+IF(H655=1,30,IF(H655=2,20,IF(H655=3,10,IF(H655&lt;&gt;"",1,0))))))</f>
        <v/>
      </c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14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>
        <f>IF(AND(C656="",OR(E656="",E656=0)),"",(IF(E656=1,30,IF(E656=2,20,IF(E656=3,10,IF(E656&lt;&gt;"",1,0))))+IF(F656=1,30,IF(F656=2,20,IF(F656=3,10,IF(F656&lt;&gt;"",1,0))))+IF(G656=1,30,IF(G656=2,20,IF(G656=3,10,IF(G656&lt;&gt;"",1,0))))+IF(H656=1,30,IF(H656=2,20,IF(H656=3,10,IF(H656&lt;&gt;"",1,0))))))</f>
        <v/>
      </c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14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>
        <f>IF(AND(C657="",OR(E657="",E657=0)),"",(IF(E657=1,30,IF(E657=2,20,IF(E657=3,10,IF(E657&lt;&gt;"",1,0))))+IF(F657=1,30,IF(F657=2,20,IF(F657=3,10,IF(F657&lt;&gt;"",1,0))))+IF(G657=1,30,IF(G657=2,20,IF(G657=3,10,IF(G657&lt;&gt;"",1,0))))+IF(H657=1,30,IF(H657=2,20,IF(H657=3,10,IF(H657&lt;&gt;"",1,0))))))</f>
        <v/>
      </c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14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>
        <f>IF(AND(C658="",OR(E658="",E658=0)),"",(IF(E658=1,30,IF(E658=2,20,IF(E658=3,10,IF(E658&lt;&gt;"",1,0))))+IF(F658=1,30,IF(F658=2,20,IF(F658=3,10,IF(F658&lt;&gt;"",1,0))))+IF(G658=1,30,IF(G658=2,20,IF(G658=3,10,IF(G658&lt;&gt;"",1,0))))+IF(H658=1,30,IF(H658=2,20,IF(H658=3,10,IF(H658&lt;&gt;"",1,0))))))</f>
        <v/>
      </c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14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>
        <f>IF(AND(C659="",OR(E659="",E659=0)),"",(IF(E659=1,30,IF(E659=2,20,IF(E659=3,10,IF(E659&lt;&gt;"",1,0))))+IF(F659=1,30,IF(F659=2,20,IF(F659=3,10,IF(F659&lt;&gt;"",1,0))))+IF(G659=1,30,IF(G659=2,20,IF(G659=3,10,IF(G659&lt;&gt;"",1,0))))+IF(H659=1,30,IF(H659=2,20,IF(H659=3,10,IF(H659&lt;&gt;"",1,0))))))</f>
        <v/>
      </c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14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>
        <f>IF(AND(C660="",OR(E660="",E660=0)),"",(IF(E660=1,30,IF(E660=2,20,IF(E660=3,10,IF(E660&lt;&gt;"",1,0))))+IF(F660=1,30,IF(F660=2,20,IF(F660=3,10,IF(F660&lt;&gt;"",1,0))))+IF(G660=1,30,IF(G660=2,20,IF(G660=3,10,IF(G660&lt;&gt;"",1,0))))+IF(H660=1,30,IF(H660=2,20,IF(H660=3,10,IF(H660&lt;&gt;"",1,0))))))</f>
        <v/>
      </c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14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>
        <f>IF(AND(C661="",OR(E661="",E661=0)),"",(IF(E661=1,30,IF(E661=2,20,IF(E661=3,10,IF(E661&lt;&gt;"",1,0))))+IF(F661=1,30,IF(F661=2,20,IF(F661=3,10,IF(F661&lt;&gt;"",1,0))))+IF(G661=1,30,IF(G661=2,20,IF(G661=3,10,IF(G661&lt;&gt;"",1,0))))+IF(H661=1,30,IF(H661=2,20,IF(H661=3,10,IF(H661&lt;&gt;"",1,0))))))</f>
        <v/>
      </c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14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>
        <f>IF(AND(C662="",OR(E662="",E662=0)),"",(IF(E662=1,30,IF(E662=2,20,IF(E662=3,10,IF(E662&lt;&gt;"",1,0))))+IF(F662=1,30,IF(F662=2,20,IF(F662=3,10,IF(F662&lt;&gt;"",1,0))))+IF(G662=1,30,IF(G662=2,20,IF(G662=3,10,IF(G662&lt;&gt;"",1,0))))+IF(H662=1,30,IF(H662=2,20,IF(H662=3,10,IF(H662&lt;&gt;"",1,0))))))</f>
        <v/>
      </c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14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>
        <f>IF(AND(C663="",OR(E663="",E663=0)),"",(IF(E663=1,30,IF(E663=2,20,IF(E663=3,10,IF(E663&lt;&gt;"",1,0))))+IF(F663=1,30,IF(F663=2,20,IF(F663=3,10,IF(F663&lt;&gt;"",1,0))))+IF(G663=1,30,IF(G663=2,20,IF(G663=3,10,IF(G663&lt;&gt;"",1,0))))+IF(H663=1,30,IF(H663=2,20,IF(H663=3,10,IF(H663&lt;&gt;"",1,0))))))</f>
        <v/>
      </c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14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>
        <f>IF(AND(C664="",OR(E664="",E664=0)),"",(IF(E664=1,30,IF(E664=2,20,IF(E664=3,10,IF(E664&lt;&gt;"",1,0))))+IF(F664=1,30,IF(F664=2,20,IF(F664=3,10,IF(F664&lt;&gt;"",1,0))))+IF(G664=1,30,IF(G664=2,20,IF(G664=3,10,IF(G664&lt;&gt;"",1,0))))+IF(H664=1,30,IF(H664=2,20,IF(H664=3,10,IF(H664&lt;&gt;"",1,0))))))</f>
        <v/>
      </c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14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>
        <f>IF(AND(C665="",OR(E665="",E665=0)),"",(IF(E665=1,30,IF(E665=2,20,IF(E665=3,10,IF(E665&lt;&gt;"",1,0))))+IF(F665=1,30,IF(F665=2,20,IF(F665=3,10,IF(F665&lt;&gt;"",1,0))))+IF(G665=1,30,IF(G665=2,20,IF(G665=3,10,IF(G665&lt;&gt;"",1,0))))+IF(H665=1,30,IF(H665=2,20,IF(H665=3,10,IF(H665&lt;&gt;"",1,0))))))</f>
        <v/>
      </c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14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>
        <f>IF(AND(C666="",OR(E666="",E666=0)),"",(IF(E666=1,30,IF(E666=2,20,IF(E666=3,10,IF(E666&lt;&gt;"",1,0))))+IF(F666=1,30,IF(F666=2,20,IF(F666=3,10,IF(F666&lt;&gt;"",1,0))))+IF(G666=1,30,IF(G666=2,20,IF(G666=3,10,IF(G666&lt;&gt;"",1,0))))+IF(H666=1,30,IF(H666=2,20,IF(H666=3,10,IF(H666&lt;&gt;"",1,0))))))</f>
        <v/>
      </c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14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>
        <f>IF(AND(C667="",OR(E667="",E667=0)),"",(IF(E667=1,30,IF(E667=2,20,IF(E667=3,10,IF(E667&lt;&gt;"",1,0))))+IF(F667=1,30,IF(F667=2,20,IF(F667=3,10,IF(F667&lt;&gt;"",1,0))))+IF(G667=1,30,IF(G667=2,20,IF(G667=3,10,IF(G667&lt;&gt;"",1,0))))+IF(H667=1,30,IF(H667=2,20,IF(H667=3,10,IF(H667&lt;&gt;"",1,0))))))</f>
        <v/>
      </c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14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>
        <f>IF(AND(C668="",OR(E668="",E668=0)),"",(IF(E668=1,30,IF(E668=2,20,IF(E668=3,10,IF(E668&lt;&gt;"",1,0))))+IF(F668=1,30,IF(F668=2,20,IF(F668=3,10,IF(F668&lt;&gt;"",1,0))))+IF(G668=1,30,IF(G668=2,20,IF(G668=3,10,IF(G668&lt;&gt;"",1,0))))+IF(H668=1,30,IF(H668=2,20,IF(H668=3,10,IF(H668&lt;&gt;"",1,0))))))</f>
        <v/>
      </c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14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>
        <f>IF(AND(C669="",OR(E669="",E669=0)),"",(IF(E669=1,30,IF(E669=2,20,IF(E669=3,10,IF(E669&lt;&gt;"",1,0))))+IF(F669=1,30,IF(F669=2,20,IF(F669=3,10,IF(F669&lt;&gt;"",1,0))))+IF(G669=1,30,IF(G669=2,20,IF(G669=3,10,IF(G669&lt;&gt;"",1,0))))+IF(H669=1,30,IF(H669=2,20,IF(H669=3,10,IF(H669&lt;&gt;"",1,0))))))</f>
        <v/>
      </c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14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>
        <f>IF(AND(C670="",OR(E670="",E670=0)),"",(IF(E670=1,30,IF(E670=2,20,IF(E670=3,10,IF(E670&lt;&gt;"",1,0))))+IF(F670=1,30,IF(F670=2,20,IF(F670=3,10,IF(F670&lt;&gt;"",1,0))))+IF(G670=1,30,IF(G670=2,20,IF(G670=3,10,IF(G670&lt;&gt;"",1,0))))+IF(H670=1,30,IF(H670=2,20,IF(H670=3,10,IF(H670&lt;&gt;"",1,0))))))</f>
        <v/>
      </c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14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>
        <f>IF(AND(C671="",OR(E671="",E671=0)),"",(IF(E671=1,30,IF(E671=2,20,IF(E671=3,10,IF(E671&lt;&gt;"",1,0))))+IF(F671=1,30,IF(F671=2,20,IF(F671=3,10,IF(F671&lt;&gt;"",1,0))))+IF(G671=1,30,IF(G671=2,20,IF(G671=3,10,IF(G671&lt;&gt;"",1,0))))+IF(H671=1,30,IF(H671=2,20,IF(H671=3,10,IF(H671&lt;&gt;"",1,0))))))</f>
        <v/>
      </c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14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>
        <f>IF(AND(C672="",OR(E672="",E672=0)),"",(IF(E672=1,30,IF(E672=2,20,IF(E672=3,10,IF(E672&lt;&gt;"",1,0))))+IF(F672=1,30,IF(F672=2,20,IF(F672=3,10,IF(F672&lt;&gt;"",1,0))))+IF(G672=1,30,IF(G672=2,20,IF(G672=3,10,IF(G672&lt;&gt;"",1,0))))+IF(H672=1,30,IF(H672=2,20,IF(H672=3,10,IF(H672&lt;&gt;"",1,0))))))</f>
        <v/>
      </c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14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>
        <f>IF(AND(C673="",OR(E673="",E673=0)),"",(IF(E673=1,30,IF(E673=2,20,IF(E673=3,10,IF(E673&lt;&gt;"",1,0))))+IF(F673=1,30,IF(F673=2,20,IF(F673=3,10,IF(F673&lt;&gt;"",1,0))))+IF(G673=1,30,IF(G673=2,20,IF(G673=3,10,IF(G673&lt;&gt;"",1,0))))+IF(H673=1,30,IF(H673=2,20,IF(H673=3,10,IF(H673&lt;&gt;"",1,0))))))</f>
        <v/>
      </c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14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>
        <f>IF(AND(C674="",OR(E674="",E674=0)),"",(IF(E674=1,30,IF(E674=2,20,IF(E674=3,10,IF(E674&lt;&gt;"",1,0))))+IF(F674=1,30,IF(F674=2,20,IF(F674=3,10,IF(F674&lt;&gt;"",1,0))))+IF(G674=1,30,IF(G674=2,20,IF(G674=3,10,IF(G674&lt;&gt;"",1,0))))+IF(H674=1,30,IF(H674=2,20,IF(H674=3,10,IF(H674&lt;&gt;"",1,0))))))</f>
        <v/>
      </c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14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>
        <f>IF(AND(C675="",OR(E675="",E675=0)),"",(IF(E675=1,30,IF(E675=2,20,IF(E675=3,10,IF(E675&lt;&gt;"",1,0))))+IF(F675=1,30,IF(F675=2,20,IF(F675=3,10,IF(F675&lt;&gt;"",1,0))))+IF(G675=1,30,IF(G675=2,20,IF(G675=3,10,IF(G675&lt;&gt;"",1,0))))+IF(H675=1,30,IF(H675=2,20,IF(H675=3,10,IF(H675&lt;&gt;"",1,0))))))</f>
        <v/>
      </c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14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>
        <f>IF(AND(C676="",OR(E676="",E676=0)),"",(IF(E676=1,30,IF(E676=2,20,IF(E676=3,10,IF(E676&lt;&gt;"",1,0))))+IF(F676=1,30,IF(F676=2,20,IF(F676=3,10,IF(F676&lt;&gt;"",1,0))))+IF(G676=1,30,IF(G676=2,20,IF(G676=3,10,IF(G676&lt;&gt;"",1,0))))+IF(H676=1,30,IF(H676=2,20,IF(H676=3,10,IF(H676&lt;&gt;"",1,0))))))</f>
        <v/>
      </c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14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>
        <f>IF(AND(C677="",OR(E677="",E677=0)),"",(IF(E677=1,30,IF(E677=2,20,IF(E677=3,10,IF(E677&lt;&gt;"",1,0))))+IF(F677=1,30,IF(F677=2,20,IF(F677=3,10,IF(F677&lt;&gt;"",1,0))))+IF(G677=1,30,IF(G677=2,20,IF(G677=3,10,IF(G677&lt;&gt;"",1,0))))+IF(H677=1,30,IF(H677=2,20,IF(H677=3,10,IF(H677&lt;&gt;"",1,0))))))</f>
        <v/>
      </c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14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>
        <f>IF(AND(C678="",OR(E678="",E678=0)),"",(IF(E678=1,30,IF(E678=2,20,IF(E678=3,10,IF(E678&lt;&gt;"",1,0))))+IF(F678=1,30,IF(F678=2,20,IF(F678=3,10,IF(F678&lt;&gt;"",1,0))))+IF(G678=1,30,IF(G678=2,20,IF(G678=3,10,IF(G678&lt;&gt;"",1,0))))+IF(H678=1,30,IF(H678=2,20,IF(H678=3,10,IF(H678&lt;&gt;"",1,0))))))</f>
        <v/>
      </c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14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>
        <f>IF(AND(C679="",OR(E679="",E679=0)),"",(IF(E679=1,30,IF(E679=2,20,IF(E679=3,10,IF(E679&lt;&gt;"",1,0))))+IF(F679=1,30,IF(F679=2,20,IF(F679=3,10,IF(F679&lt;&gt;"",1,0))))+IF(G679=1,30,IF(G679=2,20,IF(G679=3,10,IF(G679&lt;&gt;"",1,0))))+IF(H679=1,30,IF(H679=2,20,IF(H679=3,10,IF(H679&lt;&gt;"",1,0))))))</f>
        <v/>
      </c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14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>
        <f>IF(AND(C680="",OR(E680="",E680=0)),"",(IF(E680=1,30,IF(E680=2,20,IF(E680=3,10,IF(E680&lt;&gt;"",1,0))))+IF(F680=1,30,IF(F680=2,20,IF(F680=3,10,IF(F680&lt;&gt;"",1,0))))+IF(G680=1,30,IF(G680=2,20,IF(G680=3,10,IF(G680&lt;&gt;"",1,0))))+IF(H680=1,30,IF(H680=2,20,IF(H680=3,10,IF(H680&lt;&gt;"",1,0))))))</f>
        <v/>
      </c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14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>
        <f>IF(AND(C681="",OR(E681="",E681=0)),"",(IF(E681=1,30,IF(E681=2,20,IF(E681=3,10,IF(E681&lt;&gt;"",1,0))))+IF(F681=1,30,IF(F681=2,20,IF(F681=3,10,IF(F681&lt;&gt;"",1,0))))+IF(G681=1,30,IF(G681=2,20,IF(G681=3,10,IF(G681&lt;&gt;"",1,0))))+IF(H681=1,30,IF(H681=2,20,IF(H681=3,10,IF(H681&lt;&gt;"",1,0))))))</f>
        <v/>
      </c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14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>
        <f>IF(AND(C682="",OR(E682="",E682=0)),"",(IF(E682=1,30,IF(E682=2,20,IF(E682=3,10,IF(E682&lt;&gt;"",1,0))))+IF(F682=1,30,IF(F682=2,20,IF(F682=3,10,IF(F682&lt;&gt;"",1,0))))+IF(G682=1,30,IF(G682=2,20,IF(G682=3,10,IF(G682&lt;&gt;"",1,0))))+IF(H682=1,30,IF(H682=2,20,IF(H682=3,10,IF(H682&lt;&gt;"",1,0))))))</f>
        <v/>
      </c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14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>
        <f>IF(AND(C683="",OR(E683="",E683=0)),"",(IF(E683=1,30,IF(E683=2,20,IF(E683=3,10,IF(E683&lt;&gt;"",1,0))))+IF(F683=1,30,IF(F683=2,20,IF(F683=3,10,IF(F683&lt;&gt;"",1,0))))+IF(G683=1,30,IF(G683=2,20,IF(G683=3,10,IF(G683&lt;&gt;"",1,0))))+IF(H683=1,30,IF(H683=2,20,IF(H683=3,10,IF(H683&lt;&gt;"",1,0))))))</f>
        <v/>
      </c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14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>
        <f>IF(AND(C684="",OR(E684="",E684=0)),"",(IF(E684=1,30,IF(E684=2,20,IF(E684=3,10,IF(E684&lt;&gt;"",1,0))))+IF(F684=1,30,IF(F684=2,20,IF(F684=3,10,IF(F684&lt;&gt;"",1,0))))+IF(G684=1,30,IF(G684=2,20,IF(G684=3,10,IF(G684&lt;&gt;"",1,0))))+IF(H684=1,30,IF(H684=2,20,IF(H684=3,10,IF(H684&lt;&gt;"",1,0))))))</f>
        <v/>
      </c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14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>
        <f>IF(AND(C685="",OR(E685="",E685=0)),"",(IF(E685=1,30,IF(E685=2,20,IF(E685=3,10,IF(E685&lt;&gt;"",1,0))))+IF(F685=1,30,IF(F685=2,20,IF(F685=3,10,IF(F685&lt;&gt;"",1,0))))+IF(G685=1,30,IF(G685=2,20,IF(G685=3,10,IF(G685&lt;&gt;"",1,0))))+IF(H685=1,30,IF(H685=2,20,IF(H685=3,10,IF(H685&lt;&gt;"",1,0))))))</f>
        <v/>
      </c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14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>
        <f>IF(AND(C686="",OR(E686="",E686=0)),"",(IF(E686=1,30,IF(E686=2,20,IF(E686=3,10,IF(E686&lt;&gt;"",1,0))))+IF(F686=1,30,IF(F686=2,20,IF(F686=3,10,IF(F686&lt;&gt;"",1,0))))+IF(G686=1,30,IF(G686=2,20,IF(G686=3,10,IF(G686&lt;&gt;"",1,0))))+IF(H686=1,30,IF(H686=2,20,IF(H686=3,10,IF(H686&lt;&gt;"",1,0))))))</f>
        <v/>
      </c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14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>
        <f>IF(AND(C687="",OR(E687="",E687=0)),"",(IF(E687=1,30,IF(E687=2,20,IF(E687=3,10,IF(E687&lt;&gt;"",1,0))))+IF(F687=1,30,IF(F687=2,20,IF(F687=3,10,IF(F687&lt;&gt;"",1,0))))+IF(G687=1,30,IF(G687=2,20,IF(G687=3,10,IF(G687&lt;&gt;"",1,0))))+IF(H687=1,30,IF(H687=2,20,IF(H687=3,10,IF(H687&lt;&gt;"",1,0))))))</f>
        <v/>
      </c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14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>
        <f>IF(AND(C688="",OR(E688="",E688=0)),"",(IF(E688=1,30,IF(E688=2,20,IF(E688=3,10,IF(E688&lt;&gt;"",1,0))))+IF(F688=1,30,IF(F688=2,20,IF(F688=3,10,IF(F688&lt;&gt;"",1,0))))+IF(G688=1,30,IF(G688=2,20,IF(G688=3,10,IF(G688&lt;&gt;"",1,0))))+IF(H688=1,30,IF(H688=2,20,IF(H688=3,10,IF(H688&lt;&gt;"",1,0))))))</f>
        <v/>
      </c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14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>
        <f>IF(AND(C689="",OR(E689="",E689=0)),"",(IF(E689=1,30,IF(E689=2,20,IF(E689=3,10,IF(E689&lt;&gt;"",1,0))))+IF(F689=1,30,IF(F689=2,20,IF(F689=3,10,IF(F689&lt;&gt;"",1,0))))+IF(G689=1,30,IF(G689=2,20,IF(G689=3,10,IF(G689&lt;&gt;"",1,0))))+IF(H689=1,30,IF(H689=2,20,IF(H689=3,10,IF(H689&lt;&gt;"",1,0))))))</f>
        <v/>
      </c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14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>
        <f>IF(AND(C690="",OR(E690="",E690=0)),"",(IF(E690=1,30,IF(E690=2,20,IF(E690=3,10,IF(E690&lt;&gt;"",1,0))))+IF(F690=1,30,IF(F690=2,20,IF(F690=3,10,IF(F690&lt;&gt;"",1,0))))+IF(G690=1,30,IF(G690=2,20,IF(G690=3,10,IF(G690&lt;&gt;"",1,0))))+IF(H690=1,30,IF(H690=2,20,IF(H690=3,10,IF(H690&lt;&gt;"",1,0))))))</f>
        <v/>
      </c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14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>
        <f>IF(AND(C691="",OR(E691="",E691=0)),"",(IF(E691=1,30,IF(E691=2,20,IF(E691=3,10,IF(E691&lt;&gt;"",1,0))))+IF(F691=1,30,IF(F691=2,20,IF(F691=3,10,IF(F691&lt;&gt;"",1,0))))+IF(G691=1,30,IF(G691=2,20,IF(G691=3,10,IF(G691&lt;&gt;"",1,0))))+IF(H691=1,30,IF(H691=2,20,IF(H691=3,10,IF(H691&lt;&gt;"",1,0))))))</f>
        <v/>
      </c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14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>
        <f>IF(AND(C692="",OR(E692="",E692=0)),"",(IF(E692=1,30,IF(E692=2,20,IF(E692=3,10,IF(E692&lt;&gt;"",1,0))))+IF(F692=1,30,IF(F692=2,20,IF(F692=3,10,IF(F692&lt;&gt;"",1,0))))+IF(G692=1,30,IF(G692=2,20,IF(G692=3,10,IF(G692&lt;&gt;"",1,0))))+IF(H692=1,30,IF(H692=2,20,IF(H692=3,10,IF(H692&lt;&gt;"",1,0))))))</f>
        <v/>
      </c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14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>
        <f>IF(AND(C693="",OR(E693="",E693=0)),"",(IF(E693=1,30,IF(E693=2,20,IF(E693=3,10,IF(E693&lt;&gt;"",1,0))))+IF(F693=1,30,IF(F693=2,20,IF(F693=3,10,IF(F693&lt;&gt;"",1,0))))+IF(G693=1,30,IF(G693=2,20,IF(G693=3,10,IF(G693&lt;&gt;"",1,0))))+IF(H693=1,30,IF(H693=2,20,IF(H693=3,10,IF(H693&lt;&gt;"",1,0))))))</f>
        <v/>
      </c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14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>
        <f>IF(AND(C694="",OR(E694="",E694=0)),"",(IF(E694=1,30,IF(E694=2,20,IF(E694=3,10,IF(E694&lt;&gt;"",1,0))))+IF(F694=1,30,IF(F694=2,20,IF(F694=3,10,IF(F694&lt;&gt;"",1,0))))+IF(G694=1,30,IF(G694=2,20,IF(G694=3,10,IF(G694&lt;&gt;"",1,0))))+IF(H694=1,30,IF(H694=2,20,IF(H694=3,10,IF(H694&lt;&gt;"",1,0))))))</f>
        <v/>
      </c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14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>
        <f>IF(AND(C695="",OR(E695="",E695=0)),"",(IF(E695=1,30,IF(E695=2,20,IF(E695=3,10,IF(E695&lt;&gt;"",1,0))))+IF(F695=1,30,IF(F695=2,20,IF(F695=3,10,IF(F695&lt;&gt;"",1,0))))+IF(G695=1,30,IF(G695=2,20,IF(G695=3,10,IF(G695&lt;&gt;"",1,0))))+IF(H695=1,30,IF(H695=2,20,IF(H695=3,10,IF(H695&lt;&gt;"",1,0))))))</f>
        <v/>
      </c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14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>
        <f>IF(AND(C696="",OR(E696="",E696=0)),"",(IF(E696=1,30,IF(E696=2,20,IF(E696=3,10,IF(E696&lt;&gt;"",1,0))))+IF(F696=1,30,IF(F696=2,20,IF(F696=3,10,IF(F696&lt;&gt;"",1,0))))+IF(G696=1,30,IF(G696=2,20,IF(G696=3,10,IF(G696&lt;&gt;"",1,0))))+IF(H696=1,30,IF(H696=2,20,IF(H696=3,10,IF(H696&lt;&gt;"",1,0))))))</f>
        <v/>
      </c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14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>
        <f>IF(AND(C697="",OR(E697="",E697=0)),"",(IF(E697=1,30,IF(E697=2,20,IF(E697=3,10,IF(E697&lt;&gt;"",1,0))))+IF(F697=1,30,IF(F697=2,20,IF(F697=3,10,IF(F697&lt;&gt;"",1,0))))+IF(G697=1,30,IF(G697=2,20,IF(G697=3,10,IF(G697&lt;&gt;"",1,0))))+IF(H697=1,30,IF(H697=2,20,IF(H697=3,10,IF(H697&lt;&gt;"",1,0))))))</f>
        <v/>
      </c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14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>
        <f>IF(AND(C698="",OR(E698="",E698=0)),"",(IF(E698=1,30,IF(E698=2,20,IF(E698=3,10,IF(E698&lt;&gt;"",1,0))))+IF(F698=1,30,IF(F698=2,20,IF(F698=3,10,IF(F698&lt;&gt;"",1,0))))+IF(G698=1,30,IF(G698=2,20,IF(G698=3,10,IF(G698&lt;&gt;"",1,0))))+IF(H698=1,30,IF(H698=2,20,IF(H698=3,10,IF(H698&lt;&gt;"",1,0))))))</f>
        <v/>
      </c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14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>
        <f>IF(AND(C699="",OR(E699="",E699=0)),"",(IF(E699=1,30,IF(E699=2,20,IF(E699=3,10,IF(E699&lt;&gt;"",1,0))))+IF(F699=1,30,IF(F699=2,20,IF(F699=3,10,IF(F699&lt;&gt;"",1,0))))+IF(G699=1,30,IF(G699=2,20,IF(G699=3,10,IF(G699&lt;&gt;"",1,0))))+IF(H699=1,30,IF(H699=2,20,IF(H699=3,10,IF(H699&lt;&gt;"",1,0))))))</f>
        <v/>
      </c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14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>
        <f>IF(AND(C700="",OR(E700="",E700=0)),"",(IF(E700=1,30,IF(E700=2,20,IF(E700=3,10,IF(E700&lt;&gt;"",1,0))))+IF(F700=1,30,IF(F700=2,20,IF(F700=3,10,IF(F700&lt;&gt;"",1,0))))+IF(G700=1,30,IF(G700=2,20,IF(G700=3,10,IF(G700&lt;&gt;"",1,0))))+IF(H700=1,30,IF(H700=2,20,IF(H700=3,10,IF(H700&lt;&gt;"",1,0))))))</f>
        <v/>
      </c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14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>
        <f>IF(AND(C701="",OR(E701="",E701=0)),"",(IF(E701=1,30,IF(E701=2,20,IF(E701=3,10,IF(E701&lt;&gt;"",1,0))))+IF(F701=1,30,IF(F701=2,20,IF(F701=3,10,IF(F701&lt;&gt;"",1,0))))+IF(G701=1,30,IF(G701=2,20,IF(G701=3,10,IF(G701&lt;&gt;"",1,0))))+IF(H701=1,30,IF(H701=2,20,IF(H701=3,10,IF(H701&lt;&gt;"",1,0))))))</f>
        <v/>
      </c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14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>
        <f>IF(AND(C702="",OR(E702="",E702=0)),"",(IF(E702=1,30,IF(E702=2,20,IF(E702=3,10,IF(E702&lt;&gt;"",1,0))))+IF(F702=1,30,IF(F702=2,20,IF(F702=3,10,IF(F702&lt;&gt;"",1,0))))+IF(G702=1,30,IF(G702=2,20,IF(G702=3,10,IF(G702&lt;&gt;"",1,0))))+IF(H702=1,30,IF(H702=2,20,IF(H702=3,10,IF(H702&lt;&gt;"",1,0))))))</f>
        <v/>
      </c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14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>
        <f>IF(AND(C703="",OR(E703="",E703=0)),"",(IF(E703=1,30,IF(E703=2,20,IF(E703=3,10,IF(E703&lt;&gt;"",1,0))))+IF(F703=1,30,IF(F703=2,20,IF(F703=3,10,IF(F703&lt;&gt;"",1,0))))+IF(G703=1,30,IF(G703=2,20,IF(G703=3,10,IF(G703&lt;&gt;"",1,0))))+IF(H703=1,30,IF(H703=2,20,IF(H703=3,10,IF(H703&lt;&gt;"",1,0))))))</f>
        <v/>
      </c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14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>
        <f>IF(AND(C704="",OR(E704="",E704=0)),"",(IF(E704=1,30,IF(E704=2,20,IF(E704=3,10,IF(E704&lt;&gt;"",1,0))))+IF(F704=1,30,IF(F704=2,20,IF(F704=3,10,IF(F704&lt;&gt;"",1,0))))+IF(G704=1,30,IF(G704=2,20,IF(G704=3,10,IF(G704&lt;&gt;"",1,0))))+IF(H704=1,30,IF(H704=2,20,IF(H704=3,10,IF(H704&lt;&gt;"",1,0))))))</f>
        <v/>
      </c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14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>
        <f>IF(AND(C705="",OR(E705="",E705=0)),"",(IF(E705=1,30,IF(E705=2,20,IF(E705=3,10,IF(E705&lt;&gt;"",1,0))))+IF(F705=1,30,IF(F705=2,20,IF(F705=3,10,IF(F705&lt;&gt;"",1,0))))+IF(G705=1,30,IF(G705=2,20,IF(G705=3,10,IF(G705&lt;&gt;"",1,0))))+IF(H705=1,30,IF(H705=2,20,IF(H705=3,10,IF(H705&lt;&gt;"",1,0))))))</f>
        <v/>
      </c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14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>
        <f>IF(AND(C706="",OR(E706="",E706=0)),"",(IF(E706=1,30,IF(E706=2,20,IF(E706=3,10,IF(E706&lt;&gt;"",1,0))))+IF(F706=1,30,IF(F706=2,20,IF(F706=3,10,IF(F706&lt;&gt;"",1,0))))+IF(G706=1,30,IF(G706=2,20,IF(G706=3,10,IF(G706&lt;&gt;"",1,0))))+IF(H706=1,30,IF(H706=2,20,IF(H706=3,10,IF(H706&lt;&gt;"",1,0))))))</f>
        <v/>
      </c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14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>
        <f>IF(AND(C707="",OR(E707="",E707=0)),"",(IF(E707=1,30,IF(E707=2,20,IF(E707=3,10,IF(E707&lt;&gt;"",1,0))))+IF(F707=1,30,IF(F707=2,20,IF(F707=3,10,IF(F707&lt;&gt;"",1,0))))+IF(G707=1,30,IF(G707=2,20,IF(G707=3,10,IF(G707&lt;&gt;"",1,0))))+IF(H707=1,30,IF(H707=2,20,IF(H707=3,10,IF(H707&lt;&gt;"",1,0))))))</f>
        <v/>
      </c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14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>
        <f>IF(AND(C708="",OR(E708="",E708=0)),"",(IF(E708=1,30,IF(E708=2,20,IF(E708=3,10,IF(E708&lt;&gt;"",1,0))))+IF(F708=1,30,IF(F708=2,20,IF(F708=3,10,IF(F708&lt;&gt;"",1,0))))+IF(G708=1,30,IF(G708=2,20,IF(G708=3,10,IF(G708&lt;&gt;"",1,0))))+IF(H708=1,30,IF(H708=2,20,IF(H708=3,10,IF(H708&lt;&gt;"",1,0))))))</f>
        <v/>
      </c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14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>
        <f>IF(AND(C709="",OR(E709="",E709=0)),"",(IF(E709=1,30,IF(E709=2,20,IF(E709=3,10,IF(E709&lt;&gt;"",1,0))))+IF(F709=1,30,IF(F709=2,20,IF(F709=3,10,IF(F709&lt;&gt;"",1,0))))+IF(G709=1,30,IF(G709=2,20,IF(G709=3,10,IF(G709&lt;&gt;"",1,0))))+IF(H709=1,30,IF(H709=2,20,IF(H709=3,10,IF(H709&lt;&gt;"",1,0))))))</f>
        <v/>
      </c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14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>
        <f>IF(AND(C710="",OR(E710="",E710=0)),"",(IF(E710=1,30,IF(E710=2,20,IF(E710=3,10,IF(E710&lt;&gt;"",1,0))))+IF(F710=1,30,IF(F710=2,20,IF(F710=3,10,IF(F710&lt;&gt;"",1,0))))+IF(G710=1,30,IF(G710=2,20,IF(G710=3,10,IF(G710&lt;&gt;"",1,0))))+IF(H710=1,30,IF(H710=2,20,IF(H710=3,10,IF(H710&lt;&gt;"",1,0))))))</f>
        <v/>
      </c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14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>
        <f>IF(AND(C711="",OR(E711="",E711=0)),"",(IF(E711=1,30,IF(E711=2,20,IF(E711=3,10,IF(E711&lt;&gt;"",1,0))))+IF(F711=1,30,IF(F711=2,20,IF(F711=3,10,IF(F711&lt;&gt;"",1,0))))+IF(G711=1,30,IF(G711=2,20,IF(G711=3,10,IF(G711&lt;&gt;"",1,0))))+IF(H711=1,30,IF(H711=2,20,IF(H711=3,10,IF(H711&lt;&gt;"",1,0))))))</f>
        <v/>
      </c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14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>
        <f>IF(AND(C712="",OR(E712="",E712=0)),"",(IF(E712=1,30,IF(E712=2,20,IF(E712=3,10,IF(E712&lt;&gt;"",1,0))))+IF(F712=1,30,IF(F712=2,20,IF(F712=3,10,IF(F712&lt;&gt;"",1,0))))+IF(G712=1,30,IF(G712=2,20,IF(G712=3,10,IF(G712&lt;&gt;"",1,0))))+IF(H712=1,30,IF(H712=2,20,IF(H712=3,10,IF(H712&lt;&gt;"",1,0))))))</f>
        <v/>
      </c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14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>
        <f>IF(AND(C713="",OR(E713="",E713=0)),"",(IF(E713=1,30,IF(E713=2,20,IF(E713=3,10,IF(E713&lt;&gt;"",1,0))))+IF(F713=1,30,IF(F713=2,20,IF(F713=3,10,IF(F713&lt;&gt;"",1,0))))+IF(G713=1,30,IF(G713=2,20,IF(G713=3,10,IF(G713&lt;&gt;"",1,0))))+IF(H713=1,30,IF(H713=2,20,IF(H713=3,10,IF(H713&lt;&gt;"",1,0))))))</f>
        <v/>
      </c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14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>
        <f>IF(AND(C714="",OR(E714="",E714=0)),"",(IF(E714=1,30,IF(E714=2,20,IF(E714=3,10,IF(E714&lt;&gt;"",1,0))))+IF(F714=1,30,IF(F714=2,20,IF(F714=3,10,IF(F714&lt;&gt;"",1,0))))+IF(G714=1,30,IF(G714=2,20,IF(G714=3,10,IF(G714&lt;&gt;"",1,0))))+IF(H714=1,30,IF(H714=2,20,IF(H714=3,10,IF(H714&lt;&gt;"",1,0))))))</f>
        <v/>
      </c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14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>
        <f>IF(AND(C715="",OR(E715="",E715=0)),"",(IF(E715=1,30,IF(E715=2,20,IF(E715=3,10,IF(E715&lt;&gt;"",1,0))))+IF(F715=1,30,IF(F715=2,20,IF(F715=3,10,IF(F715&lt;&gt;"",1,0))))+IF(G715=1,30,IF(G715=2,20,IF(G715=3,10,IF(G715&lt;&gt;"",1,0))))+IF(H715=1,30,IF(H715=2,20,IF(H715=3,10,IF(H715&lt;&gt;"",1,0))))))</f>
        <v/>
      </c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14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>
        <f>IF(AND(C716="",OR(E716="",E716=0)),"",(IF(E716=1,30,IF(E716=2,20,IF(E716=3,10,IF(E716&lt;&gt;"",1,0))))+IF(F716=1,30,IF(F716=2,20,IF(F716=3,10,IF(F716&lt;&gt;"",1,0))))+IF(G716=1,30,IF(G716=2,20,IF(G716=3,10,IF(G716&lt;&gt;"",1,0))))+IF(H716=1,30,IF(H716=2,20,IF(H716=3,10,IF(H716&lt;&gt;"",1,0))))))</f>
        <v/>
      </c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14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>
        <f>IF(AND(C717="",OR(E717="",E717=0)),"",(IF(E717=1,30,IF(E717=2,20,IF(E717=3,10,IF(E717&lt;&gt;"",1,0))))+IF(F717=1,30,IF(F717=2,20,IF(F717=3,10,IF(F717&lt;&gt;"",1,0))))+IF(G717=1,30,IF(G717=2,20,IF(G717=3,10,IF(G717&lt;&gt;"",1,0))))+IF(H717=1,30,IF(H717=2,20,IF(H717=3,10,IF(H717&lt;&gt;"",1,0))))))</f>
        <v/>
      </c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14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>
        <f>IF(AND(C718="",OR(E718="",E718=0)),"",(IF(E718=1,30,IF(E718=2,20,IF(E718=3,10,IF(E718&lt;&gt;"",1,0))))+IF(F718=1,30,IF(F718=2,20,IF(F718=3,10,IF(F718&lt;&gt;"",1,0))))+IF(G718=1,30,IF(G718=2,20,IF(G718=3,10,IF(G718&lt;&gt;"",1,0))))+IF(H718=1,30,IF(H718=2,20,IF(H718=3,10,IF(H718&lt;&gt;"",1,0))))))</f>
        <v/>
      </c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14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>
        <f>IF(AND(C719="",OR(E719="",E719=0)),"",(IF(E719=1,30,IF(E719=2,20,IF(E719=3,10,IF(E719&lt;&gt;"",1,0))))+IF(F719=1,30,IF(F719=2,20,IF(F719=3,10,IF(F719&lt;&gt;"",1,0))))+IF(G719=1,30,IF(G719=2,20,IF(G719=3,10,IF(G719&lt;&gt;"",1,0))))+IF(H719=1,30,IF(H719=2,20,IF(H719=3,10,IF(H719&lt;&gt;"",1,0))))))</f>
        <v/>
      </c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14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>
        <f>IF(AND(C720="",OR(E720="",E720=0)),"",(IF(E720=1,30,IF(E720=2,20,IF(E720=3,10,IF(E720&lt;&gt;"",1,0))))+IF(F720=1,30,IF(F720=2,20,IF(F720=3,10,IF(F720&lt;&gt;"",1,0))))+IF(G720=1,30,IF(G720=2,20,IF(G720=3,10,IF(G720&lt;&gt;"",1,0))))+IF(H720=1,30,IF(H720=2,20,IF(H720=3,10,IF(H720&lt;&gt;"",1,0))))))</f>
        <v/>
      </c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14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>
        <f>IF(AND(C721="",OR(E721="",E721=0)),"",(IF(E721=1,30,IF(E721=2,20,IF(E721=3,10,IF(E721&lt;&gt;"",1,0))))+IF(F721=1,30,IF(F721=2,20,IF(F721=3,10,IF(F721&lt;&gt;"",1,0))))+IF(G721=1,30,IF(G721=2,20,IF(G721=3,10,IF(G721&lt;&gt;"",1,0))))+IF(H721=1,30,IF(H721=2,20,IF(H721=3,10,IF(H721&lt;&gt;"",1,0))))))</f>
        <v/>
      </c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14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>
        <f>IF(AND(C722="",OR(E722="",E722=0)),"",(IF(E722=1,30,IF(E722=2,20,IF(E722=3,10,IF(E722&lt;&gt;"",1,0))))+IF(F722=1,30,IF(F722=2,20,IF(F722=3,10,IF(F722&lt;&gt;"",1,0))))+IF(G722=1,30,IF(G722=2,20,IF(G722=3,10,IF(G722&lt;&gt;"",1,0))))+IF(H722=1,30,IF(H722=2,20,IF(H722=3,10,IF(H722&lt;&gt;"",1,0))))))</f>
        <v/>
      </c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14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>
        <f>IF(AND(C723="",OR(E723="",E723=0)),"",(IF(E723=1,30,IF(E723=2,20,IF(E723=3,10,IF(E723&lt;&gt;"",1,0))))+IF(F723=1,30,IF(F723=2,20,IF(F723=3,10,IF(F723&lt;&gt;"",1,0))))+IF(G723=1,30,IF(G723=2,20,IF(G723=3,10,IF(G723&lt;&gt;"",1,0))))+IF(H723=1,30,IF(H723=2,20,IF(H723=3,10,IF(H723&lt;&gt;"",1,0))))))</f>
        <v/>
      </c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14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>
        <f>IF(AND(C724="",OR(E724="",E724=0)),"",(IF(E724=1,30,IF(E724=2,20,IF(E724=3,10,IF(E724&lt;&gt;"",1,0))))+IF(F724=1,30,IF(F724=2,20,IF(F724=3,10,IF(F724&lt;&gt;"",1,0))))+IF(G724=1,30,IF(G724=2,20,IF(G724=3,10,IF(G724&lt;&gt;"",1,0))))+IF(H724=1,30,IF(H724=2,20,IF(H724=3,10,IF(H724&lt;&gt;"",1,0))))))</f>
        <v/>
      </c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14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>
        <f>IF(AND(C725="",OR(E725="",E725=0)),"",(IF(E725=1,30,IF(E725=2,20,IF(E725=3,10,IF(E725&lt;&gt;"",1,0))))+IF(F725=1,30,IF(F725=2,20,IF(F725=3,10,IF(F725&lt;&gt;"",1,0))))+IF(G725=1,30,IF(G725=2,20,IF(G725=3,10,IF(G725&lt;&gt;"",1,0))))+IF(H725=1,30,IF(H725=2,20,IF(H725=3,10,IF(H725&lt;&gt;"",1,0))))))</f>
        <v/>
      </c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14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>
        <f>IF(AND(C726="",OR(E726="",E726=0)),"",(IF(E726=1,30,IF(E726=2,20,IF(E726=3,10,IF(E726&lt;&gt;"",1,0))))+IF(F726=1,30,IF(F726=2,20,IF(F726=3,10,IF(F726&lt;&gt;"",1,0))))+IF(G726=1,30,IF(G726=2,20,IF(G726=3,10,IF(G726&lt;&gt;"",1,0))))+IF(H726=1,30,IF(H726=2,20,IF(H726=3,10,IF(H726&lt;&gt;"",1,0))))))</f>
        <v/>
      </c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14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>
        <f>IF(AND(C727="",OR(E727="",E727=0)),"",(IF(E727=1,30,IF(E727=2,20,IF(E727=3,10,IF(E727&lt;&gt;"",1,0))))+IF(F727=1,30,IF(F727=2,20,IF(F727=3,10,IF(F727&lt;&gt;"",1,0))))+IF(G727=1,30,IF(G727=2,20,IF(G727=3,10,IF(G727&lt;&gt;"",1,0))))+IF(H727=1,30,IF(H727=2,20,IF(H727=3,10,IF(H727&lt;&gt;"",1,0))))))</f>
        <v/>
      </c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14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>
        <f>IF(AND(C728="",OR(E728="",E728=0)),"",(IF(E728=1,30,IF(E728=2,20,IF(E728=3,10,IF(E728&lt;&gt;"",1,0))))+IF(F728=1,30,IF(F728=2,20,IF(F728=3,10,IF(F728&lt;&gt;"",1,0))))+IF(G728=1,30,IF(G728=2,20,IF(G728=3,10,IF(G728&lt;&gt;"",1,0))))+IF(H728=1,30,IF(H728=2,20,IF(H728=3,10,IF(H728&lt;&gt;"",1,0))))))</f>
        <v/>
      </c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14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>
        <f>IF(AND(C729="",OR(E729="",E729=0)),"",(IF(E729=1,30,IF(E729=2,20,IF(E729=3,10,IF(E729&lt;&gt;"",1,0))))+IF(F729=1,30,IF(F729=2,20,IF(F729=3,10,IF(F729&lt;&gt;"",1,0))))+IF(G729=1,30,IF(G729=2,20,IF(G729=3,10,IF(G729&lt;&gt;"",1,0))))+IF(H729=1,30,IF(H729=2,20,IF(H729=3,10,IF(H729&lt;&gt;"",1,0))))))</f>
        <v/>
      </c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14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>
        <f>IF(AND(C730="",OR(E730="",E730=0)),"",(IF(E730=1,30,IF(E730=2,20,IF(E730=3,10,IF(E730&lt;&gt;"",1,0))))+IF(F730=1,30,IF(F730=2,20,IF(F730=3,10,IF(F730&lt;&gt;"",1,0))))+IF(G730=1,30,IF(G730=2,20,IF(G730=3,10,IF(G730&lt;&gt;"",1,0))))+IF(H730=1,30,IF(H730=2,20,IF(H730=3,10,IF(H730&lt;&gt;"",1,0))))))</f>
        <v/>
      </c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14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>
        <f>IF(AND(C731="",OR(E731="",E731=0)),"",(IF(E731=1,30,IF(E731=2,20,IF(E731=3,10,IF(E731&lt;&gt;"",1,0))))+IF(F731=1,30,IF(F731=2,20,IF(F731=3,10,IF(F731&lt;&gt;"",1,0))))+IF(G731=1,30,IF(G731=2,20,IF(G731=3,10,IF(G731&lt;&gt;"",1,0))))+IF(H731=1,30,IF(H731=2,20,IF(H731=3,10,IF(H731&lt;&gt;"",1,0))))))</f>
        <v/>
      </c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14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>
        <f>IF(AND(C732="",OR(E732="",E732=0)),"",(IF(E732=1,30,IF(E732=2,20,IF(E732=3,10,IF(E732&lt;&gt;"",1,0))))+IF(F732=1,30,IF(F732=2,20,IF(F732=3,10,IF(F732&lt;&gt;"",1,0))))+IF(G732=1,30,IF(G732=2,20,IF(G732=3,10,IF(G732&lt;&gt;"",1,0))))+IF(H732=1,30,IF(H732=2,20,IF(H732=3,10,IF(H732&lt;&gt;"",1,0))))))</f>
        <v/>
      </c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14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>
        <f>IF(AND(C733="",OR(E733="",E733=0)),"",(IF(E733=1,30,IF(E733=2,20,IF(E733=3,10,IF(E733&lt;&gt;"",1,0))))+IF(F733=1,30,IF(F733=2,20,IF(F733=3,10,IF(F733&lt;&gt;"",1,0))))+IF(G733=1,30,IF(G733=2,20,IF(G733=3,10,IF(G733&lt;&gt;"",1,0))))+IF(H733=1,30,IF(H733=2,20,IF(H733=3,10,IF(H733&lt;&gt;"",1,0))))))</f>
        <v/>
      </c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14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>
        <f>IF(AND(C734="",OR(E734="",E734=0)),"",(IF(E734=1,30,IF(E734=2,20,IF(E734=3,10,IF(E734&lt;&gt;"",1,0))))+IF(F734=1,30,IF(F734=2,20,IF(F734=3,10,IF(F734&lt;&gt;"",1,0))))+IF(G734=1,30,IF(G734=2,20,IF(G734=3,10,IF(G734&lt;&gt;"",1,0))))+IF(H734=1,30,IF(H734=2,20,IF(H734=3,10,IF(H734&lt;&gt;"",1,0))))))</f>
        <v/>
      </c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14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>
        <f>IF(AND(C735="",OR(E735="",E735=0)),"",(IF(E735=1,30,IF(E735=2,20,IF(E735=3,10,IF(E735&lt;&gt;"",1,0))))+IF(F735=1,30,IF(F735=2,20,IF(F735=3,10,IF(F735&lt;&gt;"",1,0))))+IF(G735=1,30,IF(G735=2,20,IF(G735=3,10,IF(G735&lt;&gt;"",1,0))))+IF(H735=1,30,IF(H735=2,20,IF(H735=3,10,IF(H735&lt;&gt;"",1,0))))))</f>
        <v/>
      </c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14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>
        <f>IF(AND(C736="",OR(E736="",E736=0)),"",(IF(E736=1,30,IF(E736=2,20,IF(E736=3,10,IF(E736&lt;&gt;"",1,0))))+IF(F736=1,30,IF(F736=2,20,IF(F736=3,10,IF(F736&lt;&gt;"",1,0))))+IF(G736=1,30,IF(G736=2,20,IF(G736=3,10,IF(G736&lt;&gt;"",1,0))))+IF(H736=1,30,IF(H736=2,20,IF(H736=3,10,IF(H736&lt;&gt;"",1,0))))))</f>
        <v/>
      </c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14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>
        <f>IF(AND(C737="",OR(E737="",E737=0)),"",(IF(E737=1,30,IF(E737=2,20,IF(E737=3,10,IF(E737&lt;&gt;"",1,0))))+IF(F737=1,30,IF(F737=2,20,IF(F737=3,10,IF(F737&lt;&gt;"",1,0))))+IF(G737=1,30,IF(G737=2,20,IF(G737=3,10,IF(G737&lt;&gt;"",1,0))))+IF(H737=1,30,IF(H737=2,20,IF(H737=3,10,IF(H737&lt;&gt;"",1,0))))))</f>
        <v/>
      </c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14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>
        <f>IF(AND(C738="",OR(E738="",E738=0)),"",(IF(E738=1,30,IF(E738=2,20,IF(E738=3,10,IF(E738&lt;&gt;"",1,0))))+IF(F738=1,30,IF(F738=2,20,IF(F738=3,10,IF(F738&lt;&gt;"",1,0))))+IF(G738=1,30,IF(G738=2,20,IF(G738=3,10,IF(G738&lt;&gt;"",1,0))))+IF(H738=1,30,IF(H738=2,20,IF(H738=3,10,IF(H738&lt;&gt;"",1,0))))))</f>
        <v/>
      </c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14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>
        <f>IF(AND(C739="",OR(E739="",E739=0)),"",(IF(E739=1,30,IF(E739=2,20,IF(E739=3,10,IF(E739&lt;&gt;"",1,0))))+IF(F739=1,30,IF(F739=2,20,IF(F739=3,10,IF(F739&lt;&gt;"",1,0))))+IF(G739=1,30,IF(G739=2,20,IF(G739=3,10,IF(G739&lt;&gt;"",1,0))))+IF(H739=1,30,IF(H739=2,20,IF(H739=3,10,IF(H739&lt;&gt;"",1,0))))))</f>
        <v/>
      </c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14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>
        <f>IF(AND(C740="",OR(E740="",E740=0)),"",(IF(E740=1,30,IF(E740=2,20,IF(E740=3,10,IF(E740&lt;&gt;"",1,0))))+IF(F740=1,30,IF(F740=2,20,IF(F740=3,10,IF(F740&lt;&gt;"",1,0))))+IF(G740=1,30,IF(G740=2,20,IF(G740=3,10,IF(G740&lt;&gt;"",1,0))))+IF(H740=1,30,IF(H740=2,20,IF(H740=3,10,IF(H740&lt;&gt;"",1,0))))))</f>
        <v/>
      </c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14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>
        <f>IF(AND(C741="",OR(E741="",E741=0)),"",(IF(E741=1,30,IF(E741=2,20,IF(E741=3,10,IF(E741&lt;&gt;"",1,0))))+IF(F741=1,30,IF(F741=2,20,IF(F741=3,10,IF(F741&lt;&gt;"",1,0))))+IF(G741=1,30,IF(G741=2,20,IF(G741=3,10,IF(G741&lt;&gt;"",1,0))))+IF(H741=1,30,IF(H741=2,20,IF(H741=3,10,IF(H741&lt;&gt;"",1,0))))))</f>
        <v/>
      </c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14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>
        <f>IF(AND(C742="",OR(E742="",E742=0)),"",(IF(E742=1,30,IF(E742=2,20,IF(E742=3,10,IF(E742&lt;&gt;"",1,0))))+IF(F742=1,30,IF(F742=2,20,IF(F742=3,10,IF(F742&lt;&gt;"",1,0))))+IF(G742=1,30,IF(G742=2,20,IF(G742=3,10,IF(G742&lt;&gt;"",1,0))))+IF(H742=1,30,IF(H742=2,20,IF(H742=3,10,IF(H742&lt;&gt;"",1,0))))))</f>
        <v/>
      </c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1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>
        <f>IF(AND(C743="",OR(E743="",E743=0)),"",(IF(E743=1,30,IF(E743=2,20,IF(E743=3,10,IF(E743&lt;&gt;"",1,0))))+IF(F743=1,30,IF(F743=2,20,IF(F743=3,10,IF(F743&lt;&gt;"",1,0))))+IF(G743=1,30,IF(G743=2,20,IF(G743=3,10,IF(G743&lt;&gt;"",1,0))))+IF(H743=1,30,IF(H743=2,20,IF(H743=3,10,IF(H743&lt;&gt;"",1,0))))))</f>
        <v/>
      </c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14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>
        <f>IF(AND(C744="",OR(E744="",E744=0)),"",(IF(E744=1,30,IF(E744=2,20,IF(E744=3,10,IF(E744&lt;&gt;"",1,0))))+IF(F744=1,30,IF(F744=2,20,IF(F744=3,10,IF(F744&lt;&gt;"",1,0))))+IF(G744=1,30,IF(G744=2,20,IF(G744=3,10,IF(G744&lt;&gt;"",1,0))))+IF(H744=1,30,IF(H744=2,20,IF(H744=3,10,IF(H744&lt;&gt;"",1,0))))))</f>
        <v/>
      </c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14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>
        <f>IF(AND(C745="",OR(E745="",E745=0)),"",(IF(E745=1,30,IF(E745=2,20,IF(E745=3,10,IF(E745&lt;&gt;"",1,0))))+IF(F745=1,30,IF(F745=2,20,IF(F745=3,10,IF(F745&lt;&gt;"",1,0))))+IF(G745=1,30,IF(G745=2,20,IF(G745=3,10,IF(G745&lt;&gt;"",1,0))))+IF(H745=1,30,IF(H745=2,20,IF(H745=3,10,IF(H745&lt;&gt;"",1,0))))))</f>
        <v/>
      </c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14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>
        <f>IF(AND(C746="",OR(E746="",E746=0)),"",(IF(E746=1,30,IF(E746=2,20,IF(E746=3,10,IF(E746&lt;&gt;"",1,0))))+IF(F746=1,30,IF(F746=2,20,IF(F746=3,10,IF(F746&lt;&gt;"",1,0))))+IF(G746=1,30,IF(G746=2,20,IF(G746=3,10,IF(G746&lt;&gt;"",1,0))))+IF(H746=1,30,IF(H746=2,20,IF(H746=3,10,IF(H746&lt;&gt;"",1,0))))))</f>
        <v/>
      </c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14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>
        <f>IF(AND(C747="",OR(E747="",E747=0)),"",(IF(E747=1,30,IF(E747=2,20,IF(E747=3,10,IF(E747&lt;&gt;"",1,0))))+IF(F747=1,30,IF(F747=2,20,IF(F747=3,10,IF(F747&lt;&gt;"",1,0))))+IF(G747=1,30,IF(G747=2,20,IF(G747=3,10,IF(G747&lt;&gt;"",1,0))))+IF(H747=1,30,IF(H747=2,20,IF(H747=3,10,IF(H747&lt;&gt;"",1,0))))))</f>
        <v/>
      </c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14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>
        <f>IF(AND(C748="",OR(E748="",E748=0)),"",(IF(E748=1,30,IF(E748=2,20,IF(E748=3,10,IF(E748&lt;&gt;"",1,0))))+IF(F748=1,30,IF(F748=2,20,IF(F748=3,10,IF(F748&lt;&gt;"",1,0))))+IF(G748=1,30,IF(G748=2,20,IF(G748=3,10,IF(G748&lt;&gt;"",1,0))))+IF(H748=1,30,IF(H748=2,20,IF(H748=3,10,IF(H748&lt;&gt;"",1,0))))))</f>
        <v/>
      </c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14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>
        <f>IF(AND(C749="",OR(E749="",E749=0)),"",(IF(E749=1,30,IF(E749=2,20,IF(E749=3,10,IF(E749&lt;&gt;"",1,0))))+IF(F749=1,30,IF(F749=2,20,IF(F749=3,10,IF(F749&lt;&gt;"",1,0))))+IF(G749=1,30,IF(G749=2,20,IF(G749=3,10,IF(G749&lt;&gt;"",1,0))))+IF(H749=1,30,IF(H749=2,20,IF(H749=3,10,IF(H749&lt;&gt;"",1,0))))))</f>
        <v/>
      </c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14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>
        <f>IF(AND(C750="",OR(E750="",E750=0)),"",(IF(E750=1,30,IF(E750=2,20,IF(E750=3,10,IF(E750&lt;&gt;"",1,0))))+IF(F750=1,30,IF(F750=2,20,IF(F750=3,10,IF(F750&lt;&gt;"",1,0))))+IF(G750=1,30,IF(G750=2,20,IF(G750=3,10,IF(G750&lt;&gt;"",1,0))))+IF(H750=1,30,IF(H750=2,20,IF(H750=3,10,IF(H750&lt;&gt;"",1,0))))))</f>
        <v/>
      </c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14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>
        <f>IF(AND(C751="",OR(E751="",E751=0)),"",(IF(E751=1,30,IF(E751=2,20,IF(E751=3,10,IF(E751&lt;&gt;"",1,0))))+IF(F751=1,30,IF(F751=2,20,IF(F751=3,10,IF(F751&lt;&gt;"",1,0))))+IF(G751=1,30,IF(G751=2,20,IF(G751=3,10,IF(G751&lt;&gt;"",1,0))))+IF(H751=1,30,IF(H751=2,20,IF(H751=3,10,IF(H751&lt;&gt;"",1,0))))))</f>
        <v/>
      </c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14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>
        <f>IF(AND(C752="",OR(E752="",E752=0)),"",(IF(E752=1,30,IF(E752=2,20,IF(E752=3,10,IF(E752&lt;&gt;"",1,0))))+IF(F752=1,30,IF(F752=2,20,IF(F752=3,10,IF(F752&lt;&gt;"",1,0))))+IF(G752=1,30,IF(G752=2,20,IF(G752=3,10,IF(G752&lt;&gt;"",1,0))))+IF(H752=1,30,IF(H752=2,20,IF(H752=3,10,IF(H752&lt;&gt;"",1,0))))))</f>
        <v/>
      </c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14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>
        <f>IF(AND(C753="",OR(E753="",E753=0)),"",(IF(E753=1,30,IF(E753=2,20,IF(E753=3,10,IF(E753&lt;&gt;"",1,0))))+IF(F753=1,30,IF(F753=2,20,IF(F753=3,10,IF(F753&lt;&gt;"",1,0))))+IF(G753=1,30,IF(G753=2,20,IF(G753=3,10,IF(G753&lt;&gt;"",1,0))))+IF(H753=1,30,IF(H753=2,20,IF(H753=3,10,IF(H753&lt;&gt;"",1,0))))))</f>
        <v/>
      </c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14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>
        <f>IF(AND(C754="",OR(E754="",E754=0)),"",(IF(E754=1,30,IF(E754=2,20,IF(E754=3,10,IF(E754&lt;&gt;"",1,0))))+IF(F754=1,30,IF(F754=2,20,IF(F754=3,10,IF(F754&lt;&gt;"",1,0))))+IF(G754=1,30,IF(G754=2,20,IF(G754=3,10,IF(G754&lt;&gt;"",1,0))))+IF(H754=1,30,IF(H754=2,20,IF(H754=3,10,IF(H754&lt;&gt;"",1,0))))))</f>
        <v/>
      </c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14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>
        <f>IF(AND(C755="",OR(E755="",E755=0)),"",(IF(E755=1,30,IF(E755=2,20,IF(E755=3,10,IF(E755&lt;&gt;"",1,0))))+IF(F755=1,30,IF(F755=2,20,IF(F755=3,10,IF(F755&lt;&gt;"",1,0))))+IF(G755=1,30,IF(G755=2,20,IF(G755=3,10,IF(G755&lt;&gt;"",1,0))))+IF(H755=1,30,IF(H755=2,20,IF(H755=3,10,IF(H755&lt;&gt;"",1,0))))))</f>
        <v/>
      </c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14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>
        <f>IF(AND(C756="",OR(E756="",E756=0)),"",(IF(E756=1,30,IF(E756=2,20,IF(E756=3,10,IF(E756&lt;&gt;"",1,0))))+IF(F756=1,30,IF(F756=2,20,IF(F756=3,10,IF(F756&lt;&gt;"",1,0))))+IF(G756=1,30,IF(G756=2,20,IF(G756=3,10,IF(G756&lt;&gt;"",1,0))))+IF(H756=1,30,IF(H756=2,20,IF(H756=3,10,IF(H756&lt;&gt;"",1,0))))))</f>
        <v/>
      </c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14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>
        <f>IF(AND(C757="",OR(E757="",E757=0)),"",(IF(E757=1,30,IF(E757=2,20,IF(E757=3,10,IF(E757&lt;&gt;"",1,0))))+IF(F757=1,30,IF(F757=2,20,IF(F757=3,10,IF(F757&lt;&gt;"",1,0))))+IF(G757=1,30,IF(G757=2,20,IF(G757=3,10,IF(G757&lt;&gt;"",1,0))))+IF(H757=1,30,IF(H757=2,20,IF(H757=3,10,IF(H757&lt;&gt;"",1,0))))))</f>
        <v/>
      </c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14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>
        <f>IF(AND(C758="",OR(E758="",E758=0)),"",(IF(E758=1,30,IF(E758=2,20,IF(E758=3,10,IF(E758&lt;&gt;"",1,0))))+IF(F758=1,30,IF(F758=2,20,IF(F758=3,10,IF(F758&lt;&gt;"",1,0))))+IF(G758=1,30,IF(G758=2,20,IF(G758=3,10,IF(G758&lt;&gt;"",1,0))))+IF(H758=1,30,IF(H758=2,20,IF(H758=3,10,IF(H758&lt;&gt;"",1,0))))))</f>
        <v/>
      </c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14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>
        <f>IF(AND(C759="",OR(E759="",E759=0)),"",(IF(E759=1,30,IF(E759=2,20,IF(E759=3,10,IF(E759&lt;&gt;"",1,0))))+IF(F759=1,30,IF(F759=2,20,IF(F759=3,10,IF(F759&lt;&gt;"",1,0))))+IF(G759=1,30,IF(G759=2,20,IF(G759=3,10,IF(G759&lt;&gt;"",1,0))))+IF(H759=1,30,IF(H759=2,20,IF(H759=3,10,IF(H759&lt;&gt;"",1,0))))))</f>
        <v/>
      </c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14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>
        <f>IF(AND(C760="",OR(E760="",E760=0)),"",(IF(E760=1,30,IF(E760=2,20,IF(E760=3,10,IF(E760&lt;&gt;"",1,0))))+IF(F760=1,30,IF(F760=2,20,IF(F760=3,10,IF(F760&lt;&gt;"",1,0))))+IF(G760=1,30,IF(G760=2,20,IF(G760=3,10,IF(G760&lt;&gt;"",1,0))))+IF(H760=1,30,IF(H760=2,20,IF(H760=3,10,IF(H760&lt;&gt;"",1,0))))))</f>
        <v/>
      </c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14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>
        <f>IF(AND(C761="",OR(E761="",E761=0)),"",(IF(E761=1,30,IF(E761=2,20,IF(E761=3,10,IF(E761&lt;&gt;"",1,0))))+IF(F761=1,30,IF(F761=2,20,IF(F761=3,10,IF(F761&lt;&gt;"",1,0))))+IF(G761=1,30,IF(G761=2,20,IF(G761=3,10,IF(G761&lt;&gt;"",1,0))))+IF(H761=1,30,IF(H761=2,20,IF(H761=3,10,IF(H761&lt;&gt;"",1,0))))))</f>
        <v/>
      </c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14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>
        <f>IF(AND(C762="",OR(E762="",E762=0)),"",(IF(E762=1,30,IF(E762=2,20,IF(E762=3,10,IF(E762&lt;&gt;"",1,0))))+IF(F762=1,30,IF(F762=2,20,IF(F762=3,10,IF(F762&lt;&gt;"",1,0))))+IF(G762=1,30,IF(G762=2,20,IF(G762=3,10,IF(G762&lt;&gt;"",1,0))))+IF(H762=1,30,IF(H762=2,20,IF(H762=3,10,IF(H762&lt;&gt;"",1,0))))))</f>
        <v/>
      </c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14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>
        <f>IF(AND(C763="",OR(E763="",E763=0)),"",(IF(E763=1,30,IF(E763=2,20,IF(E763=3,10,IF(E763&lt;&gt;"",1,0))))+IF(F763=1,30,IF(F763=2,20,IF(F763=3,10,IF(F763&lt;&gt;"",1,0))))+IF(G763=1,30,IF(G763=2,20,IF(G763=3,10,IF(G763&lt;&gt;"",1,0))))+IF(H763=1,30,IF(H763=2,20,IF(H763=3,10,IF(H763&lt;&gt;"",1,0))))))</f>
        <v/>
      </c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14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>
        <f>IF(AND(C764="",OR(E764="",E764=0)),"",(IF(E764=1,30,IF(E764=2,20,IF(E764=3,10,IF(E764&lt;&gt;"",1,0))))+IF(F764=1,30,IF(F764=2,20,IF(F764=3,10,IF(F764&lt;&gt;"",1,0))))+IF(G764=1,30,IF(G764=2,20,IF(G764=3,10,IF(G764&lt;&gt;"",1,0))))+IF(H764=1,30,IF(H764=2,20,IF(H764=3,10,IF(H764&lt;&gt;"",1,0))))))</f>
        <v/>
      </c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14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>
        <f>IF(AND(C765="",OR(E765="",E765=0)),"",(IF(E765=1,30,IF(E765=2,20,IF(E765=3,10,IF(E765&lt;&gt;"",1,0))))+IF(F765=1,30,IF(F765=2,20,IF(F765=3,10,IF(F765&lt;&gt;"",1,0))))+IF(G765=1,30,IF(G765=2,20,IF(G765=3,10,IF(G765&lt;&gt;"",1,0))))+IF(H765=1,30,IF(H765=2,20,IF(H765=3,10,IF(H765&lt;&gt;"",1,0))))))</f>
        <v/>
      </c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14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>
        <f>IF(AND(C766="",OR(E766="",E766=0)),"",(IF(E766=1,30,IF(E766=2,20,IF(E766=3,10,IF(E766&lt;&gt;"",1,0))))+IF(F766=1,30,IF(F766=2,20,IF(F766=3,10,IF(F766&lt;&gt;"",1,0))))+IF(G766=1,30,IF(G766=2,20,IF(G766=3,10,IF(G766&lt;&gt;"",1,0))))+IF(H766=1,30,IF(H766=2,20,IF(H766=3,10,IF(H766&lt;&gt;"",1,0))))))</f>
        <v/>
      </c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14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>
        <f>IF(AND(C767="",OR(E767="",E767=0)),"",(IF(E767=1,30,IF(E767=2,20,IF(E767=3,10,IF(E767&lt;&gt;"",1,0))))+IF(F767=1,30,IF(F767=2,20,IF(F767=3,10,IF(F767&lt;&gt;"",1,0))))+IF(G767=1,30,IF(G767=2,20,IF(G767=3,10,IF(G767&lt;&gt;"",1,0))))+IF(H767=1,30,IF(H767=2,20,IF(H767=3,10,IF(H767&lt;&gt;"",1,0))))))</f>
        <v/>
      </c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14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>
        <f>IF(AND(C768="",OR(E768="",E768=0)),"",(IF(E768=1,30,IF(E768=2,20,IF(E768=3,10,IF(E768&lt;&gt;"",1,0))))+IF(F768=1,30,IF(F768=2,20,IF(F768=3,10,IF(F768&lt;&gt;"",1,0))))+IF(G768=1,30,IF(G768=2,20,IF(G768=3,10,IF(G768&lt;&gt;"",1,0))))+IF(H768=1,30,IF(H768=2,20,IF(H768=3,10,IF(H768&lt;&gt;"",1,0))))))</f>
        <v/>
      </c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14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>
        <f>IF(AND(C769="",OR(E769="",E769=0)),"",(IF(E769=1,30,IF(E769=2,20,IF(E769=3,10,IF(E769&lt;&gt;"",1,0))))+IF(F769=1,30,IF(F769=2,20,IF(F769=3,10,IF(F769&lt;&gt;"",1,0))))+IF(G769=1,30,IF(G769=2,20,IF(G769=3,10,IF(G769&lt;&gt;"",1,0))))+IF(H769=1,30,IF(H769=2,20,IF(H769=3,10,IF(H769&lt;&gt;"",1,0))))))</f>
        <v/>
      </c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14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>
        <f>IF(AND(C770="",OR(E770="",E770=0)),"",(IF(E770=1,30,IF(E770=2,20,IF(E770=3,10,IF(E770&lt;&gt;"",1,0))))+IF(F770=1,30,IF(F770=2,20,IF(F770=3,10,IF(F770&lt;&gt;"",1,0))))+IF(G770=1,30,IF(G770=2,20,IF(G770=3,10,IF(G770&lt;&gt;"",1,0))))+IF(H770=1,30,IF(H770=2,20,IF(H770=3,10,IF(H770&lt;&gt;"",1,0))))))</f>
        <v/>
      </c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14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>
        <f>IF(AND(C771="",OR(E771="",E771=0)),"",(IF(E771=1,30,IF(E771=2,20,IF(E771=3,10,IF(E771&lt;&gt;"",1,0))))+IF(F771=1,30,IF(F771=2,20,IF(F771=3,10,IF(F771&lt;&gt;"",1,0))))+IF(G771=1,30,IF(G771=2,20,IF(G771=3,10,IF(G771&lt;&gt;"",1,0))))+IF(H771=1,30,IF(H771=2,20,IF(H771=3,10,IF(H771&lt;&gt;"",1,0))))))</f>
        <v/>
      </c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14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>
        <f>IF(AND(C772="",OR(E772="",E772=0)),"",(IF(E772=1,30,IF(E772=2,20,IF(E772=3,10,IF(E772&lt;&gt;"",1,0))))+IF(F772=1,30,IF(F772=2,20,IF(F772=3,10,IF(F772&lt;&gt;"",1,0))))+IF(G772=1,30,IF(G772=2,20,IF(G772=3,10,IF(G772&lt;&gt;"",1,0))))+IF(H772=1,30,IF(H772=2,20,IF(H772=3,10,IF(H772&lt;&gt;"",1,0))))))</f>
        <v/>
      </c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14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>
        <f>IF(AND(C773="",OR(E773="",E773=0)),"",(IF(E773=1,30,IF(E773=2,20,IF(E773=3,10,IF(E773&lt;&gt;"",1,0))))+IF(F773=1,30,IF(F773=2,20,IF(F773=3,10,IF(F773&lt;&gt;"",1,0))))+IF(G773=1,30,IF(G773=2,20,IF(G773=3,10,IF(G773&lt;&gt;"",1,0))))+IF(H773=1,30,IF(H773=2,20,IF(H773=3,10,IF(H773&lt;&gt;"",1,0))))))</f>
        <v/>
      </c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14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>
        <f>IF(AND(C774="",OR(E774="",E774=0)),"",(IF(E774=1,30,IF(E774=2,20,IF(E774=3,10,IF(E774&lt;&gt;"",1,0))))+IF(F774=1,30,IF(F774=2,20,IF(F774=3,10,IF(F774&lt;&gt;"",1,0))))+IF(G774=1,30,IF(G774=2,20,IF(G774=3,10,IF(G774&lt;&gt;"",1,0))))+IF(H774=1,30,IF(H774=2,20,IF(H774=3,10,IF(H774&lt;&gt;"",1,0))))))</f>
        <v/>
      </c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14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>
        <f>IF(AND(C775="",OR(E775="",E775=0)),"",(IF(E775=1,30,IF(E775=2,20,IF(E775=3,10,IF(E775&lt;&gt;"",1,0))))+IF(F775=1,30,IF(F775=2,20,IF(F775=3,10,IF(F775&lt;&gt;"",1,0))))+IF(G775=1,30,IF(G775=2,20,IF(G775=3,10,IF(G775&lt;&gt;"",1,0))))+IF(H775=1,30,IF(H775=2,20,IF(H775=3,10,IF(H775&lt;&gt;"",1,0))))))</f>
        <v/>
      </c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14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>
        <f>IF(AND(C776="",OR(E776="",E776=0)),"",(IF(E776=1,30,IF(E776=2,20,IF(E776=3,10,IF(E776&lt;&gt;"",1,0))))+IF(F776=1,30,IF(F776=2,20,IF(F776=3,10,IF(F776&lt;&gt;"",1,0))))+IF(G776=1,30,IF(G776=2,20,IF(G776=3,10,IF(G776&lt;&gt;"",1,0))))+IF(H776=1,30,IF(H776=2,20,IF(H776=3,10,IF(H776&lt;&gt;"",1,0))))))</f>
        <v/>
      </c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14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>
        <f>IF(AND(C777="",OR(E777="",E777=0)),"",(IF(E777=1,30,IF(E777=2,20,IF(E777=3,10,IF(E777&lt;&gt;"",1,0))))+IF(F777=1,30,IF(F777=2,20,IF(F777=3,10,IF(F777&lt;&gt;"",1,0))))+IF(G777=1,30,IF(G777=2,20,IF(G777=3,10,IF(G777&lt;&gt;"",1,0))))+IF(H777=1,30,IF(H777=2,20,IF(H777=3,10,IF(H777&lt;&gt;"",1,0))))))</f>
        <v/>
      </c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14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>
        <f>IF(AND(C778="",OR(E778="",E778=0)),"",(IF(E778=1,30,IF(E778=2,20,IF(E778=3,10,IF(E778&lt;&gt;"",1,0))))+IF(F778=1,30,IF(F778=2,20,IF(F778=3,10,IF(F778&lt;&gt;"",1,0))))+IF(G778=1,30,IF(G778=2,20,IF(G778=3,10,IF(G778&lt;&gt;"",1,0))))+IF(H778=1,30,IF(H778=2,20,IF(H778=3,10,IF(H778&lt;&gt;"",1,0))))))</f>
        <v/>
      </c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14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>
        <f>IF(AND(C779="",OR(E779="",E779=0)),"",(IF(E779=1,30,IF(E779=2,20,IF(E779=3,10,IF(E779&lt;&gt;"",1,0))))+IF(F779=1,30,IF(F779=2,20,IF(F779=3,10,IF(F779&lt;&gt;"",1,0))))+IF(G779=1,30,IF(G779=2,20,IF(G779=3,10,IF(G779&lt;&gt;"",1,0))))+IF(H779=1,30,IF(H779=2,20,IF(H779=3,10,IF(H779&lt;&gt;"",1,0))))))</f>
        <v/>
      </c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14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>
        <f>IF(AND(C780="",OR(E780="",E780=0)),"",(IF(E780=1,30,IF(E780=2,20,IF(E780=3,10,IF(E780&lt;&gt;"",1,0))))+IF(F780=1,30,IF(F780=2,20,IF(F780=3,10,IF(F780&lt;&gt;"",1,0))))+IF(G780=1,30,IF(G780=2,20,IF(G780=3,10,IF(G780&lt;&gt;"",1,0))))+IF(H780=1,30,IF(H780=2,20,IF(H780=3,10,IF(H780&lt;&gt;"",1,0))))))</f>
        <v/>
      </c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14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>
        <f>IF(AND(C781="",OR(E781="",E781=0)),"",(IF(E781=1,30,IF(E781=2,20,IF(E781=3,10,IF(E781&lt;&gt;"",1,0))))+IF(F781=1,30,IF(F781=2,20,IF(F781=3,10,IF(F781&lt;&gt;"",1,0))))+IF(G781=1,30,IF(G781=2,20,IF(G781=3,10,IF(G781&lt;&gt;"",1,0))))+IF(H781=1,30,IF(H781=2,20,IF(H781=3,10,IF(H781&lt;&gt;"",1,0))))))</f>
        <v/>
      </c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14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>
        <f>IF(AND(C782="",OR(E782="",E782=0)),"",(IF(E782=1,30,IF(E782=2,20,IF(E782=3,10,IF(E782&lt;&gt;"",1,0))))+IF(F782=1,30,IF(F782=2,20,IF(F782=3,10,IF(F782&lt;&gt;"",1,0))))+IF(G782=1,30,IF(G782=2,20,IF(G782=3,10,IF(G782&lt;&gt;"",1,0))))+IF(H782=1,30,IF(H782=2,20,IF(H782=3,10,IF(H782&lt;&gt;"",1,0))))))</f>
        <v/>
      </c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14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>
        <f>IF(AND(C783="",OR(E783="",E783=0)),"",(IF(E783=1,30,IF(E783=2,20,IF(E783=3,10,IF(E783&lt;&gt;"",1,0))))+IF(F783=1,30,IF(F783=2,20,IF(F783=3,10,IF(F783&lt;&gt;"",1,0))))+IF(G783=1,30,IF(G783=2,20,IF(G783=3,10,IF(G783&lt;&gt;"",1,0))))+IF(H783=1,30,IF(H783=2,20,IF(H783=3,10,IF(H783&lt;&gt;"",1,0))))))</f>
        <v/>
      </c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14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>
        <f>IF(AND(C784="",OR(E784="",E784=0)),"",(IF(E784=1,30,IF(E784=2,20,IF(E784=3,10,IF(E784&lt;&gt;"",1,0))))+IF(F784=1,30,IF(F784=2,20,IF(F784=3,10,IF(F784&lt;&gt;"",1,0))))+IF(G784=1,30,IF(G784=2,20,IF(G784=3,10,IF(G784&lt;&gt;"",1,0))))+IF(H784=1,30,IF(H784=2,20,IF(H784=3,10,IF(H784&lt;&gt;"",1,0))))))</f>
        <v/>
      </c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14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>
        <f>IF(AND(C785="",OR(E785="",E785=0)),"",(IF(E785=1,30,IF(E785=2,20,IF(E785=3,10,IF(E785&lt;&gt;"",1,0))))+IF(F785=1,30,IF(F785=2,20,IF(F785=3,10,IF(F785&lt;&gt;"",1,0))))+IF(G785=1,30,IF(G785=2,20,IF(G785=3,10,IF(G785&lt;&gt;"",1,0))))+IF(H785=1,30,IF(H785=2,20,IF(H785=3,10,IF(H785&lt;&gt;"",1,0))))))</f>
        <v/>
      </c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14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>
        <f>IF(AND(C786="",OR(E786="",E786=0)),"",(IF(E786=1,30,IF(E786=2,20,IF(E786=3,10,IF(E786&lt;&gt;"",1,0))))+IF(F786=1,30,IF(F786=2,20,IF(F786=3,10,IF(F786&lt;&gt;"",1,0))))+IF(G786=1,30,IF(G786=2,20,IF(G786=3,10,IF(G786&lt;&gt;"",1,0))))+IF(H786=1,30,IF(H786=2,20,IF(H786=3,10,IF(H786&lt;&gt;"",1,0))))))</f>
        <v/>
      </c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14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>
        <f>IF(AND(C787="",OR(E787="",E787=0)),"",(IF(E787=1,30,IF(E787=2,20,IF(E787=3,10,IF(E787&lt;&gt;"",1,0))))+IF(F787=1,30,IF(F787=2,20,IF(F787=3,10,IF(F787&lt;&gt;"",1,0))))+IF(G787=1,30,IF(G787=2,20,IF(G787=3,10,IF(G787&lt;&gt;"",1,0))))+IF(H787=1,30,IF(H787=2,20,IF(H787=3,10,IF(H787&lt;&gt;"",1,0))))))</f>
        <v/>
      </c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14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>
        <f>IF(AND(C788="",OR(E788="",E788=0)),"",(IF(E788=1,30,IF(E788=2,20,IF(E788=3,10,IF(E788&lt;&gt;"",1,0))))+IF(F788=1,30,IF(F788=2,20,IF(F788=3,10,IF(F788&lt;&gt;"",1,0))))+IF(G788=1,30,IF(G788=2,20,IF(G788=3,10,IF(G788&lt;&gt;"",1,0))))+IF(H788=1,30,IF(H788=2,20,IF(H788=3,10,IF(H788&lt;&gt;"",1,0))))))</f>
        <v/>
      </c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14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>
        <f>IF(AND(C789="",OR(E789="",E789=0)),"",(IF(E789=1,30,IF(E789=2,20,IF(E789=3,10,IF(E789&lt;&gt;"",1,0))))+IF(F789=1,30,IF(F789=2,20,IF(F789=3,10,IF(F789&lt;&gt;"",1,0))))+IF(G789=1,30,IF(G789=2,20,IF(G789=3,10,IF(G789&lt;&gt;"",1,0))))+IF(H789=1,30,IF(H789=2,20,IF(H789=3,10,IF(H789&lt;&gt;"",1,0))))))</f>
        <v/>
      </c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14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>
        <f>IF(AND(C790="",OR(E790="",E790=0)),"",(IF(E790=1,30,IF(E790=2,20,IF(E790=3,10,IF(E790&lt;&gt;"",1,0))))+IF(F790=1,30,IF(F790=2,20,IF(F790=3,10,IF(F790&lt;&gt;"",1,0))))+IF(G790=1,30,IF(G790=2,20,IF(G790=3,10,IF(G790&lt;&gt;"",1,0))))+IF(H790=1,30,IF(H790=2,20,IF(H790=3,10,IF(H790&lt;&gt;"",1,0))))))</f>
        <v/>
      </c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14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>
        <f>IF(AND(C791="",OR(E791="",E791=0)),"",(IF(E791=1,30,IF(E791=2,20,IF(E791=3,10,IF(E791&lt;&gt;"",1,0))))+IF(F791=1,30,IF(F791=2,20,IF(F791=3,10,IF(F791&lt;&gt;"",1,0))))+IF(G791=1,30,IF(G791=2,20,IF(G791=3,10,IF(G791&lt;&gt;"",1,0))))+IF(H791=1,30,IF(H791=2,20,IF(H791=3,10,IF(H791&lt;&gt;"",1,0))))))</f>
        <v/>
      </c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14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>
        <f>IF(AND(C792="",OR(E792="",E792=0)),"",(IF(E792=1,30,IF(E792=2,20,IF(E792=3,10,IF(E792&lt;&gt;"",1,0))))+IF(F792=1,30,IF(F792=2,20,IF(F792=3,10,IF(F792&lt;&gt;"",1,0))))+IF(G792=1,30,IF(G792=2,20,IF(G792=3,10,IF(G792&lt;&gt;"",1,0))))+IF(H792=1,30,IF(H792=2,20,IF(H792=3,10,IF(H792&lt;&gt;"",1,0))))))</f>
        <v/>
      </c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14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>
        <f>IF(AND(C793="",OR(E793="",E793=0)),"",(IF(E793=1,30,IF(E793=2,20,IF(E793=3,10,IF(E793&lt;&gt;"",1,0))))+IF(F793=1,30,IF(F793=2,20,IF(F793=3,10,IF(F793&lt;&gt;"",1,0))))+IF(G793=1,30,IF(G793=2,20,IF(G793=3,10,IF(G793&lt;&gt;"",1,0))))+IF(H793=1,30,IF(H793=2,20,IF(H793=3,10,IF(H793&lt;&gt;"",1,0))))))</f>
        <v/>
      </c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14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>
        <f>IF(AND(C794="",OR(E794="",E794=0)),"",(IF(E794=1,30,IF(E794=2,20,IF(E794=3,10,IF(E794&lt;&gt;"",1,0))))+IF(F794=1,30,IF(F794=2,20,IF(F794=3,10,IF(F794&lt;&gt;"",1,0))))+IF(G794=1,30,IF(G794=2,20,IF(G794=3,10,IF(G794&lt;&gt;"",1,0))))+IF(H794=1,30,IF(H794=2,20,IF(H794=3,10,IF(H794&lt;&gt;"",1,0))))))</f>
        <v/>
      </c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14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>
        <f>IF(AND(C795="",OR(E795="",E795=0)),"",(IF(E795=1,30,IF(E795=2,20,IF(E795=3,10,IF(E795&lt;&gt;"",1,0))))+IF(F795=1,30,IF(F795=2,20,IF(F795=3,10,IF(F795&lt;&gt;"",1,0))))+IF(G795=1,30,IF(G795=2,20,IF(G795=3,10,IF(G795&lt;&gt;"",1,0))))+IF(H795=1,30,IF(H795=2,20,IF(H795=3,10,IF(H795&lt;&gt;"",1,0))))))</f>
        <v/>
      </c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14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>
        <f>IF(AND(C796="",OR(E796="",E796=0)),"",(IF(E796=1,30,IF(E796=2,20,IF(E796=3,10,IF(E796&lt;&gt;"",1,0))))+IF(F796=1,30,IF(F796=2,20,IF(F796=3,10,IF(F796&lt;&gt;"",1,0))))+IF(G796=1,30,IF(G796=2,20,IF(G796=3,10,IF(G796&lt;&gt;"",1,0))))+IF(H796=1,30,IF(H796=2,20,IF(H796=3,10,IF(H796&lt;&gt;"",1,0))))))</f>
        <v/>
      </c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14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>
        <f>IF(AND(C797="",OR(E797="",E797=0)),"",(IF(E797=1,30,IF(E797=2,20,IF(E797=3,10,IF(E797&lt;&gt;"",1,0))))+IF(F797=1,30,IF(F797=2,20,IF(F797=3,10,IF(F797&lt;&gt;"",1,0))))+IF(G797=1,30,IF(G797=2,20,IF(G797=3,10,IF(G797&lt;&gt;"",1,0))))+IF(H797=1,30,IF(H797=2,20,IF(H797=3,10,IF(H797&lt;&gt;"",1,0))))))</f>
        <v/>
      </c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14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>
        <f>IF(AND(C798="",OR(E798="",E798=0)),"",(IF(E798=1,30,IF(E798=2,20,IF(E798=3,10,IF(E798&lt;&gt;"",1,0))))+IF(F798=1,30,IF(F798=2,20,IF(F798=3,10,IF(F798&lt;&gt;"",1,0))))+IF(G798=1,30,IF(G798=2,20,IF(G798=3,10,IF(G798&lt;&gt;"",1,0))))+IF(H798=1,30,IF(H798=2,20,IF(H798=3,10,IF(H798&lt;&gt;"",1,0))))))</f>
        <v/>
      </c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14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>
        <f>IF(AND(C799="",OR(E799="",E799=0)),"",(IF(E799=1,30,IF(E799=2,20,IF(E799=3,10,IF(E799&lt;&gt;"",1,0))))+IF(F799=1,30,IF(F799=2,20,IF(F799=3,10,IF(F799&lt;&gt;"",1,0))))+IF(G799=1,30,IF(G799=2,20,IF(G799=3,10,IF(G799&lt;&gt;"",1,0))))+IF(H799=1,30,IF(H799=2,20,IF(H799=3,10,IF(H799&lt;&gt;"",1,0))))))</f>
        <v/>
      </c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14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>
        <f>IF(AND(C800="",OR(E800="",E800=0)),"",(IF(E800=1,30,IF(E800=2,20,IF(E800=3,10,IF(E800&lt;&gt;"",1,0))))+IF(F800=1,30,IF(F800=2,20,IF(F800=3,10,IF(F800&lt;&gt;"",1,0))))+IF(G800=1,30,IF(G800=2,20,IF(G800=3,10,IF(G800&lt;&gt;"",1,0))))+IF(H800=1,30,IF(H800=2,20,IF(H800=3,10,IF(H800&lt;&gt;"",1,0))))))</f>
        <v/>
      </c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14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>
        <f>IF(AND(C801="",OR(E801="",E801=0)),"",(IF(E801=1,30,IF(E801=2,20,IF(E801=3,10,IF(E801&lt;&gt;"",1,0))))+IF(F801=1,30,IF(F801=2,20,IF(F801=3,10,IF(F801&lt;&gt;"",1,0))))+IF(G801=1,30,IF(G801=2,20,IF(G801=3,10,IF(G801&lt;&gt;"",1,0))))+IF(H801=1,30,IF(H801=2,20,IF(H801=3,10,IF(H801&lt;&gt;"",1,0))))))</f>
        <v/>
      </c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14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>
        <f>IF(AND(C802="",OR(E802="",E802=0)),"",(IF(E802=1,30,IF(E802=2,20,IF(E802=3,10,IF(E802&lt;&gt;"",1,0))))+IF(F802=1,30,IF(F802=2,20,IF(F802=3,10,IF(F802&lt;&gt;"",1,0))))+IF(G802=1,30,IF(G802=2,20,IF(G802=3,10,IF(G802&lt;&gt;"",1,0))))+IF(H802=1,30,IF(H802=2,20,IF(H802=3,10,IF(H802&lt;&gt;"",1,0))))))</f>
        <v/>
      </c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14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>
        <f>IF(AND(C803="",OR(E803="",E803=0)),"",(IF(E803=1,30,IF(E803=2,20,IF(E803=3,10,IF(E803&lt;&gt;"",1,0))))+IF(F803=1,30,IF(F803=2,20,IF(F803=3,10,IF(F803&lt;&gt;"",1,0))))+IF(G803=1,30,IF(G803=2,20,IF(G803=3,10,IF(G803&lt;&gt;"",1,0))))+IF(H803=1,30,IF(H803=2,20,IF(H803=3,10,IF(H803&lt;&gt;"",1,0))))))</f>
        <v/>
      </c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14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>
        <f>IF(AND(C804="",OR(E804="",E804=0)),"",(IF(E804=1,30,IF(E804=2,20,IF(E804=3,10,IF(E804&lt;&gt;"",1,0))))+IF(F804=1,30,IF(F804=2,20,IF(F804=3,10,IF(F804&lt;&gt;"",1,0))))+IF(G804=1,30,IF(G804=2,20,IF(G804=3,10,IF(G804&lt;&gt;"",1,0))))+IF(H804=1,30,IF(H804=2,20,IF(H804=3,10,IF(H804&lt;&gt;"",1,0))))))</f>
        <v/>
      </c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14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>
        <f>IF(AND(C805="",OR(E805="",E805=0)),"",(IF(E805=1,30,IF(E805=2,20,IF(E805=3,10,IF(E805&lt;&gt;"",1,0))))+IF(F805=1,30,IF(F805=2,20,IF(F805=3,10,IF(F805&lt;&gt;"",1,0))))+IF(G805=1,30,IF(G805=2,20,IF(G805=3,10,IF(G805&lt;&gt;"",1,0))))+IF(H805=1,30,IF(H805=2,20,IF(H805=3,10,IF(H805&lt;&gt;"",1,0))))))</f>
        <v/>
      </c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14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>
        <f>IF(AND(C806="",OR(E806="",E806=0)),"",(IF(E806=1,30,IF(E806=2,20,IF(E806=3,10,IF(E806&lt;&gt;"",1,0))))+IF(F806=1,30,IF(F806=2,20,IF(F806=3,10,IF(F806&lt;&gt;"",1,0))))+IF(G806=1,30,IF(G806=2,20,IF(G806=3,10,IF(G806&lt;&gt;"",1,0))))+IF(H806=1,30,IF(H806=2,20,IF(H806=3,10,IF(H806&lt;&gt;"",1,0))))))</f>
        <v/>
      </c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14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>
        <f>IF(AND(C807="",OR(E807="",E807=0)),"",(IF(E807=1,30,IF(E807=2,20,IF(E807=3,10,IF(E807&lt;&gt;"",1,0))))+IF(F807=1,30,IF(F807=2,20,IF(F807=3,10,IF(F807&lt;&gt;"",1,0))))+IF(G807=1,30,IF(G807=2,20,IF(G807=3,10,IF(G807&lt;&gt;"",1,0))))+IF(H807=1,30,IF(H807=2,20,IF(H807=3,10,IF(H807&lt;&gt;"",1,0))))))</f>
        <v/>
      </c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14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>
        <f>IF(AND(C808="",OR(E808="",E808=0)),"",(IF(E808=1,30,IF(E808=2,20,IF(E808=3,10,IF(E808&lt;&gt;"",1,0))))+IF(F808=1,30,IF(F808=2,20,IF(F808=3,10,IF(F808&lt;&gt;"",1,0))))+IF(G808=1,30,IF(G808=2,20,IF(G808=3,10,IF(G808&lt;&gt;"",1,0))))+IF(H808=1,30,IF(H808=2,20,IF(H808=3,10,IF(H808&lt;&gt;"",1,0))))))</f>
        <v/>
      </c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14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>
        <f>IF(AND(C809="",OR(E809="",E809=0)),"",(IF(E809=1,30,IF(E809=2,20,IF(E809=3,10,IF(E809&lt;&gt;"",1,0))))+IF(F809=1,30,IF(F809=2,20,IF(F809=3,10,IF(F809&lt;&gt;"",1,0))))+IF(G809=1,30,IF(G809=2,20,IF(G809=3,10,IF(G809&lt;&gt;"",1,0))))+IF(H809=1,30,IF(H809=2,20,IF(H809=3,10,IF(H809&lt;&gt;"",1,0))))))</f>
        <v/>
      </c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14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>
        <f>IF(AND(C810="",OR(E810="",E810=0)),"",(IF(E810=1,30,IF(E810=2,20,IF(E810=3,10,IF(E810&lt;&gt;"",1,0))))+IF(F810=1,30,IF(F810=2,20,IF(F810=3,10,IF(F810&lt;&gt;"",1,0))))+IF(G810=1,30,IF(G810=2,20,IF(G810=3,10,IF(G810&lt;&gt;"",1,0))))+IF(H810=1,30,IF(H810=2,20,IF(H810=3,10,IF(H810&lt;&gt;"",1,0))))))</f>
        <v/>
      </c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14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>
        <f>IF(AND(C811="",OR(E811="",E811=0)),"",(IF(E811=1,30,IF(E811=2,20,IF(E811=3,10,IF(E811&lt;&gt;"",1,0))))+IF(F811=1,30,IF(F811=2,20,IF(F811=3,10,IF(F811&lt;&gt;"",1,0))))+IF(G811=1,30,IF(G811=2,20,IF(G811=3,10,IF(G811&lt;&gt;"",1,0))))+IF(H811=1,30,IF(H811=2,20,IF(H811=3,10,IF(H811&lt;&gt;"",1,0))))))</f>
        <v/>
      </c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14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>
        <f>IF(AND(C812="",OR(E812="",E812=0)),"",(IF(E812=1,30,IF(E812=2,20,IF(E812=3,10,IF(E812&lt;&gt;"",1,0))))+IF(F812=1,30,IF(F812=2,20,IF(F812=3,10,IF(F812&lt;&gt;"",1,0))))+IF(G812=1,30,IF(G812=2,20,IF(G812=3,10,IF(G812&lt;&gt;"",1,0))))+IF(H812=1,30,IF(H812=2,20,IF(H812=3,10,IF(H812&lt;&gt;"",1,0))))))</f>
        <v/>
      </c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14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>
        <f>IF(AND(C813="",OR(E813="",E813=0)),"",(IF(E813=1,30,IF(E813=2,20,IF(E813=3,10,IF(E813&lt;&gt;"",1,0))))+IF(F813=1,30,IF(F813=2,20,IF(F813=3,10,IF(F813&lt;&gt;"",1,0))))+IF(G813=1,30,IF(G813=2,20,IF(G813=3,10,IF(G813&lt;&gt;"",1,0))))+IF(H813=1,30,IF(H813=2,20,IF(H813=3,10,IF(H813&lt;&gt;"",1,0))))))</f>
        <v/>
      </c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14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>
        <f>IF(AND(C814="",OR(E814="",E814=0)),"",(IF(E814=1,30,IF(E814=2,20,IF(E814=3,10,IF(E814&lt;&gt;"",1,0))))+IF(F814=1,30,IF(F814=2,20,IF(F814=3,10,IF(F814&lt;&gt;"",1,0))))+IF(G814=1,30,IF(G814=2,20,IF(G814=3,10,IF(G814&lt;&gt;"",1,0))))+IF(H814=1,30,IF(H814=2,20,IF(H814=3,10,IF(H814&lt;&gt;"",1,0))))))</f>
        <v/>
      </c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14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>
        <f>IF(AND(C815="",OR(E815="",E815=0)),"",(IF(E815=1,30,IF(E815=2,20,IF(E815=3,10,IF(E815&lt;&gt;"",1,0))))+IF(F815=1,30,IF(F815=2,20,IF(F815=3,10,IF(F815&lt;&gt;"",1,0))))+IF(G815=1,30,IF(G815=2,20,IF(G815=3,10,IF(G815&lt;&gt;"",1,0))))+IF(H815=1,30,IF(H815=2,20,IF(H815=3,10,IF(H815&lt;&gt;"",1,0))))))</f>
        <v/>
      </c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14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>
        <f>IF(AND(C816="",OR(E816="",E816=0)),"",(IF(E816=1,30,IF(E816=2,20,IF(E816=3,10,IF(E816&lt;&gt;"",1,0))))+IF(F816=1,30,IF(F816=2,20,IF(F816=3,10,IF(F816&lt;&gt;"",1,0))))+IF(G816=1,30,IF(G816=2,20,IF(G816=3,10,IF(G816&lt;&gt;"",1,0))))+IF(H816=1,30,IF(H816=2,20,IF(H816=3,10,IF(H816&lt;&gt;"",1,0))))))</f>
        <v/>
      </c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14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>
        <f>IF(AND(C817="",OR(E817="",E817=0)),"",(IF(E817=1,30,IF(E817=2,20,IF(E817=3,10,IF(E817&lt;&gt;"",1,0))))+IF(F817=1,30,IF(F817=2,20,IF(F817=3,10,IF(F817&lt;&gt;"",1,0))))+IF(G817=1,30,IF(G817=2,20,IF(G817=3,10,IF(G817&lt;&gt;"",1,0))))+IF(H817=1,30,IF(H817=2,20,IF(H817=3,10,IF(H817&lt;&gt;"",1,0))))))</f>
        <v/>
      </c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14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>
        <f>IF(AND(C818="",OR(E818="",E818=0)),"",(IF(E818=1,30,IF(E818=2,20,IF(E818=3,10,IF(E818&lt;&gt;"",1,0))))+IF(F818=1,30,IF(F818=2,20,IF(F818=3,10,IF(F818&lt;&gt;"",1,0))))+IF(G818=1,30,IF(G818=2,20,IF(G818=3,10,IF(G818&lt;&gt;"",1,0))))+IF(H818=1,30,IF(H818=2,20,IF(H818=3,10,IF(H818&lt;&gt;"",1,0))))))</f>
        <v/>
      </c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14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>
        <f>IF(AND(C819="",OR(E819="",E819=0)),"",(IF(E819=1,30,IF(E819=2,20,IF(E819=3,10,IF(E819&lt;&gt;"",1,0))))+IF(F819=1,30,IF(F819=2,20,IF(F819=3,10,IF(F819&lt;&gt;"",1,0))))+IF(G819=1,30,IF(G819=2,20,IF(G819=3,10,IF(G819&lt;&gt;"",1,0))))+IF(H819=1,30,IF(H819=2,20,IF(H819=3,10,IF(H819&lt;&gt;"",1,0))))))</f>
        <v/>
      </c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14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>
        <f>IF(AND(C820="",OR(E820="",E820=0)),"",(IF(E820=1,30,IF(E820=2,20,IF(E820=3,10,IF(E820&lt;&gt;"",1,0))))+IF(F820=1,30,IF(F820=2,20,IF(F820=3,10,IF(F820&lt;&gt;"",1,0))))+IF(G820=1,30,IF(G820=2,20,IF(G820=3,10,IF(G820&lt;&gt;"",1,0))))+IF(H820=1,30,IF(H820=2,20,IF(H820=3,10,IF(H820&lt;&gt;"",1,0))))))</f>
        <v/>
      </c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14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>
        <f>IF(AND(C821="",OR(E821="",E821=0)),"",(IF(E821=1,30,IF(E821=2,20,IF(E821=3,10,IF(E821&lt;&gt;"",1,0))))+IF(F821=1,30,IF(F821=2,20,IF(F821=3,10,IF(F821&lt;&gt;"",1,0))))+IF(G821=1,30,IF(G821=2,20,IF(G821=3,10,IF(G821&lt;&gt;"",1,0))))+IF(H821=1,30,IF(H821=2,20,IF(H821=3,10,IF(H821&lt;&gt;"",1,0))))))</f>
        <v/>
      </c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14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>
        <f>IF(AND(C822="",OR(E822="",E822=0)),"",(IF(E822=1,30,IF(E822=2,20,IF(E822=3,10,IF(E822&lt;&gt;"",1,0))))+IF(F822=1,30,IF(F822=2,20,IF(F822=3,10,IF(F822&lt;&gt;"",1,0))))+IF(G822=1,30,IF(G822=2,20,IF(G822=3,10,IF(G822&lt;&gt;"",1,0))))+IF(H822=1,30,IF(H822=2,20,IF(H822=3,10,IF(H822&lt;&gt;"",1,0))))))</f>
        <v/>
      </c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14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>
        <f>IF(AND(C823="",OR(E823="",E823=0)),"",(IF(E823=1,30,IF(E823=2,20,IF(E823=3,10,IF(E823&lt;&gt;"",1,0))))+IF(F823=1,30,IF(F823=2,20,IF(F823=3,10,IF(F823&lt;&gt;"",1,0))))+IF(G823=1,30,IF(G823=2,20,IF(G823=3,10,IF(G823&lt;&gt;"",1,0))))+IF(H823=1,30,IF(H823=2,20,IF(H823=3,10,IF(H823&lt;&gt;"",1,0))))))</f>
        <v/>
      </c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14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>
        <f>IF(AND(C824="",OR(E824="",E824=0)),"",(IF(E824=1,30,IF(E824=2,20,IF(E824=3,10,IF(E824&lt;&gt;"",1,0))))+IF(F824=1,30,IF(F824=2,20,IF(F824=3,10,IF(F824&lt;&gt;"",1,0))))+IF(G824=1,30,IF(G824=2,20,IF(G824=3,10,IF(G824&lt;&gt;"",1,0))))+IF(H824=1,30,IF(H824=2,20,IF(H824=3,10,IF(H824&lt;&gt;"",1,0))))))</f>
        <v/>
      </c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14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>
        <f>IF(AND(C825="",OR(E825="",E825=0)),"",(IF(E825=1,30,IF(E825=2,20,IF(E825=3,10,IF(E825&lt;&gt;"",1,0))))+IF(F825=1,30,IF(F825=2,20,IF(F825=3,10,IF(F825&lt;&gt;"",1,0))))+IF(G825=1,30,IF(G825=2,20,IF(G825=3,10,IF(G825&lt;&gt;"",1,0))))+IF(H825=1,30,IF(H825=2,20,IF(H825=3,10,IF(H825&lt;&gt;"",1,0))))))</f>
        <v/>
      </c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14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>
        <f>IF(AND(C826="",OR(E826="",E826=0)),"",(IF(E826=1,30,IF(E826=2,20,IF(E826=3,10,IF(E826&lt;&gt;"",1,0))))+IF(F826=1,30,IF(F826=2,20,IF(F826=3,10,IF(F826&lt;&gt;"",1,0))))+IF(G826=1,30,IF(G826=2,20,IF(G826=3,10,IF(G826&lt;&gt;"",1,0))))+IF(H826=1,30,IF(H826=2,20,IF(H826=3,10,IF(H826&lt;&gt;"",1,0))))))</f>
        <v/>
      </c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14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>
        <f>IF(AND(C827="",OR(E827="",E827=0)),"",(IF(E827=1,30,IF(E827=2,20,IF(E827=3,10,IF(E827&lt;&gt;"",1,0))))+IF(F827=1,30,IF(F827=2,20,IF(F827=3,10,IF(F827&lt;&gt;"",1,0))))+IF(G827=1,30,IF(G827=2,20,IF(G827=3,10,IF(G827&lt;&gt;"",1,0))))+IF(H827=1,30,IF(H827=2,20,IF(H827=3,10,IF(H827&lt;&gt;"",1,0))))))</f>
        <v/>
      </c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14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>
        <f>IF(AND(C828="",OR(E828="",E828=0)),"",(IF(E828=1,30,IF(E828=2,20,IF(E828=3,10,IF(E828&lt;&gt;"",1,0))))+IF(F828=1,30,IF(F828=2,20,IF(F828=3,10,IF(F828&lt;&gt;"",1,0))))+IF(G828=1,30,IF(G828=2,20,IF(G828=3,10,IF(G828&lt;&gt;"",1,0))))+IF(H828=1,30,IF(H828=2,20,IF(H828=3,10,IF(H828&lt;&gt;"",1,0))))))</f>
        <v/>
      </c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14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>
        <f>IF(AND(C829="",OR(E829="",E829=0)),"",(IF(E829=1,30,IF(E829=2,20,IF(E829=3,10,IF(E829&lt;&gt;"",1,0))))+IF(F829=1,30,IF(F829=2,20,IF(F829=3,10,IF(F829&lt;&gt;"",1,0))))+IF(G829=1,30,IF(G829=2,20,IF(G829=3,10,IF(G829&lt;&gt;"",1,0))))+IF(H829=1,30,IF(H829=2,20,IF(H829=3,10,IF(H829&lt;&gt;"",1,0))))))</f>
        <v/>
      </c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14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>
        <f>IF(AND(C830="",OR(E830="",E830=0)),"",(IF(E830=1,30,IF(E830=2,20,IF(E830=3,10,IF(E830&lt;&gt;"",1,0))))+IF(F830=1,30,IF(F830=2,20,IF(F830=3,10,IF(F830&lt;&gt;"",1,0))))+IF(G830=1,30,IF(G830=2,20,IF(G830=3,10,IF(G830&lt;&gt;"",1,0))))+IF(H830=1,30,IF(H830=2,20,IF(H830=3,10,IF(H830&lt;&gt;"",1,0))))))</f>
        <v/>
      </c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14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>
        <f>IF(AND(C831="",OR(E831="",E831=0)),"",(IF(E831=1,30,IF(E831=2,20,IF(E831=3,10,IF(E831&lt;&gt;"",1,0))))+IF(F831=1,30,IF(F831=2,20,IF(F831=3,10,IF(F831&lt;&gt;"",1,0))))+IF(G831=1,30,IF(G831=2,20,IF(G831=3,10,IF(G831&lt;&gt;"",1,0))))+IF(H831=1,30,IF(H831=2,20,IF(H831=3,10,IF(H831&lt;&gt;"",1,0))))))</f>
        <v/>
      </c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14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>
        <f>IF(AND(C832="",OR(E832="",E832=0)),"",(IF(E832=1,30,IF(E832=2,20,IF(E832=3,10,IF(E832&lt;&gt;"",1,0))))+IF(F832=1,30,IF(F832=2,20,IF(F832=3,10,IF(F832&lt;&gt;"",1,0))))+IF(G832=1,30,IF(G832=2,20,IF(G832=3,10,IF(G832&lt;&gt;"",1,0))))+IF(H832=1,30,IF(H832=2,20,IF(H832=3,10,IF(H832&lt;&gt;"",1,0))))))</f>
        <v/>
      </c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14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>
        <f>IF(AND(C833="",OR(E833="",E833=0)),"",(IF(E833=1,30,IF(E833=2,20,IF(E833=3,10,IF(E833&lt;&gt;"",1,0))))+IF(F833=1,30,IF(F833=2,20,IF(F833=3,10,IF(F833&lt;&gt;"",1,0))))+IF(G833=1,30,IF(G833=2,20,IF(G833=3,10,IF(G833&lt;&gt;"",1,0))))+IF(H833=1,30,IF(H833=2,20,IF(H833=3,10,IF(H833&lt;&gt;"",1,0))))))</f>
        <v/>
      </c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14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>
        <f>IF(AND(C834="",OR(E834="",E834=0)),"",(IF(E834=1,30,IF(E834=2,20,IF(E834=3,10,IF(E834&lt;&gt;"",1,0))))+IF(F834=1,30,IF(F834=2,20,IF(F834=3,10,IF(F834&lt;&gt;"",1,0))))+IF(G834=1,30,IF(G834=2,20,IF(G834=3,10,IF(G834&lt;&gt;"",1,0))))+IF(H834=1,30,IF(H834=2,20,IF(H834=3,10,IF(H834&lt;&gt;"",1,0))))))</f>
        <v/>
      </c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14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>
        <f>IF(AND(C835="",OR(E835="",E835=0)),"",(IF(E835=1,30,IF(E835=2,20,IF(E835=3,10,IF(E835&lt;&gt;"",1,0))))+IF(F835=1,30,IF(F835=2,20,IF(F835=3,10,IF(F835&lt;&gt;"",1,0))))+IF(G835=1,30,IF(G835=2,20,IF(G835=3,10,IF(G835&lt;&gt;"",1,0))))+IF(H835=1,30,IF(H835=2,20,IF(H835=3,10,IF(H835&lt;&gt;"",1,0))))))</f>
        <v/>
      </c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14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>
        <f>IF(AND(C836="",OR(E836="",E836=0)),"",(IF(E836=1,30,IF(E836=2,20,IF(E836=3,10,IF(E836&lt;&gt;"",1,0))))+IF(F836=1,30,IF(F836=2,20,IF(F836=3,10,IF(F836&lt;&gt;"",1,0))))+IF(G836=1,30,IF(G836=2,20,IF(G836=3,10,IF(G836&lt;&gt;"",1,0))))+IF(H836=1,30,IF(H836=2,20,IF(H836=3,10,IF(H836&lt;&gt;"",1,0))))))</f>
        <v/>
      </c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14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>
        <f>IF(AND(C837="",OR(E837="",E837=0)),"",(IF(E837=1,30,IF(E837=2,20,IF(E837=3,10,IF(E837&lt;&gt;"",1,0))))+IF(F837=1,30,IF(F837=2,20,IF(F837=3,10,IF(F837&lt;&gt;"",1,0))))+IF(G837=1,30,IF(G837=2,20,IF(G837=3,10,IF(G837&lt;&gt;"",1,0))))+IF(H837=1,30,IF(H837=2,20,IF(H837=3,10,IF(H837&lt;&gt;"",1,0))))))</f>
        <v/>
      </c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14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>
        <f>IF(AND(C838="",OR(E838="",E838=0)),"",(IF(E838=1,30,IF(E838=2,20,IF(E838=3,10,IF(E838&lt;&gt;"",1,0))))+IF(F838=1,30,IF(F838=2,20,IF(F838=3,10,IF(F838&lt;&gt;"",1,0))))+IF(G838=1,30,IF(G838=2,20,IF(G838=3,10,IF(G838&lt;&gt;"",1,0))))+IF(H838=1,30,IF(H838=2,20,IF(H838=3,10,IF(H838&lt;&gt;"",1,0))))))</f>
        <v/>
      </c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14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>
        <f>IF(AND(C839="",OR(E839="",E839=0)),"",(IF(E839=1,30,IF(E839=2,20,IF(E839=3,10,IF(E839&lt;&gt;"",1,0))))+IF(F839=1,30,IF(F839=2,20,IF(F839=3,10,IF(F839&lt;&gt;"",1,0))))+IF(G839=1,30,IF(G839=2,20,IF(G839=3,10,IF(G839&lt;&gt;"",1,0))))+IF(H839=1,30,IF(H839=2,20,IF(H839=3,10,IF(H839&lt;&gt;"",1,0))))))</f>
        <v/>
      </c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14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>
        <f>IF(AND(C840="",OR(E840="",E840=0)),"",(IF(E840=1,30,IF(E840=2,20,IF(E840=3,10,IF(E840&lt;&gt;"",1,0))))+IF(F840=1,30,IF(F840=2,20,IF(F840=3,10,IF(F840&lt;&gt;"",1,0))))+IF(G840=1,30,IF(G840=2,20,IF(G840=3,10,IF(G840&lt;&gt;"",1,0))))+IF(H840=1,30,IF(H840=2,20,IF(H840=3,10,IF(H840&lt;&gt;"",1,0))))))</f>
        <v/>
      </c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14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>
        <f>IF(AND(C841="",OR(E841="",E841=0)),"",(IF(E841=1,30,IF(E841=2,20,IF(E841=3,10,IF(E841&lt;&gt;"",1,0))))+IF(F841=1,30,IF(F841=2,20,IF(F841=3,10,IF(F841&lt;&gt;"",1,0))))+IF(G841=1,30,IF(G841=2,20,IF(G841=3,10,IF(G841&lt;&gt;"",1,0))))+IF(H841=1,30,IF(H841=2,20,IF(H841=3,10,IF(H841&lt;&gt;"",1,0))))))</f>
        <v/>
      </c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14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>
        <f>IF(AND(C842="",OR(E842="",E842=0)),"",(IF(E842=1,30,IF(E842=2,20,IF(E842=3,10,IF(E842&lt;&gt;"",1,0))))+IF(F842=1,30,IF(F842=2,20,IF(F842=3,10,IF(F842&lt;&gt;"",1,0))))+IF(G842=1,30,IF(G842=2,20,IF(G842=3,10,IF(G842&lt;&gt;"",1,0))))+IF(H842=1,30,IF(H842=2,20,IF(H842=3,10,IF(H842&lt;&gt;"",1,0))))))</f>
        <v/>
      </c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1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>
        <f>IF(AND(C843="",OR(E843="",E843=0)),"",(IF(E843=1,30,IF(E843=2,20,IF(E843=3,10,IF(E843&lt;&gt;"",1,0))))+IF(F843=1,30,IF(F843=2,20,IF(F843=3,10,IF(F843&lt;&gt;"",1,0))))+IF(G843=1,30,IF(G843=2,20,IF(G843=3,10,IF(G843&lt;&gt;"",1,0))))+IF(H843=1,30,IF(H843=2,20,IF(H843=3,10,IF(H843&lt;&gt;"",1,0))))))</f>
        <v/>
      </c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14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>
        <f>IF(AND(C844="",OR(E844="",E844=0)),"",(IF(E844=1,30,IF(E844=2,20,IF(E844=3,10,IF(E844&lt;&gt;"",1,0))))+IF(F844=1,30,IF(F844=2,20,IF(F844=3,10,IF(F844&lt;&gt;"",1,0))))+IF(G844=1,30,IF(G844=2,20,IF(G844=3,10,IF(G844&lt;&gt;"",1,0))))+IF(H844=1,30,IF(H844=2,20,IF(H844=3,10,IF(H844&lt;&gt;"",1,0))))))</f>
        <v/>
      </c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14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>
        <f>IF(AND(C845="",OR(E845="",E845=0)),"",(IF(E845=1,30,IF(E845=2,20,IF(E845=3,10,IF(E845&lt;&gt;"",1,0))))+IF(F845=1,30,IF(F845=2,20,IF(F845=3,10,IF(F845&lt;&gt;"",1,0))))+IF(G845=1,30,IF(G845=2,20,IF(G845=3,10,IF(G845&lt;&gt;"",1,0))))+IF(H845=1,30,IF(H845=2,20,IF(H845=3,10,IF(H845&lt;&gt;"",1,0))))))</f>
        <v/>
      </c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14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>
        <f>IF(AND(C846="",OR(E846="",E846=0)),"",(IF(E846=1,30,IF(E846=2,20,IF(E846=3,10,IF(E846&lt;&gt;"",1,0))))+IF(F846=1,30,IF(F846=2,20,IF(F846=3,10,IF(F846&lt;&gt;"",1,0))))+IF(G846=1,30,IF(G846=2,20,IF(G846=3,10,IF(G846&lt;&gt;"",1,0))))+IF(H846=1,30,IF(H846=2,20,IF(H846=3,10,IF(H846&lt;&gt;"",1,0))))))</f>
        <v/>
      </c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14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>
        <f>IF(AND(C847="",OR(E847="",E847=0)),"",(IF(E847=1,30,IF(E847=2,20,IF(E847=3,10,IF(E847&lt;&gt;"",1,0))))+IF(F847=1,30,IF(F847=2,20,IF(F847=3,10,IF(F847&lt;&gt;"",1,0))))+IF(G847=1,30,IF(G847=2,20,IF(G847=3,10,IF(G847&lt;&gt;"",1,0))))+IF(H847=1,30,IF(H847=2,20,IF(H847=3,10,IF(H847&lt;&gt;"",1,0))))))</f>
        <v/>
      </c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14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>
        <f>IF(AND(C848="",OR(E848="",E848=0)),"",(IF(E848=1,30,IF(E848=2,20,IF(E848=3,10,IF(E848&lt;&gt;"",1,0))))+IF(F848=1,30,IF(F848=2,20,IF(F848=3,10,IF(F848&lt;&gt;"",1,0))))+IF(G848=1,30,IF(G848=2,20,IF(G848=3,10,IF(G848&lt;&gt;"",1,0))))+IF(H848=1,30,IF(H848=2,20,IF(H848=3,10,IF(H848&lt;&gt;"",1,0))))))</f>
        <v/>
      </c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14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>
        <f>IF(AND(C849="",OR(E849="",E849=0)),"",(IF(E849=1,30,IF(E849=2,20,IF(E849=3,10,IF(E849&lt;&gt;"",1,0))))+IF(F849=1,30,IF(F849=2,20,IF(F849=3,10,IF(F849&lt;&gt;"",1,0))))+IF(G849=1,30,IF(G849=2,20,IF(G849=3,10,IF(G849&lt;&gt;"",1,0))))+IF(H849=1,30,IF(H849=2,20,IF(H849=3,10,IF(H849&lt;&gt;"",1,0))))))</f>
        <v/>
      </c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14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>
        <f>IF(AND(C850="",OR(E850="",E850=0)),"",(IF(E850=1,30,IF(E850=2,20,IF(E850=3,10,IF(E850&lt;&gt;"",1,0))))+IF(F850=1,30,IF(F850=2,20,IF(F850=3,10,IF(F850&lt;&gt;"",1,0))))+IF(G850=1,30,IF(G850=2,20,IF(G850=3,10,IF(G850&lt;&gt;"",1,0))))+IF(H850=1,30,IF(H850=2,20,IF(H850=3,10,IF(H850&lt;&gt;"",1,0))))))</f>
        <v/>
      </c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14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>
        <f>IF(AND(C851="",OR(E851="",E851=0)),"",(IF(E851=1,30,IF(E851=2,20,IF(E851=3,10,IF(E851&lt;&gt;"",1,0))))+IF(F851=1,30,IF(F851=2,20,IF(F851=3,10,IF(F851&lt;&gt;"",1,0))))+IF(G851=1,30,IF(G851=2,20,IF(G851=3,10,IF(G851&lt;&gt;"",1,0))))+IF(H851=1,30,IF(H851=2,20,IF(H851=3,10,IF(H851&lt;&gt;"",1,0))))))</f>
        <v/>
      </c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14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>
        <f>IF(AND(C852="",OR(E852="",E852=0)),"",(IF(E852=1,30,IF(E852=2,20,IF(E852=3,10,IF(E852&lt;&gt;"",1,0))))+IF(F852=1,30,IF(F852=2,20,IF(F852=3,10,IF(F852&lt;&gt;"",1,0))))+IF(G852=1,30,IF(G852=2,20,IF(G852=3,10,IF(G852&lt;&gt;"",1,0))))+IF(H852=1,30,IF(H852=2,20,IF(H852=3,10,IF(H852&lt;&gt;"",1,0))))))</f>
        <v/>
      </c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14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>
        <f>IF(AND(C853="",OR(E853="",E853=0)),"",(IF(E853=1,30,IF(E853=2,20,IF(E853=3,10,IF(E853&lt;&gt;"",1,0))))+IF(F853=1,30,IF(F853=2,20,IF(F853=3,10,IF(F853&lt;&gt;"",1,0))))+IF(G853=1,30,IF(G853=2,20,IF(G853=3,10,IF(G853&lt;&gt;"",1,0))))+IF(H853=1,30,IF(H853=2,20,IF(H853=3,10,IF(H853&lt;&gt;"",1,0))))))</f>
        <v/>
      </c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14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>
        <f>IF(AND(C854="",OR(E854="",E854=0)),"",(IF(E854=1,30,IF(E854=2,20,IF(E854=3,10,IF(E854&lt;&gt;"",1,0))))+IF(F854=1,30,IF(F854=2,20,IF(F854=3,10,IF(F854&lt;&gt;"",1,0))))+IF(G854=1,30,IF(G854=2,20,IF(G854=3,10,IF(G854&lt;&gt;"",1,0))))+IF(H854=1,30,IF(H854=2,20,IF(H854=3,10,IF(H854&lt;&gt;"",1,0))))))</f>
        <v/>
      </c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14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>
        <f>IF(AND(C855="",OR(E855="",E855=0)),"",(IF(E855=1,30,IF(E855=2,20,IF(E855=3,10,IF(E855&lt;&gt;"",1,0))))+IF(F855=1,30,IF(F855=2,20,IF(F855=3,10,IF(F855&lt;&gt;"",1,0))))+IF(G855=1,30,IF(G855=2,20,IF(G855=3,10,IF(G855&lt;&gt;"",1,0))))+IF(H855=1,30,IF(H855=2,20,IF(H855=3,10,IF(H855&lt;&gt;"",1,0))))))</f>
        <v/>
      </c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14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>
        <f>IF(AND(C856="",OR(E856="",E856=0)),"",(IF(E856=1,30,IF(E856=2,20,IF(E856=3,10,IF(E856&lt;&gt;"",1,0))))+IF(F856=1,30,IF(F856=2,20,IF(F856=3,10,IF(F856&lt;&gt;"",1,0))))+IF(G856=1,30,IF(G856=2,20,IF(G856=3,10,IF(G856&lt;&gt;"",1,0))))+IF(H856=1,30,IF(H856=2,20,IF(H856=3,10,IF(H856&lt;&gt;"",1,0))))))</f>
        <v/>
      </c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14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>
        <f>IF(AND(C857="",OR(E857="",E857=0)),"",(IF(E857=1,30,IF(E857=2,20,IF(E857=3,10,IF(E857&lt;&gt;"",1,0))))+IF(F857=1,30,IF(F857=2,20,IF(F857=3,10,IF(F857&lt;&gt;"",1,0))))+IF(G857=1,30,IF(G857=2,20,IF(G857=3,10,IF(G857&lt;&gt;"",1,0))))+IF(H857=1,30,IF(H857=2,20,IF(H857=3,10,IF(H857&lt;&gt;"",1,0))))))</f>
        <v/>
      </c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14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>
        <f>IF(AND(C858="",OR(E858="",E858=0)),"",(IF(E858=1,30,IF(E858=2,20,IF(E858=3,10,IF(E858&lt;&gt;"",1,0))))+IF(F858=1,30,IF(F858=2,20,IF(F858=3,10,IF(F858&lt;&gt;"",1,0))))+IF(G858=1,30,IF(G858=2,20,IF(G858=3,10,IF(G858&lt;&gt;"",1,0))))+IF(H858=1,30,IF(H858=2,20,IF(H858=3,10,IF(H858&lt;&gt;"",1,0))))))</f>
        <v/>
      </c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14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>
        <f>IF(AND(C859="",OR(E859="",E859=0)),"",(IF(E859=1,30,IF(E859=2,20,IF(E859=3,10,IF(E859&lt;&gt;"",1,0))))+IF(F859=1,30,IF(F859=2,20,IF(F859=3,10,IF(F859&lt;&gt;"",1,0))))+IF(G859=1,30,IF(G859=2,20,IF(G859=3,10,IF(G859&lt;&gt;"",1,0))))+IF(H859=1,30,IF(H859=2,20,IF(H859=3,10,IF(H859&lt;&gt;"",1,0))))))</f>
        <v/>
      </c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14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>
        <f>IF(AND(C860="",OR(E860="",E860=0)),"",(IF(E860=1,30,IF(E860=2,20,IF(E860=3,10,IF(E860&lt;&gt;"",1,0))))+IF(F860=1,30,IF(F860=2,20,IF(F860=3,10,IF(F860&lt;&gt;"",1,0))))+IF(G860=1,30,IF(G860=2,20,IF(G860=3,10,IF(G860&lt;&gt;"",1,0))))+IF(H860=1,30,IF(H860=2,20,IF(H860=3,10,IF(H860&lt;&gt;"",1,0))))))</f>
        <v/>
      </c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14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>
        <f>IF(AND(C861="",OR(E861="",E861=0)),"",(IF(E861=1,30,IF(E861=2,20,IF(E861=3,10,IF(E861&lt;&gt;"",1,0))))+IF(F861=1,30,IF(F861=2,20,IF(F861=3,10,IF(F861&lt;&gt;"",1,0))))+IF(G861=1,30,IF(G861=2,20,IF(G861=3,10,IF(G861&lt;&gt;"",1,0))))+IF(H861=1,30,IF(H861=2,20,IF(H861=3,10,IF(H861&lt;&gt;"",1,0))))))</f>
        <v/>
      </c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14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>
        <f>IF(AND(C862="",OR(E862="",E862=0)),"",(IF(E862=1,30,IF(E862=2,20,IF(E862=3,10,IF(E862&lt;&gt;"",1,0))))+IF(F862=1,30,IF(F862=2,20,IF(F862=3,10,IF(F862&lt;&gt;"",1,0))))+IF(G862=1,30,IF(G862=2,20,IF(G862=3,10,IF(G862&lt;&gt;"",1,0))))+IF(H862=1,30,IF(H862=2,20,IF(H862=3,10,IF(H862&lt;&gt;"",1,0))))))</f>
        <v/>
      </c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14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>
        <f>IF(AND(C863="",OR(E863="",E863=0)),"",(IF(E863=1,30,IF(E863=2,20,IF(E863=3,10,IF(E863&lt;&gt;"",1,0))))+IF(F863=1,30,IF(F863=2,20,IF(F863=3,10,IF(F863&lt;&gt;"",1,0))))+IF(G863=1,30,IF(G863=2,20,IF(G863=3,10,IF(G863&lt;&gt;"",1,0))))+IF(H863=1,30,IF(H863=2,20,IF(H863=3,10,IF(H863&lt;&gt;"",1,0))))))</f>
        <v/>
      </c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14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>
        <f>IF(AND(C864="",OR(E864="",E864=0)),"",(IF(E864=1,30,IF(E864=2,20,IF(E864=3,10,IF(E864&lt;&gt;"",1,0))))+IF(F864=1,30,IF(F864=2,20,IF(F864=3,10,IF(F864&lt;&gt;"",1,0))))+IF(G864=1,30,IF(G864=2,20,IF(G864=3,10,IF(G864&lt;&gt;"",1,0))))+IF(H864=1,30,IF(H864=2,20,IF(H864=3,10,IF(H864&lt;&gt;"",1,0))))))</f>
        <v/>
      </c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14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>
        <f>IF(AND(C865="",OR(E865="",E865=0)),"",(IF(E865=1,30,IF(E865=2,20,IF(E865=3,10,IF(E865&lt;&gt;"",1,0))))+IF(F865=1,30,IF(F865=2,20,IF(F865=3,10,IF(F865&lt;&gt;"",1,0))))+IF(G865=1,30,IF(G865=2,20,IF(G865=3,10,IF(G865&lt;&gt;"",1,0))))+IF(H865=1,30,IF(H865=2,20,IF(H865=3,10,IF(H865&lt;&gt;"",1,0))))))</f>
        <v/>
      </c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14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>
        <f>IF(AND(C866="",OR(E866="",E866=0)),"",(IF(E866=1,30,IF(E866=2,20,IF(E866=3,10,IF(E866&lt;&gt;"",1,0))))+IF(F866=1,30,IF(F866=2,20,IF(F866=3,10,IF(F866&lt;&gt;"",1,0))))+IF(G866=1,30,IF(G866=2,20,IF(G866=3,10,IF(G866&lt;&gt;"",1,0))))+IF(H866=1,30,IF(H866=2,20,IF(H866=3,10,IF(H866&lt;&gt;"",1,0))))))</f>
        <v/>
      </c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14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>
        <f>IF(AND(C867="",OR(E867="",E867=0)),"",(IF(E867=1,30,IF(E867=2,20,IF(E867=3,10,IF(E867&lt;&gt;"",1,0))))+IF(F867=1,30,IF(F867=2,20,IF(F867=3,10,IF(F867&lt;&gt;"",1,0))))+IF(G867=1,30,IF(G867=2,20,IF(G867=3,10,IF(G867&lt;&gt;"",1,0))))+IF(H867=1,30,IF(H867=2,20,IF(H867=3,10,IF(H867&lt;&gt;"",1,0))))))</f>
        <v/>
      </c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14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>
        <f>IF(AND(C868="",OR(E868="",E868=0)),"",(IF(E868=1,30,IF(E868=2,20,IF(E868=3,10,IF(E868&lt;&gt;"",1,0))))+IF(F868=1,30,IF(F868=2,20,IF(F868=3,10,IF(F868&lt;&gt;"",1,0))))+IF(G868=1,30,IF(G868=2,20,IF(G868=3,10,IF(G868&lt;&gt;"",1,0))))+IF(H868=1,30,IF(H868=2,20,IF(H868=3,10,IF(H868&lt;&gt;"",1,0))))))</f>
        <v/>
      </c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14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>
        <f>IF(AND(C869="",OR(E869="",E869=0)),"",(IF(E869=1,30,IF(E869=2,20,IF(E869=3,10,IF(E869&lt;&gt;"",1,0))))+IF(F869=1,30,IF(F869=2,20,IF(F869=3,10,IF(F869&lt;&gt;"",1,0))))+IF(G869=1,30,IF(G869=2,20,IF(G869=3,10,IF(G869&lt;&gt;"",1,0))))+IF(H869=1,30,IF(H869=2,20,IF(H869=3,10,IF(H869&lt;&gt;"",1,0))))))</f>
        <v/>
      </c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14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>
        <f>IF(AND(C870="",OR(E870="",E870=0)),"",(IF(E870=1,30,IF(E870=2,20,IF(E870=3,10,IF(E870&lt;&gt;"",1,0))))+IF(F870=1,30,IF(F870=2,20,IF(F870=3,10,IF(F870&lt;&gt;"",1,0))))+IF(G870=1,30,IF(G870=2,20,IF(G870=3,10,IF(G870&lt;&gt;"",1,0))))+IF(H870=1,30,IF(H870=2,20,IF(H870=3,10,IF(H870&lt;&gt;"",1,0))))))</f>
        <v/>
      </c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14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>
        <f>IF(AND(C871="",OR(E871="",E871=0)),"",(IF(E871=1,30,IF(E871=2,20,IF(E871=3,10,IF(E871&lt;&gt;"",1,0))))+IF(F871=1,30,IF(F871=2,20,IF(F871=3,10,IF(F871&lt;&gt;"",1,0))))+IF(G871=1,30,IF(G871=2,20,IF(G871=3,10,IF(G871&lt;&gt;"",1,0))))+IF(H871=1,30,IF(H871=2,20,IF(H871=3,10,IF(H871&lt;&gt;"",1,0))))))</f>
        <v/>
      </c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14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>
        <f>IF(AND(C872="",OR(E872="",E872=0)),"",(IF(E872=1,30,IF(E872=2,20,IF(E872=3,10,IF(E872&lt;&gt;"",1,0))))+IF(F872=1,30,IF(F872=2,20,IF(F872=3,10,IF(F872&lt;&gt;"",1,0))))+IF(G872=1,30,IF(G872=2,20,IF(G872=3,10,IF(G872&lt;&gt;"",1,0))))+IF(H872=1,30,IF(H872=2,20,IF(H872=3,10,IF(H872&lt;&gt;"",1,0))))))</f>
        <v/>
      </c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14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>
        <f>IF(AND(C873="",OR(E873="",E873=0)),"",(IF(E873=1,30,IF(E873=2,20,IF(E873=3,10,IF(E873&lt;&gt;"",1,0))))+IF(F873=1,30,IF(F873=2,20,IF(F873=3,10,IF(F873&lt;&gt;"",1,0))))+IF(G873=1,30,IF(G873=2,20,IF(G873=3,10,IF(G873&lt;&gt;"",1,0))))+IF(H873=1,30,IF(H873=2,20,IF(H873=3,10,IF(H873&lt;&gt;"",1,0))))))</f>
        <v/>
      </c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14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>
        <f>IF(AND(C874="",OR(E874="",E874=0)),"",(IF(E874=1,30,IF(E874=2,20,IF(E874=3,10,IF(E874&lt;&gt;"",1,0))))+IF(F874=1,30,IF(F874=2,20,IF(F874=3,10,IF(F874&lt;&gt;"",1,0))))+IF(G874=1,30,IF(G874=2,20,IF(G874=3,10,IF(G874&lt;&gt;"",1,0))))+IF(H874=1,30,IF(H874=2,20,IF(H874=3,10,IF(H874&lt;&gt;"",1,0))))))</f>
        <v/>
      </c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14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>
        <f>IF(AND(C875="",OR(E875="",E875=0)),"",(IF(E875=1,30,IF(E875=2,20,IF(E875=3,10,IF(E875&lt;&gt;"",1,0))))+IF(F875=1,30,IF(F875=2,20,IF(F875=3,10,IF(F875&lt;&gt;"",1,0))))+IF(G875=1,30,IF(G875=2,20,IF(G875=3,10,IF(G875&lt;&gt;"",1,0))))+IF(H875=1,30,IF(H875=2,20,IF(H875=3,10,IF(H875&lt;&gt;"",1,0))))))</f>
        <v/>
      </c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14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>
        <f>IF(AND(C876="",OR(E876="",E876=0)),"",(IF(E876=1,30,IF(E876=2,20,IF(E876=3,10,IF(E876&lt;&gt;"",1,0))))+IF(F876=1,30,IF(F876=2,20,IF(F876=3,10,IF(F876&lt;&gt;"",1,0))))+IF(G876=1,30,IF(G876=2,20,IF(G876=3,10,IF(G876&lt;&gt;"",1,0))))+IF(H876=1,30,IF(H876=2,20,IF(H876=3,10,IF(H876&lt;&gt;"",1,0))))))</f>
        <v/>
      </c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14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>
        <f>IF(AND(C877="",OR(E877="",E877=0)),"",(IF(E877=1,30,IF(E877=2,20,IF(E877=3,10,IF(E877&lt;&gt;"",1,0))))+IF(F877=1,30,IF(F877=2,20,IF(F877=3,10,IF(F877&lt;&gt;"",1,0))))+IF(G877=1,30,IF(G877=2,20,IF(G877=3,10,IF(G877&lt;&gt;"",1,0))))+IF(H877=1,30,IF(H877=2,20,IF(H877=3,10,IF(H877&lt;&gt;"",1,0))))))</f>
        <v/>
      </c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14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>
        <f>IF(AND(C878="",OR(E878="",E878=0)),"",(IF(E878=1,30,IF(E878=2,20,IF(E878=3,10,IF(E878&lt;&gt;"",1,0))))+IF(F878=1,30,IF(F878=2,20,IF(F878=3,10,IF(F878&lt;&gt;"",1,0))))+IF(G878=1,30,IF(G878=2,20,IF(G878=3,10,IF(G878&lt;&gt;"",1,0))))+IF(H878=1,30,IF(H878=2,20,IF(H878=3,10,IF(H878&lt;&gt;"",1,0))))))</f>
        <v/>
      </c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14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>
        <f>IF(AND(C879="",OR(E879="",E879=0)),"",(IF(E879=1,30,IF(E879=2,20,IF(E879=3,10,IF(E879&lt;&gt;"",1,0))))+IF(F879=1,30,IF(F879=2,20,IF(F879=3,10,IF(F879&lt;&gt;"",1,0))))+IF(G879=1,30,IF(G879=2,20,IF(G879=3,10,IF(G879&lt;&gt;"",1,0))))+IF(H879=1,30,IF(H879=2,20,IF(H879=3,10,IF(H879&lt;&gt;"",1,0))))))</f>
        <v/>
      </c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14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>
        <f>IF(AND(C880="",OR(E880="",E880=0)),"",(IF(E880=1,30,IF(E880=2,20,IF(E880=3,10,IF(E880&lt;&gt;"",1,0))))+IF(F880=1,30,IF(F880=2,20,IF(F880=3,10,IF(F880&lt;&gt;"",1,0))))+IF(G880=1,30,IF(G880=2,20,IF(G880=3,10,IF(G880&lt;&gt;"",1,0))))+IF(H880=1,30,IF(H880=2,20,IF(H880=3,10,IF(H880&lt;&gt;"",1,0))))))</f>
        <v/>
      </c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14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>
        <f>IF(AND(C881="",OR(E881="",E881=0)),"",(IF(E881=1,30,IF(E881=2,20,IF(E881=3,10,IF(E881&lt;&gt;"",1,0))))+IF(F881=1,30,IF(F881=2,20,IF(F881=3,10,IF(F881&lt;&gt;"",1,0))))+IF(G881=1,30,IF(G881=2,20,IF(G881=3,10,IF(G881&lt;&gt;"",1,0))))+IF(H881=1,30,IF(H881=2,20,IF(H881=3,10,IF(H881&lt;&gt;"",1,0))))))</f>
        <v/>
      </c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14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>
        <f>IF(AND(C882="",OR(E882="",E882=0)),"",(IF(E882=1,30,IF(E882=2,20,IF(E882=3,10,IF(E882&lt;&gt;"",1,0))))+IF(F882=1,30,IF(F882=2,20,IF(F882=3,10,IF(F882&lt;&gt;"",1,0))))+IF(G882=1,30,IF(G882=2,20,IF(G882=3,10,IF(G882&lt;&gt;"",1,0))))+IF(H882=1,30,IF(H882=2,20,IF(H882=3,10,IF(H882&lt;&gt;"",1,0))))))</f>
        <v/>
      </c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14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>
        <f>IF(AND(C883="",OR(E883="",E883=0)),"",(IF(E883=1,30,IF(E883=2,20,IF(E883=3,10,IF(E883&lt;&gt;"",1,0))))+IF(F883=1,30,IF(F883=2,20,IF(F883=3,10,IF(F883&lt;&gt;"",1,0))))+IF(G883=1,30,IF(G883=2,20,IF(G883=3,10,IF(G883&lt;&gt;"",1,0))))+IF(H883=1,30,IF(H883=2,20,IF(H883=3,10,IF(H883&lt;&gt;"",1,0))))))</f>
        <v/>
      </c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14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>
        <f>IF(AND(C884="",OR(E884="",E884=0)),"",(IF(E884=1,30,IF(E884=2,20,IF(E884=3,10,IF(E884&lt;&gt;"",1,0))))+IF(F884=1,30,IF(F884=2,20,IF(F884=3,10,IF(F884&lt;&gt;"",1,0))))+IF(G884=1,30,IF(G884=2,20,IF(G884=3,10,IF(G884&lt;&gt;"",1,0))))+IF(H884=1,30,IF(H884=2,20,IF(H884=3,10,IF(H884&lt;&gt;"",1,0))))))</f>
        <v/>
      </c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14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>
        <f>IF(AND(C885="",OR(E885="",E885=0)),"",(IF(E885=1,30,IF(E885=2,20,IF(E885=3,10,IF(E885&lt;&gt;"",1,0))))+IF(F885=1,30,IF(F885=2,20,IF(F885=3,10,IF(F885&lt;&gt;"",1,0))))+IF(G885=1,30,IF(G885=2,20,IF(G885=3,10,IF(G885&lt;&gt;"",1,0))))+IF(H885=1,30,IF(H885=2,20,IF(H885=3,10,IF(H885&lt;&gt;"",1,0))))))</f>
        <v/>
      </c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14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>
        <f>IF(AND(C886="",OR(E886="",E886=0)),"",(IF(E886=1,30,IF(E886=2,20,IF(E886=3,10,IF(E886&lt;&gt;"",1,0))))+IF(F886=1,30,IF(F886=2,20,IF(F886=3,10,IF(F886&lt;&gt;"",1,0))))+IF(G886=1,30,IF(G886=2,20,IF(G886=3,10,IF(G886&lt;&gt;"",1,0))))+IF(H886=1,30,IF(H886=2,20,IF(H886=3,10,IF(H886&lt;&gt;"",1,0))))))</f>
        <v/>
      </c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14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>
        <f>IF(AND(C887="",OR(E887="",E887=0)),"",(IF(E887=1,30,IF(E887=2,20,IF(E887=3,10,IF(E887&lt;&gt;"",1,0))))+IF(F887=1,30,IF(F887=2,20,IF(F887=3,10,IF(F887&lt;&gt;"",1,0))))+IF(G887=1,30,IF(G887=2,20,IF(G887=3,10,IF(G887&lt;&gt;"",1,0))))+IF(H887=1,30,IF(H887=2,20,IF(H887=3,10,IF(H887&lt;&gt;"",1,0))))))</f>
        <v/>
      </c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14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>
        <f>IF(AND(C888="",OR(E888="",E888=0)),"",(IF(E888=1,30,IF(E888=2,20,IF(E888=3,10,IF(E888&lt;&gt;"",1,0))))+IF(F888=1,30,IF(F888=2,20,IF(F888=3,10,IF(F888&lt;&gt;"",1,0))))+IF(G888=1,30,IF(G888=2,20,IF(G888=3,10,IF(G888&lt;&gt;"",1,0))))+IF(H888=1,30,IF(H888=2,20,IF(H888=3,10,IF(H888&lt;&gt;"",1,0))))))</f>
        <v/>
      </c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14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>
        <f>IF(AND(C889="",OR(E889="",E889=0)),"",(IF(E889=1,30,IF(E889=2,20,IF(E889=3,10,IF(E889&lt;&gt;"",1,0))))+IF(F889=1,30,IF(F889=2,20,IF(F889=3,10,IF(F889&lt;&gt;"",1,0))))+IF(G889=1,30,IF(G889=2,20,IF(G889=3,10,IF(G889&lt;&gt;"",1,0))))+IF(H889=1,30,IF(H889=2,20,IF(H889=3,10,IF(H889&lt;&gt;"",1,0))))))</f>
        <v/>
      </c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14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>
        <f>IF(AND(C890="",OR(E890="",E890=0)),"",(IF(E890=1,30,IF(E890=2,20,IF(E890=3,10,IF(E890&lt;&gt;"",1,0))))+IF(F890=1,30,IF(F890=2,20,IF(F890=3,10,IF(F890&lt;&gt;"",1,0))))+IF(G890=1,30,IF(G890=2,20,IF(G890=3,10,IF(G890&lt;&gt;"",1,0))))+IF(H890=1,30,IF(H890=2,20,IF(H890=3,10,IF(H890&lt;&gt;"",1,0))))))</f>
        <v/>
      </c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14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>
        <f>IF(AND(C891="",OR(E891="",E891=0)),"",(IF(E891=1,30,IF(E891=2,20,IF(E891=3,10,IF(E891&lt;&gt;"",1,0))))+IF(F891=1,30,IF(F891=2,20,IF(F891=3,10,IF(F891&lt;&gt;"",1,0))))+IF(G891=1,30,IF(G891=2,20,IF(G891=3,10,IF(G891&lt;&gt;"",1,0))))+IF(H891=1,30,IF(H891=2,20,IF(H891=3,10,IF(H891&lt;&gt;"",1,0))))))</f>
        <v/>
      </c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14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>
        <f>IF(AND(C892="",OR(E892="",E892=0)),"",(IF(E892=1,30,IF(E892=2,20,IF(E892=3,10,IF(E892&lt;&gt;"",1,0))))+IF(F892=1,30,IF(F892=2,20,IF(F892=3,10,IF(F892&lt;&gt;"",1,0))))+IF(G892=1,30,IF(G892=2,20,IF(G892=3,10,IF(G892&lt;&gt;"",1,0))))+IF(H892=1,30,IF(H892=2,20,IF(H892=3,10,IF(H892&lt;&gt;"",1,0))))))</f>
        <v/>
      </c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14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>
        <f>IF(AND(C893="",OR(E893="",E893=0)),"",(IF(E893=1,30,IF(E893=2,20,IF(E893=3,10,IF(E893&lt;&gt;"",1,0))))+IF(F893=1,30,IF(F893=2,20,IF(F893=3,10,IF(F893&lt;&gt;"",1,0))))+IF(G893=1,30,IF(G893=2,20,IF(G893=3,10,IF(G893&lt;&gt;"",1,0))))+IF(H893=1,30,IF(H893=2,20,IF(H893=3,10,IF(H893&lt;&gt;"",1,0))))))</f>
        <v/>
      </c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14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>
        <f>IF(AND(C894="",OR(E894="",E894=0)),"",(IF(E894=1,30,IF(E894=2,20,IF(E894=3,10,IF(E894&lt;&gt;"",1,0))))+IF(F894=1,30,IF(F894=2,20,IF(F894=3,10,IF(F894&lt;&gt;"",1,0))))+IF(G894=1,30,IF(G894=2,20,IF(G894=3,10,IF(G894&lt;&gt;"",1,0))))+IF(H894=1,30,IF(H894=2,20,IF(H894=3,10,IF(H894&lt;&gt;"",1,0))))))</f>
        <v/>
      </c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14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>
        <f>IF(AND(C895="",OR(E895="",E895=0)),"",(IF(E895=1,30,IF(E895=2,20,IF(E895=3,10,IF(E895&lt;&gt;"",1,0))))+IF(F895=1,30,IF(F895=2,20,IF(F895=3,10,IF(F895&lt;&gt;"",1,0))))+IF(G895=1,30,IF(G895=2,20,IF(G895=3,10,IF(G895&lt;&gt;"",1,0))))+IF(H895=1,30,IF(H895=2,20,IF(H895=3,10,IF(H895&lt;&gt;"",1,0))))))</f>
        <v/>
      </c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14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>
        <f>IF(AND(C896="",OR(E896="",E896=0)),"",(IF(E896=1,30,IF(E896=2,20,IF(E896=3,10,IF(E896&lt;&gt;"",1,0))))+IF(F896=1,30,IF(F896=2,20,IF(F896=3,10,IF(F896&lt;&gt;"",1,0))))+IF(G896=1,30,IF(G896=2,20,IF(G896=3,10,IF(G896&lt;&gt;"",1,0))))+IF(H896=1,30,IF(H896=2,20,IF(H896=3,10,IF(H896&lt;&gt;"",1,0))))))</f>
        <v/>
      </c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14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>
        <f>IF(AND(C897="",OR(E897="",E897=0)),"",(IF(E897=1,30,IF(E897=2,20,IF(E897=3,10,IF(E897&lt;&gt;"",1,0))))+IF(F897=1,30,IF(F897=2,20,IF(F897=3,10,IF(F897&lt;&gt;"",1,0))))+IF(G897=1,30,IF(G897=2,20,IF(G897=3,10,IF(G897&lt;&gt;"",1,0))))+IF(H897=1,30,IF(H897=2,20,IF(H897=3,10,IF(H897&lt;&gt;"",1,0))))))</f>
        <v/>
      </c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14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>
        <f>IF(AND(C898="",OR(E898="",E898=0)),"",(IF(E898=1,30,IF(E898=2,20,IF(E898=3,10,IF(E898&lt;&gt;"",1,0))))+IF(F898=1,30,IF(F898=2,20,IF(F898=3,10,IF(F898&lt;&gt;"",1,0))))+IF(G898=1,30,IF(G898=2,20,IF(G898=3,10,IF(G898&lt;&gt;"",1,0))))+IF(H898=1,30,IF(H898=2,20,IF(H898=3,10,IF(H898&lt;&gt;"",1,0))))))</f>
        <v/>
      </c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14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>
        <f>IF(AND(C899="",OR(E899="",E899=0)),"",(IF(E899=1,30,IF(E899=2,20,IF(E899=3,10,IF(E899&lt;&gt;"",1,0))))+IF(F899=1,30,IF(F899=2,20,IF(F899=3,10,IF(F899&lt;&gt;"",1,0))))+IF(G899=1,30,IF(G899=2,20,IF(G899=3,10,IF(G899&lt;&gt;"",1,0))))+IF(H899=1,30,IF(H899=2,20,IF(H899=3,10,IF(H899&lt;&gt;"",1,0))))))</f>
        <v/>
      </c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14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>
        <f>IF(AND(C900="",OR(E900="",E900=0)),"",(IF(E900=1,30,IF(E900=2,20,IF(E900=3,10,IF(E900&lt;&gt;"",1,0))))+IF(F900=1,30,IF(F900=2,20,IF(F900=3,10,IF(F900&lt;&gt;"",1,0))))+IF(G900=1,30,IF(G900=2,20,IF(G900=3,10,IF(G900&lt;&gt;"",1,0))))+IF(H900=1,30,IF(H900=2,20,IF(H900=3,10,IF(H900&lt;&gt;"",1,0))))))</f>
        <v/>
      </c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14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>
        <f>IF(AND(C901="",OR(E901="",E901=0)),"",(IF(E901=1,30,IF(E901=2,20,IF(E901=3,10,IF(E901&lt;&gt;"",1,0))))+IF(F901=1,30,IF(F901=2,20,IF(F901=3,10,IF(F901&lt;&gt;"",1,0))))+IF(G901=1,30,IF(G901=2,20,IF(G901=3,10,IF(G901&lt;&gt;"",1,0))))+IF(H901=1,30,IF(H901=2,20,IF(H901=3,10,IF(H901&lt;&gt;"",1,0))))))</f>
        <v/>
      </c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14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>
        <f>IF(AND(C902="",OR(E902="",E902=0)),"",(IF(E902=1,30,IF(E902=2,20,IF(E902=3,10,IF(E902&lt;&gt;"",1,0))))+IF(F902=1,30,IF(F902=2,20,IF(F902=3,10,IF(F902&lt;&gt;"",1,0))))+IF(G902=1,30,IF(G902=2,20,IF(G902=3,10,IF(G902&lt;&gt;"",1,0))))+IF(H902=1,30,IF(H902=2,20,IF(H902=3,10,IF(H902&lt;&gt;"",1,0))))))</f>
        <v/>
      </c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14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>
        <f>IF(AND(C903="",OR(E903="",E903=0)),"",(IF(E903=1,30,IF(E903=2,20,IF(E903=3,10,IF(E903&lt;&gt;"",1,0))))+IF(F903=1,30,IF(F903=2,20,IF(F903=3,10,IF(F903&lt;&gt;"",1,0))))+IF(G903=1,30,IF(G903=2,20,IF(G903=3,10,IF(G903&lt;&gt;"",1,0))))+IF(H903=1,30,IF(H903=2,20,IF(H903=3,10,IF(H903&lt;&gt;"",1,0))))))</f>
        <v/>
      </c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14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>
        <f>IF(AND(C904="",OR(E904="",E904=0)),"",(IF(E904=1,30,IF(E904=2,20,IF(E904=3,10,IF(E904&lt;&gt;"",1,0))))+IF(F904=1,30,IF(F904=2,20,IF(F904=3,10,IF(F904&lt;&gt;"",1,0))))+IF(G904=1,30,IF(G904=2,20,IF(G904=3,10,IF(G904&lt;&gt;"",1,0))))+IF(H904=1,30,IF(H904=2,20,IF(H904=3,10,IF(H904&lt;&gt;"",1,0))))))</f>
        <v/>
      </c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14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>
        <f>IF(AND(C905="",OR(E905="",E905=0)),"",(IF(E905=1,30,IF(E905=2,20,IF(E905=3,10,IF(E905&lt;&gt;"",1,0))))+IF(F905=1,30,IF(F905=2,20,IF(F905=3,10,IF(F905&lt;&gt;"",1,0))))+IF(G905=1,30,IF(G905=2,20,IF(G905=3,10,IF(G905&lt;&gt;"",1,0))))+IF(H905=1,30,IF(H905=2,20,IF(H905=3,10,IF(H905&lt;&gt;"",1,0))))))</f>
        <v/>
      </c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14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>
        <f>IF(AND(C906="",OR(E906="",E906=0)),"",(IF(E906=1,30,IF(E906=2,20,IF(E906=3,10,IF(E906&lt;&gt;"",1,0))))+IF(F906=1,30,IF(F906=2,20,IF(F906=3,10,IF(F906&lt;&gt;"",1,0))))+IF(G906=1,30,IF(G906=2,20,IF(G906=3,10,IF(G906&lt;&gt;"",1,0))))+IF(H906=1,30,IF(H906=2,20,IF(H906=3,10,IF(H906&lt;&gt;"",1,0))))))</f>
        <v/>
      </c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14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>
        <f>IF(AND(C907="",OR(E907="",E907=0)),"",(IF(E907=1,30,IF(E907=2,20,IF(E907=3,10,IF(E907&lt;&gt;"",1,0))))+IF(F907=1,30,IF(F907=2,20,IF(F907=3,10,IF(F907&lt;&gt;"",1,0))))+IF(G907=1,30,IF(G907=2,20,IF(G907=3,10,IF(G907&lt;&gt;"",1,0))))+IF(H907=1,30,IF(H907=2,20,IF(H907=3,10,IF(H907&lt;&gt;"",1,0))))))</f>
        <v/>
      </c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14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>
        <f>IF(AND(C908="",OR(E908="",E908=0)),"",(IF(E908=1,30,IF(E908=2,20,IF(E908=3,10,IF(E908&lt;&gt;"",1,0))))+IF(F908=1,30,IF(F908=2,20,IF(F908=3,10,IF(F908&lt;&gt;"",1,0))))+IF(G908=1,30,IF(G908=2,20,IF(G908=3,10,IF(G908&lt;&gt;"",1,0))))+IF(H908=1,30,IF(H908=2,20,IF(H908=3,10,IF(H908&lt;&gt;"",1,0))))))</f>
        <v/>
      </c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14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>
        <f>IF(AND(C909="",OR(E909="",E909=0)),"",(IF(E909=1,30,IF(E909=2,20,IF(E909=3,10,IF(E909&lt;&gt;"",1,0))))+IF(F909=1,30,IF(F909=2,20,IF(F909=3,10,IF(F909&lt;&gt;"",1,0))))+IF(G909=1,30,IF(G909=2,20,IF(G909=3,10,IF(G909&lt;&gt;"",1,0))))+IF(H909=1,30,IF(H909=2,20,IF(H909=3,10,IF(H909&lt;&gt;"",1,0))))))</f>
        <v/>
      </c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14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>
        <f>IF(AND(C910="",OR(E910="",E910=0)),"",(IF(E910=1,30,IF(E910=2,20,IF(E910=3,10,IF(E910&lt;&gt;"",1,0))))+IF(F910=1,30,IF(F910=2,20,IF(F910=3,10,IF(F910&lt;&gt;"",1,0))))+IF(G910=1,30,IF(G910=2,20,IF(G910=3,10,IF(G910&lt;&gt;"",1,0))))+IF(H910=1,30,IF(H910=2,20,IF(H910=3,10,IF(H910&lt;&gt;"",1,0))))))</f>
        <v/>
      </c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14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>
        <f>IF(AND(C911="",OR(E911="",E911=0)),"",(IF(E911=1,30,IF(E911=2,20,IF(E911=3,10,IF(E911&lt;&gt;"",1,0))))+IF(F911=1,30,IF(F911=2,20,IF(F911=3,10,IF(F911&lt;&gt;"",1,0))))+IF(G911=1,30,IF(G911=2,20,IF(G911=3,10,IF(G911&lt;&gt;"",1,0))))+IF(H911=1,30,IF(H911=2,20,IF(H911=3,10,IF(H911&lt;&gt;"",1,0))))))</f>
        <v/>
      </c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14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>
        <f>IF(AND(C912="",OR(E912="",E912=0)),"",(IF(E912=1,30,IF(E912=2,20,IF(E912=3,10,IF(E912&lt;&gt;"",1,0))))+IF(F912=1,30,IF(F912=2,20,IF(F912=3,10,IF(F912&lt;&gt;"",1,0))))+IF(G912=1,30,IF(G912=2,20,IF(G912=3,10,IF(G912&lt;&gt;"",1,0))))+IF(H912=1,30,IF(H912=2,20,IF(H912=3,10,IF(H912&lt;&gt;"",1,0))))))</f>
        <v/>
      </c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14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>
        <f>IF(AND(C913="",OR(E913="",E913=0)),"",(IF(E913=1,30,IF(E913=2,20,IF(E913=3,10,IF(E913&lt;&gt;"",1,0))))+IF(F913=1,30,IF(F913=2,20,IF(F913=3,10,IF(F913&lt;&gt;"",1,0))))+IF(G913=1,30,IF(G913=2,20,IF(G913=3,10,IF(G913&lt;&gt;"",1,0))))+IF(H913=1,30,IF(H913=2,20,IF(H913=3,10,IF(H913&lt;&gt;"",1,0))))))</f>
        <v/>
      </c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14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>
        <f>IF(AND(C914="",OR(E914="",E914=0)),"",(IF(E914=1,30,IF(E914=2,20,IF(E914=3,10,IF(E914&lt;&gt;"",1,0))))+IF(F914=1,30,IF(F914=2,20,IF(F914=3,10,IF(F914&lt;&gt;"",1,0))))+IF(G914=1,30,IF(G914=2,20,IF(G914=3,10,IF(G914&lt;&gt;"",1,0))))+IF(H914=1,30,IF(H914=2,20,IF(H914=3,10,IF(H914&lt;&gt;"",1,0))))))</f>
        <v/>
      </c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14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>
        <f>IF(AND(C915="",OR(E915="",E915=0)),"",(IF(E915=1,30,IF(E915=2,20,IF(E915=3,10,IF(E915&lt;&gt;"",1,0))))+IF(F915=1,30,IF(F915=2,20,IF(F915=3,10,IF(F915&lt;&gt;"",1,0))))+IF(G915=1,30,IF(G915=2,20,IF(G915=3,10,IF(G915&lt;&gt;"",1,0))))+IF(H915=1,30,IF(H915=2,20,IF(H915=3,10,IF(H915&lt;&gt;"",1,0))))))</f>
        <v/>
      </c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14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>
        <f>IF(AND(C916="",OR(E916="",E916=0)),"",(IF(E916=1,30,IF(E916=2,20,IF(E916=3,10,IF(E916&lt;&gt;"",1,0))))+IF(F916=1,30,IF(F916=2,20,IF(F916=3,10,IF(F916&lt;&gt;"",1,0))))+IF(G916=1,30,IF(G916=2,20,IF(G916=3,10,IF(G916&lt;&gt;"",1,0))))+IF(H916=1,30,IF(H916=2,20,IF(H916=3,10,IF(H916&lt;&gt;"",1,0))))))</f>
        <v/>
      </c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14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>
        <f>IF(AND(C917="",OR(E917="",E917=0)),"",(IF(E917=1,30,IF(E917=2,20,IF(E917=3,10,IF(E917&lt;&gt;"",1,0))))+IF(F917=1,30,IF(F917=2,20,IF(F917=3,10,IF(F917&lt;&gt;"",1,0))))+IF(G917=1,30,IF(G917=2,20,IF(G917=3,10,IF(G917&lt;&gt;"",1,0))))+IF(H917=1,30,IF(H917=2,20,IF(H917=3,10,IF(H917&lt;&gt;"",1,0))))))</f>
        <v/>
      </c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14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>
        <f>IF(AND(C918="",OR(E918="",E918=0)),"",(IF(E918=1,30,IF(E918=2,20,IF(E918=3,10,IF(E918&lt;&gt;"",1,0))))+IF(F918=1,30,IF(F918=2,20,IF(F918=3,10,IF(F918&lt;&gt;"",1,0))))+IF(G918=1,30,IF(G918=2,20,IF(G918=3,10,IF(G918&lt;&gt;"",1,0))))+IF(H918=1,30,IF(H918=2,20,IF(H918=3,10,IF(H918&lt;&gt;"",1,0))))))</f>
        <v/>
      </c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14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>
        <f>IF(AND(C919="",OR(E919="",E919=0)),"",(IF(E919=1,30,IF(E919=2,20,IF(E919=3,10,IF(E919&lt;&gt;"",1,0))))+IF(F919=1,30,IF(F919=2,20,IF(F919=3,10,IF(F919&lt;&gt;"",1,0))))+IF(G919=1,30,IF(G919=2,20,IF(G919=3,10,IF(G919&lt;&gt;"",1,0))))+IF(H919=1,30,IF(H919=2,20,IF(H919=3,10,IF(H919&lt;&gt;"",1,0))))))</f>
        <v/>
      </c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14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>
        <f>IF(AND(C920="",OR(E920="",E920=0)),"",(IF(E920=1,30,IF(E920=2,20,IF(E920=3,10,IF(E920&lt;&gt;"",1,0))))+IF(F920=1,30,IF(F920=2,20,IF(F920=3,10,IF(F920&lt;&gt;"",1,0))))+IF(G920=1,30,IF(G920=2,20,IF(G920=3,10,IF(G920&lt;&gt;"",1,0))))+IF(H920=1,30,IF(H920=2,20,IF(H920=3,10,IF(H920&lt;&gt;"",1,0))))))</f>
        <v/>
      </c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14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>
        <f>IF(AND(C921="",OR(E921="",E921=0)),"",(IF(E921=1,30,IF(E921=2,20,IF(E921=3,10,IF(E921&lt;&gt;"",1,0))))+IF(F921=1,30,IF(F921=2,20,IF(F921=3,10,IF(F921&lt;&gt;"",1,0))))+IF(G921=1,30,IF(G921=2,20,IF(G921=3,10,IF(G921&lt;&gt;"",1,0))))+IF(H921=1,30,IF(H921=2,20,IF(H921=3,10,IF(H921&lt;&gt;"",1,0))))))</f>
        <v/>
      </c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14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>
        <f>IF(AND(C922="",OR(E922="",E922=0)),"",(IF(E922=1,30,IF(E922=2,20,IF(E922=3,10,IF(E922&lt;&gt;"",1,0))))+IF(F922=1,30,IF(F922=2,20,IF(F922=3,10,IF(F922&lt;&gt;"",1,0))))+IF(G922=1,30,IF(G922=2,20,IF(G922=3,10,IF(G922&lt;&gt;"",1,0))))+IF(H922=1,30,IF(H922=2,20,IF(H922=3,10,IF(H922&lt;&gt;"",1,0))))))</f>
        <v/>
      </c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14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>
        <f>IF(AND(C923="",OR(E923="",E923=0)),"",(IF(E923=1,30,IF(E923=2,20,IF(E923=3,10,IF(E923&lt;&gt;"",1,0))))+IF(F923=1,30,IF(F923=2,20,IF(F923=3,10,IF(F923&lt;&gt;"",1,0))))+IF(G923=1,30,IF(G923=2,20,IF(G923=3,10,IF(G923&lt;&gt;"",1,0))))+IF(H923=1,30,IF(H923=2,20,IF(H923=3,10,IF(H923&lt;&gt;"",1,0))))))</f>
        <v/>
      </c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14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>
        <f>IF(AND(C924="",OR(E924="",E924=0)),"",(IF(E924=1,30,IF(E924=2,20,IF(E924=3,10,IF(E924&lt;&gt;"",1,0))))+IF(F924=1,30,IF(F924=2,20,IF(F924=3,10,IF(F924&lt;&gt;"",1,0))))+IF(G924=1,30,IF(G924=2,20,IF(G924=3,10,IF(G924&lt;&gt;"",1,0))))+IF(H924=1,30,IF(H924=2,20,IF(H924=3,10,IF(H924&lt;&gt;"",1,0))))))</f>
        <v/>
      </c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14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>
        <f>IF(AND(C925="",OR(E925="",E925=0)),"",(IF(E925=1,30,IF(E925=2,20,IF(E925=3,10,IF(E925&lt;&gt;"",1,0))))+IF(F925=1,30,IF(F925=2,20,IF(F925=3,10,IF(F925&lt;&gt;"",1,0))))+IF(G925=1,30,IF(G925=2,20,IF(G925=3,10,IF(G925&lt;&gt;"",1,0))))+IF(H925=1,30,IF(H925=2,20,IF(H925=3,10,IF(H925&lt;&gt;"",1,0))))))</f>
        <v/>
      </c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14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>
        <f>IF(AND(C926="",OR(E926="",E926=0)),"",(IF(E926=1,30,IF(E926=2,20,IF(E926=3,10,IF(E926&lt;&gt;"",1,0))))+IF(F926=1,30,IF(F926=2,20,IF(F926=3,10,IF(F926&lt;&gt;"",1,0))))+IF(G926=1,30,IF(G926=2,20,IF(G926=3,10,IF(G926&lt;&gt;"",1,0))))+IF(H926=1,30,IF(H926=2,20,IF(H926=3,10,IF(H926&lt;&gt;"",1,0))))))</f>
        <v/>
      </c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14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>
        <f>IF(AND(C927="",OR(E927="",E927=0)),"",(IF(E927=1,30,IF(E927=2,20,IF(E927=3,10,IF(E927&lt;&gt;"",1,0))))+IF(F927=1,30,IF(F927=2,20,IF(F927=3,10,IF(F927&lt;&gt;"",1,0))))+IF(G927=1,30,IF(G927=2,20,IF(G927=3,10,IF(G927&lt;&gt;"",1,0))))+IF(H927=1,30,IF(H927=2,20,IF(H927=3,10,IF(H927&lt;&gt;"",1,0))))))</f>
        <v/>
      </c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14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>
        <f>IF(AND(C928="",OR(E928="",E928=0)),"",(IF(E928=1,30,IF(E928=2,20,IF(E928=3,10,IF(E928&lt;&gt;"",1,0))))+IF(F928=1,30,IF(F928=2,20,IF(F928=3,10,IF(F928&lt;&gt;"",1,0))))+IF(G928=1,30,IF(G928=2,20,IF(G928=3,10,IF(G928&lt;&gt;"",1,0))))+IF(H928=1,30,IF(H928=2,20,IF(H928=3,10,IF(H928&lt;&gt;"",1,0))))))</f>
        <v/>
      </c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14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>
        <f>IF(AND(C929="",OR(E929="",E929=0)),"",(IF(E929=1,30,IF(E929=2,20,IF(E929=3,10,IF(E929&lt;&gt;"",1,0))))+IF(F929=1,30,IF(F929=2,20,IF(F929=3,10,IF(F929&lt;&gt;"",1,0))))+IF(G929=1,30,IF(G929=2,20,IF(G929=3,10,IF(G929&lt;&gt;"",1,0))))+IF(H929=1,30,IF(H929=2,20,IF(H929=3,10,IF(H929&lt;&gt;"",1,0))))))</f>
        <v/>
      </c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14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>
        <f>IF(AND(C930="",OR(E930="",E930=0)),"",(IF(E930=1,30,IF(E930=2,20,IF(E930=3,10,IF(E930&lt;&gt;"",1,0))))+IF(F930=1,30,IF(F930=2,20,IF(F930=3,10,IF(F930&lt;&gt;"",1,0))))+IF(G930=1,30,IF(G930=2,20,IF(G930=3,10,IF(G930&lt;&gt;"",1,0))))+IF(H930=1,30,IF(H930=2,20,IF(H930=3,10,IF(H930&lt;&gt;"",1,0))))))</f>
        <v/>
      </c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14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>
        <f>IF(AND(C931="",OR(E931="",E931=0)),"",(IF(E931=1,30,IF(E931=2,20,IF(E931=3,10,IF(E931&lt;&gt;"",1,0))))+IF(F931=1,30,IF(F931=2,20,IF(F931=3,10,IF(F931&lt;&gt;"",1,0))))+IF(G931=1,30,IF(G931=2,20,IF(G931=3,10,IF(G931&lt;&gt;"",1,0))))+IF(H931=1,30,IF(H931=2,20,IF(H931=3,10,IF(H931&lt;&gt;"",1,0))))))</f>
        <v/>
      </c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14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>
        <f>IF(AND(C932="",OR(E932="",E932=0)),"",(IF(E932=1,30,IF(E932=2,20,IF(E932=3,10,IF(E932&lt;&gt;"",1,0))))+IF(F932=1,30,IF(F932=2,20,IF(F932=3,10,IF(F932&lt;&gt;"",1,0))))+IF(G932=1,30,IF(G932=2,20,IF(G932=3,10,IF(G932&lt;&gt;"",1,0))))+IF(H932=1,30,IF(H932=2,20,IF(H932=3,10,IF(H932&lt;&gt;"",1,0))))))</f>
        <v/>
      </c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14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>
        <f>IF(AND(C933="",OR(E933="",E933=0)),"",(IF(E933=1,30,IF(E933=2,20,IF(E933=3,10,IF(E933&lt;&gt;"",1,0))))+IF(F933=1,30,IF(F933=2,20,IF(F933=3,10,IF(F933&lt;&gt;"",1,0))))+IF(G933=1,30,IF(G933=2,20,IF(G933=3,10,IF(G933&lt;&gt;"",1,0))))+IF(H933=1,30,IF(H933=2,20,IF(H933=3,10,IF(H933&lt;&gt;"",1,0))))))</f>
        <v/>
      </c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14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>
        <f>IF(AND(C934="",OR(E934="",E934=0)),"",(IF(E934=1,30,IF(E934=2,20,IF(E934=3,10,IF(E934&lt;&gt;"",1,0))))+IF(F934=1,30,IF(F934=2,20,IF(F934=3,10,IF(F934&lt;&gt;"",1,0))))+IF(G934=1,30,IF(G934=2,20,IF(G934=3,10,IF(G934&lt;&gt;"",1,0))))+IF(H934=1,30,IF(H934=2,20,IF(H934=3,10,IF(H934&lt;&gt;"",1,0))))))</f>
        <v/>
      </c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14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>
        <f>IF(AND(C935="",OR(E935="",E935=0)),"",(IF(E935=1,30,IF(E935=2,20,IF(E935=3,10,IF(E935&lt;&gt;"",1,0))))+IF(F935=1,30,IF(F935=2,20,IF(F935=3,10,IF(F935&lt;&gt;"",1,0))))+IF(G935=1,30,IF(G935=2,20,IF(G935=3,10,IF(G935&lt;&gt;"",1,0))))+IF(H935=1,30,IF(H935=2,20,IF(H935=3,10,IF(H935&lt;&gt;"",1,0))))))</f>
        <v/>
      </c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14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>
        <f>IF(AND(C936="",OR(E936="",E936=0)),"",(IF(E936=1,30,IF(E936=2,20,IF(E936=3,10,IF(E936&lt;&gt;"",1,0))))+IF(F936=1,30,IF(F936=2,20,IF(F936=3,10,IF(F936&lt;&gt;"",1,0))))+IF(G936=1,30,IF(G936=2,20,IF(G936=3,10,IF(G936&lt;&gt;"",1,0))))+IF(H936=1,30,IF(H936=2,20,IF(H936=3,10,IF(H936&lt;&gt;"",1,0))))))</f>
        <v/>
      </c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14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>
        <f>IF(AND(C937="",OR(E937="",E937=0)),"",(IF(E937=1,30,IF(E937=2,20,IF(E937=3,10,IF(E937&lt;&gt;"",1,0))))+IF(F937=1,30,IF(F937=2,20,IF(F937=3,10,IF(F937&lt;&gt;"",1,0))))+IF(G937=1,30,IF(G937=2,20,IF(G937=3,10,IF(G937&lt;&gt;"",1,0))))+IF(H937=1,30,IF(H937=2,20,IF(H937=3,10,IF(H937&lt;&gt;"",1,0))))))</f>
        <v/>
      </c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14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>
        <f>IF(AND(C938="",OR(E938="",E938=0)),"",(IF(E938=1,30,IF(E938=2,20,IF(E938=3,10,IF(E938&lt;&gt;"",1,0))))+IF(F938=1,30,IF(F938=2,20,IF(F938=3,10,IF(F938&lt;&gt;"",1,0))))+IF(G938=1,30,IF(G938=2,20,IF(G938=3,10,IF(G938&lt;&gt;"",1,0))))+IF(H938=1,30,IF(H938=2,20,IF(H938=3,10,IF(H938&lt;&gt;"",1,0))))))</f>
        <v/>
      </c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14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>
        <f>IF(AND(C939="",OR(E939="",E939=0)),"",(IF(E939=1,30,IF(E939=2,20,IF(E939=3,10,IF(E939&lt;&gt;"",1,0))))+IF(F939=1,30,IF(F939=2,20,IF(F939=3,10,IF(F939&lt;&gt;"",1,0))))+IF(G939=1,30,IF(G939=2,20,IF(G939=3,10,IF(G939&lt;&gt;"",1,0))))+IF(H939=1,30,IF(H939=2,20,IF(H939=3,10,IF(H939&lt;&gt;"",1,0))))))</f>
        <v/>
      </c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14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>
        <f>IF(AND(C940="",OR(E940="",E940=0)),"",(IF(E940=1,30,IF(E940=2,20,IF(E940=3,10,IF(E940&lt;&gt;"",1,0))))+IF(F940=1,30,IF(F940=2,20,IF(F940=3,10,IF(F940&lt;&gt;"",1,0))))+IF(G940=1,30,IF(G940=2,20,IF(G940=3,10,IF(G940&lt;&gt;"",1,0))))+IF(H940=1,30,IF(H940=2,20,IF(H940=3,10,IF(H940&lt;&gt;"",1,0))))))</f>
        <v/>
      </c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14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>
        <f>IF(AND(C941="",OR(E941="",E941=0)),"",(IF(E941=1,30,IF(E941=2,20,IF(E941=3,10,IF(E941&lt;&gt;"",1,0))))+IF(F941=1,30,IF(F941=2,20,IF(F941=3,10,IF(F941&lt;&gt;"",1,0))))+IF(G941=1,30,IF(G941=2,20,IF(G941=3,10,IF(G941&lt;&gt;"",1,0))))+IF(H941=1,30,IF(H941=2,20,IF(H941=3,10,IF(H941&lt;&gt;"",1,0))))))</f>
        <v/>
      </c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14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>
        <f>IF(AND(C942="",OR(E942="",E942=0)),"",(IF(E942=1,30,IF(E942=2,20,IF(E942=3,10,IF(E942&lt;&gt;"",1,0))))+IF(F942=1,30,IF(F942=2,20,IF(F942=3,10,IF(F942&lt;&gt;"",1,0))))+IF(G942=1,30,IF(G942=2,20,IF(G942=3,10,IF(G942&lt;&gt;"",1,0))))+IF(H942=1,30,IF(H942=2,20,IF(H942=3,10,IF(H942&lt;&gt;"",1,0))))))</f>
        <v/>
      </c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1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>
        <f>IF(AND(C943="",OR(E943="",E943=0)),"",(IF(E943=1,30,IF(E943=2,20,IF(E943=3,10,IF(E943&lt;&gt;"",1,0))))+IF(F943=1,30,IF(F943=2,20,IF(F943=3,10,IF(F943&lt;&gt;"",1,0))))+IF(G943=1,30,IF(G943=2,20,IF(G943=3,10,IF(G943&lt;&gt;"",1,0))))+IF(H943=1,30,IF(H943=2,20,IF(H943=3,10,IF(H943&lt;&gt;"",1,0))))))</f>
        <v/>
      </c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14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>
        <f>IF(AND(C944="",OR(E944="",E944=0)),"",(IF(E944=1,30,IF(E944=2,20,IF(E944=3,10,IF(E944&lt;&gt;"",1,0))))+IF(F944=1,30,IF(F944=2,20,IF(F944=3,10,IF(F944&lt;&gt;"",1,0))))+IF(G944=1,30,IF(G944=2,20,IF(G944=3,10,IF(G944&lt;&gt;"",1,0))))+IF(H944=1,30,IF(H944=2,20,IF(H944=3,10,IF(H944&lt;&gt;"",1,0))))))</f>
        <v/>
      </c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14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>
        <f>IF(AND(C945="",OR(E945="",E945=0)),"",(IF(E945=1,30,IF(E945=2,20,IF(E945=3,10,IF(E945&lt;&gt;"",1,0))))+IF(F945=1,30,IF(F945=2,20,IF(F945=3,10,IF(F945&lt;&gt;"",1,0))))+IF(G945=1,30,IF(G945=2,20,IF(G945=3,10,IF(G945&lt;&gt;"",1,0))))+IF(H945=1,30,IF(H945=2,20,IF(H945=3,10,IF(H945&lt;&gt;"",1,0))))))</f>
        <v/>
      </c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14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>
        <f>IF(AND(C946="",OR(E946="",E946=0)),"",(IF(E946=1,30,IF(E946=2,20,IF(E946=3,10,IF(E946&lt;&gt;"",1,0))))+IF(F946=1,30,IF(F946=2,20,IF(F946=3,10,IF(F946&lt;&gt;"",1,0))))+IF(G946=1,30,IF(G946=2,20,IF(G946=3,10,IF(G946&lt;&gt;"",1,0))))+IF(H946=1,30,IF(H946=2,20,IF(H946=3,10,IF(H946&lt;&gt;"",1,0))))))</f>
        <v/>
      </c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14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>
        <f>IF(AND(C947="",OR(E947="",E947=0)),"",(IF(E947=1,30,IF(E947=2,20,IF(E947=3,10,IF(E947&lt;&gt;"",1,0))))+IF(F947=1,30,IF(F947=2,20,IF(F947=3,10,IF(F947&lt;&gt;"",1,0))))+IF(G947=1,30,IF(G947=2,20,IF(G947=3,10,IF(G947&lt;&gt;"",1,0))))+IF(H947=1,30,IF(H947=2,20,IF(H947=3,10,IF(H947&lt;&gt;"",1,0))))))</f>
        <v/>
      </c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14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>
        <f>IF(AND(C948="",OR(E948="",E948=0)),"",(IF(E948=1,30,IF(E948=2,20,IF(E948=3,10,IF(E948&lt;&gt;"",1,0))))+IF(F948=1,30,IF(F948=2,20,IF(F948=3,10,IF(F948&lt;&gt;"",1,0))))+IF(G948=1,30,IF(G948=2,20,IF(G948=3,10,IF(G948&lt;&gt;"",1,0))))+IF(H948=1,30,IF(H948=2,20,IF(H948=3,10,IF(H948&lt;&gt;"",1,0))))))</f>
        <v/>
      </c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14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>
        <f>IF(AND(C949="",OR(E949="",E949=0)),"",(IF(E949=1,30,IF(E949=2,20,IF(E949=3,10,IF(E949&lt;&gt;"",1,0))))+IF(F949=1,30,IF(F949=2,20,IF(F949=3,10,IF(F949&lt;&gt;"",1,0))))+IF(G949=1,30,IF(G949=2,20,IF(G949=3,10,IF(G949&lt;&gt;"",1,0))))+IF(H949=1,30,IF(H949=2,20,IF(H949=3,10,IF(H949&lt;&gt;"",1,0))))))</f>
        <v/>
      </c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14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>
        <f>IF(AND(C950="",OR(E950="",E950=0)),"",(IF(E950=1,30,IF(E950=2,20,IF(E950=3,10,IF(E950&lt;&gt;"",1,0))))+IF(F950=1,30,IF(F950=2,20,IF(F950=3,10,IF(F950&lt;&gt;"",1,0))))+IF(G950=1,30,IF(G950=2,20,IF(G950=3,10,IF(G950&lt;&gt;"",1,0))))+IF(H950=1,30,IF(H950=2,20,IF(H950=3,10,IF(H950&lt;&gt;"",1,0))))))</f>
        <v/>
      </c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14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>
        <f>IF(AND(C951="",OR(E951="",E951=0)),"",(IF(E951=1,30,IF(E951=2,20,IF(E951=3,10,IF(E951&lt;&gt;"",1,0))))+IF(F951=1,30,IF(F951=2,20,IF(F951=3,10,IF(F951&lt;&gt;"",1,0))))+IF(G951=1,30,IF(G951=2,20,IF(G951=3,10,IF(G951&lt;&gt;"",1,0))))+IF(H951=1,30,IF(H951=2,20,IF(H951=3,10,IF(H951&lt;&gt;"",1,0))))))</f>
        <v/>
      </c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14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>
        <f>IF(AND(C952="",OR(E952="",E952=0)),"",(IF(E952=1,30,IF(E952=2,20,IF(E952=3,10,IF(E952&lt;&gt;"",1,0))))+IF(F952=1,30,IF(F952=2,20,IF(F952=3,10,IF(F952&lt;&gt;"",1,0))))+IF(G952=1,30,IF(G952=2,20,IF(G952=3,10,IF(G952&lt;&gt;"",1,0))))+IF(H952=1,30,IF(H952=2,20,IF(H952=3,10,IF(H952&lt;&gt;"",1,0))))))</f>
        <v/>
      </c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14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>
        <f>IF(AND(C953="",OR(E953="",E953=0)),"",(IF(E953=1,30,IF(E953=2,20,IF(E953=3,10,IF(E953&lt;&gt;"",1,0))))+IF(F953=1,30,IF(F953=2,20,IF(F953=3,10,IF(F953&lt;&gt;"",1,0))))+IF(G953=1,30,IF(G953=2,20,IF(G953=3,10,IF(G953&lt;&gt;"",1,0))))+IF(H953=1,30,IF(H953=2,20,IF(H953=3,10,IF(H953&lt;&gt;"",1,0))))))</f>
        <v/>
      </c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14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>
        <f>IF(AND(C954="",OR(E954="",E954=0)),"",(IF(E954=1,30,IF(E954=2,20,IF(E954=3,10,IF(E954&lt;&gt;"",1,0))))+IF(F954=1,30,IF(F954=2,20,IF(F954=3,10,IF(F954&lt;&gt;"",1,0))))+IF(G954=1,30,IF(G954=2,20,IF(G954=3,10,IF(G954&lt;&gt;"",1,0))))+IF(H954=1,30,IF(H954=2,20,IF(H954=3,10,IF(H954&lt;&gt;"",1,0))))))</f>
        <v/>
      </c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14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>
        <f>IF(AND(C955="",OR(E955="",E955=0)),"",(IF(E955=1,30,IF(E955=2,20,IF(E955=3,10,IF(E955&lt;&gt;"",1,0))))+IF(F955=1,30,IF(F955=2,20,IF(F955=3,10,IF(F955&lt;&gt;"",1,0))))+IF(G955=1,30,IF(G955=2,20,IF(G955=3,10,IF(G955&lt;&gt;"",1,0))))+IF(H955=1,30,IF(H955=2,20,IF(H955=3,10,IF(H955&lt;&gt;"",1,0))))))</f>
        <v/>
      </c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14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>
        <f>IF(AND(C956="",OR(E956="",E956=0)),"",(IF(E956=1,30,IF(E956=2,20,IF(E956=3,10,IF(E956&lt;&gt;"",1,0))))+IF(F956=1,30,IF(F956=2,20,IF(F956=3,10,IF(F956&lt;&gt;"",1,0))))+IF(G956=1,30,IF(G956=2,20,IF(G956=3,10,IF(G956&lt;&gt;"",1,0))))+IF(H956=1,30,IF(H956=2,20,IF(H956=3,10,IF(H956&lt;&gt;"",1,0))))))</f>
        <v/>
      </c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14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>
        <f>IF(AND(C957="",OR(E957="",E957=0)),"",(IF(E957=1,30,IF(E957=2,20,IF(E957=3,10,IF(E957&lt;&gt;"",1,0))))+IF(F957=1,30,IF(F957=2,20,IF(F957=3,10,IF(F957&lt;&gt;"",1,0))))+IF(G957=1,30,IF(G957=2,20,IF(G957=3,10,IF(G957&lt;&gt;"",1,0))))+IF(H957=1,30,IF(H957=2,20,IF(H957=3,10,IF(H957&lt;&gt;"",1,0))))))</f>
        <v/>
      </c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14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>
        <f>IF(AND(C958="",OR(E958="",E958=0)),"",(IF(E958=1,30,IF(E958=2,20,IF(E958=3,10,IF(E958&lt;&gt;"",1,0))))+IF(F958=1,30,IF(F958=2,20,IF(F958=3,10,IF(F958&lt;&gt;"",1,0))))+IF(G958=1,30,IF(G958=2,20,IF(G958=3,10,IF(G958&lt;&gt;"",1,0))))+IF(H958=1,30,IF(H958=2,20,IF(H958=3,10,IF(H958&lt;&gt;"",1,0))))))</f>
        <v/>
      </c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14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>
        <f>IF(AND(C959="",OR(E959="",E959=0)),"",(IF(E959=1,30,IF(E959=2,20,IF(E959=3,10,IF(E959&lt;&gt;"",1,0))))+IF(F959=1,30,IF(F959=2,20,IF(F959=3,10,IF(F959&lt;&gt;"",1,0))))+IF(G959=1,30,IF(G959=2,20,IF(G959=3,10,IF(G959&lt;&gt;"",1,0))))+IF(H959=1,30,IF(H959=2,20,IF(H959=3,10,IF(H959&lt;&gt;"",1,0))))))</f>
        <v/>
      </c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14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>
        <f>IF(AND(C960="",OR(E960="",E960=0)),"",(IF(E960=1,30,IF(E960=2,20,IF(E960=3,10,IF(E960&lt;&gt;"",1,0))))+IF(F960=1,30,IF(F960=2,20,IF(F960=3,10,IF(F960&lt;&gt;"",1,0))))+IF(G960=1,30,IF(G960=2,20,IF(G960=3,10,IF(G960&lt;&gt;"",1,0))))+IF(H960=1,30,IF(H960=2,20,IF(H960=3,10,IF(H960&lt;&gt;"",1,0))))))</f>
        <v/>
      </c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14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>
        <f>IF(AND(C961="",OR(E961="",E961=0)),"",(IF(E961=1,30,IF(E961=2,20,IF(E961=3,10,IF(E961&lt;&gt;"",1,0))))+IF(F961=1,30,IF(F961=2,20,IF(F961=3,10,IF(F961&lt;&gt;"",1,0))))+IF(G961=1,30,IF(G961=2,20,IF(G961=3,10,IF(G961&lt;&gt;"",1,0))))+IF(H961=1,30,IF(H961=2,20,IF(H961=3,10,IF(H961&lt;&gt;"",1,0))))))</f>
        <v/>
      </c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14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>
        <f>IF(AND(C962="",OR(E962="",E962=0)),"",(IF(E962=1,30,IF(E962=2,20,IF(E962=3,10,IF(E962&lt;&gt;"",1,0))))+IF(F962=1,30,IF(F962=2,20,IF(F962=3,10,IF(F962&lt;&gt;"",1,0))))+IF(G962=1,30,IF(G962=2,20,IF(G962=3,10,IF(G962&lt;&gt;"",1,0))))+IF(H962=1,30,IF(H962=2,20,IF(H962=3,10,IF(H962&lt;&gt;"",1,0))))))</f>
        <v/>
      </c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14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>
        <f>IF(AND(C963="",OR(E963="",E963=0)),"",(IF(E963=1,30,IF(E963=2,20,IF(E963=3,10,IF(E963&lt;&gt;"",1,0))))+IF(F963=1,30,IF(F963=2,20,IF(F963=3,10,IF(F963&lt;&gt;"",1,0))))+IF(G963=1,30,IF(G963=2,20,IF(G963=3,10,IF(G963&lt;&gt;"",1,0))))+IF(H963=1,30,IF(H963=2,20,IF(H963=3,10,IF(H963&lt;&gt;"",1,0))))))</f>
        <v/>
      </c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14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>
        <f>IF(AND(C964="",OR(E964="",E964=0)),"",(IF(E964=1,30,IF(E964=2,20,IF(E964=3,10,IF(E964&lt;&gt;"",1,0))))+IF(F964=1,30,IF(F964=2,20,IF(F964=3,10,IF(F964&lt;&gt;"",1,0))))+IF(G964=1,30,IF(G964=2,20,IF(G964=3,10,IF(G964&lt;&gt;"",1,0))))+IF(H964=1,30,IF(H964=2,20,IF(H964=3,10,IF(H964&lt;&gt;"",1,0))))))</f>
        <v/>
      </c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14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>
        <f>IF(AND(C965="",OR(E965="",E965=0)),"",(IF(E965=1,30,IF(E965=2,20,IF(E965=3,10,IF(E965&lt;&gt;"",1,0))))+IF(F965=1,30,IF(F965=2,20,IF(F965=3,10,IF(F965&lt;&gt;"",1,0))))+IF(G965=1,30,IF(G965=2,20,IF(G965=3,10,IF(G965&lt;&gt;"",1,0))))+IF(H965=1,30,IF(H965=2,20,IF(H965=3,10,IF(H965&lt;&gt;"",1,0))))))</f>
        <v/>
      </c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14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>
        <f>IF(AND(C966="",OR(E966="",E966=0)),"",(IF(E966=1,30,IF(E966=2,20,IF(E966=3,10,IF(E966&lt;&gt;"",1,0))))+IF(F966=1,30,IF(F966=2,20,IF(F966=3,10,IF(F966&lt;&gt;"",1,0))))+IF(G966=1,30,IF(G966=2,20,IF(G966=3,10,IF(G966&lt;&gt;"",1,0))))+IF(H966=1,30,IF(H966=2,20,IF(H966=3,10,IF(H966&lt;&gt;"",1,0))))))</f>
        <v/>
      </c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14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>
        <f>IF(AND(C967="",OR(E967="",E967=0)),"",(IF(E967=1,30,IF(E967=2,20,IF(E967=3,10,IF(E967&lt;&gt;"",1,0))))+IF(F967=1,30,IF(F967=2,20,IF(F967=3,10,IF(F967&lt;&gt;"",1,0))))+IF(G967=1,30,IF(G967=2,20,IF(G967=3,10,IF(G967&lt;&gt;"",1,0))))+IF(H967=1,30,IF(H967=2,20,IF(H967=3,10,IF(H967&lt;&gt;"",1,0))))))</f>
        <v/>
      </c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14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>
        <f>IF(AND(C968="",OR(E968="",E968=0)),"",(IF(E968=1,30,IF(E968=2,20,IF(E968=3,10,IF(E968&lt;&gt;"",1,0))))+IF(F968=1,30,IF(F968=2,20,IF(F968=3,10,IF(F968&lt;&gt;"",1,0))))+IF(G968=1,30,IF(G968=2,20,IF(G968=3,10,IF(G968&lt;&gt;"",1,0))))+IF(H968=1,30,IF(H968=2,20,IF(H968=3,10,IF(H968&lt;&gt;"",1,0))))))</f>
        <v/>
      </c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14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>
        <f>IF(AND(C969="",OR(E969="",E969=0)),"",(IF(E969=1,30,IF(E969=2,20,IF(E969=3,10,IF(E969&lt;&gt;"",1,0))))+IF(F969=1,30,IF(F969=2,20,IF(F969=3,10,IF(F969&lt;&gt;"",1,0))))+IF(G969=1,30,IF(G969=2,20,IF(G969=3,10,IF(G969&lt;&gt;"",1,0))))+IF(H969=1,30,IF(H969=2,20,IF(H969=3,10,IF(H969&lt;&gt;"",1,0))))))</f>
        <v/>
      </c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14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>
        <f>IF(AND(C970="",OR(E970="",E970=0)),"",(IF(E970=1,30,IF(E970=2,20,IF(E970=3,10,IF(E970&lt;&gt;"",1,0))))+IF(F970=1,30,IF(F970=2,20,IF(F970=3,10,IF(F970&lt;&gt;"",1,0))))+IF(G970=1,30,IF(G970=2,20,IF(G970=3,10,IF(G970&lt;&gt;"",1,0))))+IF(H970=1,30,IF(H970=2,20,IF(H970=3,10,IF(H970&lt;&gt;"",1,0))))))</f>
        <v/>
      </c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14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>
        <f>IF(AND(C971="",OR(E971="",E971=0)),"",(IF(E971=1,30,IF(E971=2,20,IF(E971=3,10,IF(E971&lt;&gt;"",1,0))))+IF(F971=1,30,IF(F971=2,20,IF(F971=3,10,IF(F971&lt;&gt;"",1,0))))+IF(G971=1,30,IF(G971=2,20,IF(G971=3,10,IF(G971&lt;&gt;"",1,0))))+IF(H971=1,30,IF(H971=2,20,IF(H971=3,10,IF(H971&lt;&gt;"",1,0))))))</f>
        <v/>
      </c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14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>
        <f>IF(AND(C972="",OR(E972="",E972=0)),"",(IF(E972=1,30,IF(E972=2,20,IF(E972=3,10,IF(E972&lt;&gt;"",1,0))))+IF(F972=1,30,IF(F972=2,20,IF(F972=3,10,IF(F972&lt;&gt;"",1,0))))+IF(G972=1,30,IF(G972=2,20,IF(G972=3,10,IF(G972&lt;&gt;"",1,0))))+IF(H972=1,30,IF(H972=2,20,IF(H972=3,10,IF(H972&lt;&gt;"",1,0))))))</f>
        <v/>
      </c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14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>
        <f>IF(AND(C973="",OR(E973="",E973=0)),"",(IF(E973=1,30,IF(E973=2,20,IF(E973=3,10,IF(E973&lt;&gt;"",1,0))))+IF(F973=1,30,IF(F973=2,20,IF(F973=3,10,IF(F973&lt;&gt;"",1,0))))+IF(G973=1,30,IF(G973=2,20,IF(G973=3,10,IF(G973&lt;&gt;"",1,0))))+IF(H973=1,30,IF(H973=2,20,IF(H973=3,10,IF(H973&lt;&gt;"",1,0))))))</f>
        <v/>
      </c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14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>
        <f>IF(AND(C974="",OR(E974="",E974=0)),"",(IF(E974=1,30,IF(E974=2,20,IF(E974=3,10,IF(E974&lt;&gt;"",1,0))))+IF(F974=1,30,IF(F974=2,20,IF(F974=3,10,IF(F974&lt;&gt;"",1,0))))+IF(G974=1,30,IF(G974=2,20,IF(G974=3,10,IF(G974&lt;&gt;"",1,0))))+IF(H974=1,30,IF(H974=2,20,IF(H974=3,10,IF(H974&lt;&gt;"",1,0))))))</f>
        <v/>
      </c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14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>
        <f>IF(AND(C975="",OR(E975="",E975=0)),"",(IF(E975=1,30,IF(E975=2,20,IF(E975=3,10,IF(E975&lt;&gt;"",1,0))))+IF(F975=1,30,IF(F975=2,20,IF(F975=3,10,IF(F975&lt;&gt;"",1,0))))+IF(G975=1,30,IF(G975=2,20,IF(G975=3,10,IF(G975&lt;&gt;"",1,0))))+IF(H975=1,30,IF(H975=2,20,IF(H975=3,10,IF(H975&lt;&gt;"",1,0))))))</f>
        <v/>
      </c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14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>
        <f>IF(AND(C976="",OR(E976="",E976=0)),"",(IF(E976=1,30,IF(E976=2,20,IF(E976=3,10,IF(E976&lt;&gt;"",1,0))))+IF(F976=1,30,IF(F976=2,20,IF(F976=3,10,IF(F976&lt;&gt;"",1,0))))+IF(G976=1,30,IF(G976=2,20,IF(G976=3,10,IF(G976&lt;&gt;"",1,0))))+IF(H976=1,30,IF(H976=2,20,IF(H976=3,10,IF(H976&lt;&gt;"",1,0))))))</f>
        <v/>
      </c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14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>
        <f>IF(AND(C977="",OR(E977="",E977=0)),"",(IF(E977=1,30,IF(E977=2,20,IF(E977=3,10,IF(E977&lt;&gt;"",1,0))))+IF(F977=1,30,IF(F977=2,20,IF(F977=3,10,IF(F977&lt;&gt;"",1,0))))+IF(G977=1,30,IF(G977=2,20,IF(G977=3,10,IF(G977&lt;&gt;"",1,0))))+IF(H977=1,30,IF(H977=2,20,IF(H977=3,10,IF(H977&lt;&gt;"",1,0))))))</f>
        <v/>
      </c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14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>
        <f>IF(AND(C978="",OR(E978="",E978=0)),"",(IF(E978=1,30,IF(E978=2,20,IF(E978=3,10,IF(E978&lt;&gt;"",1,0))))+IF(F978=1,30,IF(F978=2,20,IF(F978=3,10,IF(F978&lt;&gt;"",1,0))))+IF(G978=1,30,IF(G978=2,20,IF(G978=3,10,IF(G978&lt;&gt;"",1,0))))+IF(H978=1,30,IF(H978=2,20,IF(H978=3,10,IF(H978&lt;&gt;"",1,0))))))</f>
        <v/>
      </c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14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>
        <f>IF(AND(C979="",OR(E979="",E979=0)),"",(IF(E979=1,30,IF(E979=2,20,IF(E979=3,10,IF(E979&lt;&gt;"",1,0))))+IF(F979=1,30,IF(F979=2,20,IF(F979=3,10,IF(F979&lt;&gt;"",1,0))))+IF(G979=1,30,IF(G979=2,20,IF(G979=3,10,IF(G979&lt;&gt;"",1,0))))+IF(H979=1,30,IF(H979=2,20,IF(H979=3,10,IF(H979&lt;&gt;"",1,0))))))</f>
        <v/>
      </c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14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>
        <f>IF(AND(C980="",OR(E980="",E980=0)),"",(IF(E980=1,30,IF(E980=2,20,IF(E980=3,10,IF(E980&lt;&gt;"",1,0))))+IF(F980=1,30,IF(F980=2,20,IF(F980=3,10,IF(F980&lt;&gt;"",1,0))))+IF(G980=1,30,IF(G980=2,20,IF(G980=3,10,IF(G980&lt;&gt;"",1,0))))+IF(H980=1,30,IF(H980=2,20,IF(H980=3,10,IF(H980&lt;&gt;"",1,0))))))</f>
        <v/>
      </c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14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>
        <f>IF(AND(C981="",OR(E981="",E981=0)),"",(IF(E981=1,30,IF(E981=2,20,IF(E981=3,10,IF(E981&lt;&gt;"",1,0))))+IF(F981=1,30,IF(F981=2,20,IF(F981=3,10,IF(F981&lt;&gt;"",1,0))))+IF(G981=1,30,IF(G981=2,20,IF(G981=3,10,IF(G981&lt;&gt;"",1,0))))+IF(H981=1,30,IF(H981=2,20,IF(H981=3,10,IF(H981&lt;&gt;"",1,0))))))</f>
        <v/>
      </c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14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>
        <f>IF(AND(C982="",OR(E982="",E982=0)),"",(IF(E982=1,30,IF(E982=2,20,IF(E982=3,10,IF(E982&lt;&gt;"",1,0))))+IF(F982=1,30,IF(F982=2,20,IF(F982=3,10,IF(F982&lt;&gt;"",1,0))))+IF(G982=1,30,IF(G982=2,20,IF(G982=3,10,IF(G982&lt;&gt;"",1,0))))+IF(H982=1,30,IF(H982=2,20,IF(H982=3,10,IF(H982&lt;&gt;"",1,0))))))</f>
        <v/>
      </c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14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>
        <f>IF(AND(C983="",OR(E983="",E983=0)),"",(IF(E983=1,30,IF(E983=2,20,IF(E983=3,10,IF(E983&lt;&gt;"",1,0))))+IF(F983=1,30,IF(F983=2,20,IF(F983=3,10,IF(F983&lt;&gt;"",1,0))))+IF(G983=1,30,IF(G983=2,20,IF(G983=3,10,IF(G983&lt;&gt;"",1,0))))+IF(H983=1,30,IF(H983=2,20,IF(H983=3,10,IF(H983&lt;&gt;"",1,0))))))</f>
        <v/>
      </c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14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>
        <f>IF(AND(C984="",OR(E984="",E984=0)),"",(IF(E984=1,30,IF(E984=2,20,IF(E984=3,10,IF(E984&lt;&gt;"",1,0))))+IF(F984=1,30,IF(F984=2,20,IF(F984=3,10,IF(F984&lt;&gt;"",1,0))))+IF(G984=1,30,IF(G984=2,20,IF(G984=3,10,IF(G984&lt;&gt;"",1,0))))+IF(H984=1,30,IF(H984=2,20,IF(H984=3,10,IF(H984&lt;&gt;"",1,0))))))</f>
        <v/>
      </c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14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>
        <f>IF(AND(C985="",OR(E985="",E985=0)),"",(IF(E985=1,30,IF(E985=2,20,IF(E985=3,10,IF(E985&lt;&gt;"",1,0))))+IF(F985=1,30,IF(F985=2,20,IF(F985=3,10,IF(F985&lt;&gt;"",1,0))))+IF(G985=1,30,IF(G985=2,20,IF(G985=3,10,IF(G985&lt;&gt;"",1,0))))+IF(H985=1,30,IF(H985=2,20,IF(H985=3,10,IF(H985&lt;&gt;"",1,0))))))</f>
        <v/>
      </c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14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>
        <f>IF(AND(C986="",OR(E986="",E986=0)),"",(IF(E986=1,30,IF(E986=2,20,IF(E986=3,10,IF(E986&lt;&gt;"",1,0))))+IF(F986=1,30,IF(F986=2,20,IF(F986=3,10,IF(F986&lt;&gt;"",1,0))))+IF(G986=1,30,IF(G986=2,20,IF(G986=3,10,IF(G986&lt;&gt;"",1,0))))+IF(H986=1,30,IF(H986=2,20,IF(H986=3,10,IF(H986&lt;&gt;"",1,0))))))</f>
        <v/>
      </c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14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>
        <f>IF(AND(C987="",OR(E987="",E987=0)),"",(IF(E987=1,30,IF(E987=2,20,IF(E987=3,10,IF(E987&lt;&gt;"",1,0))))+IF(F987=1,30,IF(F987=2,20,IF(F987=3,10,IF(F987&lt;&gt;"",1,0))))+IF(G987=1,30,IF(G987=2,20,IF(G987=3,10,IF(G987&lt;&gt;"",1,0))))+IF(H987=1,30,IF(H987=2,20,IF(H987=3,10,IF(H987&lt;&gt;"",1,0))))))</f>
        <v/>
      </c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14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>
        <f>IF(AND(C988="",OR(E988="",E988=0)),"",(IF(E988=1,30,IF(E988=2,20,IF(E988=3,10,IF(E988&lt;&gt;"",1,0))))+IF(F988=1,30,IF(F988=2,20,IF(F988=3,10,IF(F988&lt;&gt;"",1,0))))+IF(G988=1,30,IF(G988=2,20,IF(G988=3,10,IF(G988&lt;&gt;"",1,0))))+IF(H988=1,30,IF(H988=2,20,IF(H988=3,10,IF(H988&lt;&gt;"",1,0))))))</f>
        <v/>
      </c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14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>
        <f>IF(AND(C989="",OR(E989="",E989=0)),"",(IF(E989=1,30,IF(E989=2,20,IF(E989=3,10,IF(E989&lt;&gt;"",1,0))))+IF(F989=1,30,IF(F989=2,20,IF(F989=3,10,IF(F989&lt;&gt;"",1,0))))+IF(G989=1,30,IF(G989=2,20,IF(G989=3,10,IF(G989&lt;&gt;"",1,0))))+IF(H989=1,30,IF(H989=2,20,IF(H989=3,10,IF(H989&lt;&gt;"",1,0))))))</f>
        <v/>
      </c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14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>
        <f>IF(AND(C990="",OR(E990="",E990=0)),"",(IF(E990=1,30,IF(E990=2,20,IF(E990=3,10,IF(E990&lt;&gt;"",1,0))))+IF(F990=1,30,IF(F990=2,20,IF(F990=3,10,IF(F990&lt;&gt;"",1,0))))+IF(G990=1,30,IF(G990=2,20,IF(G990=3,10,IF(G990&lt;&gt;"",1,0))))+IF(H990=1,30,IF(H990=2,20,IF(H990=3,10,IF(H990&lt;&gt;"",1,0))))))</f>
        <v/>
      </c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14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>
        <f>IF(AND(C991="",OR(E991="",E991=0)),"",(IF(E991=1,30,IF(E991=2,20,IF(E991=3,10,IF(E991&lt;&gt;"",1,0))))+IF(F991=1,30,IF(F991=2,20,IF(F991=3,10,IF(F991&lt;&gt;"",1,0))))+IF(G991=1,30,IF(G991=2,20,IF(G991=3,10,IF(G991&lt;&gt;"",1,0))))+IF(H991=1,30,IF(H991=2,20,IF(H991=3,10,IF(H991&lt;&gt;"",1,0))))))</f>
        <v/>
      </c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14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>
        <f>IF(AND(C992="",OR(E992="",E992=0)),"",(IF(E992=1,30,IF(E992=2,20,IF(E992=3,10,IF(E992&lt;&gt;"",1,0))))+IF(F992=1,30,IF(F992=2,20,IF(F992=3,10,IF(F992&lt;&gt;"",1,0))))+IF(G992=1,30,IF(G992=2,20,IF(G992=3,10,IF(G992&lt;&gt;"",1,0))))+IF(H992=1,30,IF(H992=2,20,IF(H992=3,10,IF(H992&lt;&gt;"",1,0))))))</f>
        <v/>
      </c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14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>
        <f>IF(AND(C993="",OR(E993="",E993=0)),"",(IF(E993=1,30,IF(E993=2,20,IF(E993=3,10,IF(E993&lt;&gt;"",1,0))))+IF(F993=1,30,IF(F993=2,20,IF(F993=3,10,IF(F993&lt;&gt;"",1,0))))+IF(G993=1,30,IF(G993=2,20,IF(G993=3,10,IF(G993&lt;&gt;"",1,0))))+IF(H993=1,30,IF(H993=2,20,IF(H993=3,10,IF(H993&lt;&gt;"",1,0))))))</f>
        <v/>
      </c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14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>
        <f>IF(AND(C994="",OR(E994="",E994=0)),"",(IF(E994=1,30,IF(E994=2,20,IF(E994=3,10,IF(E994&lt;&gt;"",1,0))))+IF(F994=1,30,IF(F994=2,20,IF(F994=3,10,IF(F994&lt;&gt;"",1,0))))+IF(G994=1,30,IF(G994=2,20,IF(G994=3,10,IF(G994&lt;&gt;"",1,0))))+IF(H994=1,30,IF(H994=2,20,IF(H994=3,10,IF(H994&lt;&gt;"",1,0))))))</f>
        <v/>
      </c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14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>
        <f>IF(AND(C995="",OR(E995="",E995=0)),"",(IF(E995=1,30,IF(E995=2,20,IF(E995=3,10,IF(E995&lt;&gt;"",1,0))))+IF(F995=1,30,IF(F995=2,20,IF(F995=3,10,IF(F995&lt;&gt;"",1,0))))+IF(G995=1,30,IF(G995=2,20,IF(G995=3,10,IF(G995&lt;&gt;"",1,0))))+IF(H995=1,30,IF(H995=2,20,IF(H995=3,10,IF(H995&lt;&gt;"",1,0))))))</f>
        <v/>
      </c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14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>
        <f>IF(AND(C996="",OR(E996="",E996=0)),"",(IF(E996=1,30,IF(E996=2,20,IF(E996=3,10,IF(E996&lt;&gt;"",1,0))))+IF(F996=1,30,IF(F996=2,20,IF(F996=3,10,IF(F996&lt;&gt;"",1,0))))+IF(G996=1,30,IF(G996=2,20,IF(G996=3,10,IF(G996&lt;&gt;"",1,0))))+IF(H996=1,30,IF(H996=2,20,IF(H996=3,10,IF(H996&lt;&gt;"",1,0))))))</f>
        <v/>
      </c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14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>
        <f>IF(AND(C997="",OR(E997="",E997=0)),"",(IF(E997=1,30,IF(E997=2,20,IF(E997=3,10,IF(E997&lt;&gt;"",1,0))))+IF(F997=1,30,IF(F997=2,20,IF(F997=3,10,IF(F997&lt;&gt;"",1,0))))+IF(G997=1,30,IF(G997=2,20,IF(G997=3,10,IF(G997&lt;&gt;"",1,0))))+IF(H997=1,30,IF(H997=2,20,IF(H997=3,10,IF(H997&lt;&gt;"",1,0))))))</f>
        <v/>
      </c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14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>
        <f>IF(AND(C998="",OR(E998="",E998=0)),"",(IF(E998=1,30,IF(E998=2,20,IF(E998=3,10,IF(E998&lt;&gt;"",1,0))))+IF(F998=1,30,IF(F998=2,20,IF(F998=3,10,IF(F998&lt;&gt;"",1,0))))+IF(G998=1,30,IF(G998=2,20,IF(G998=3,10,IF(G998&lt;&gt;"",1,0))))+IF(H998=1,30,IF(H998=2,20,IF(H998=3,10,IF(H998&lt;&gt;"",1,0))))))</f>
        <v/>
      </c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14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>
        <f>IF(AND(C999="",OR(E999="",E999=0)),"",(IF(E999=1,30,IF(E999=2,20,IF(E999=3,10,IF(E999&lt;&gt;"",1,0))))+IF(F999=1,30,IF(F999=2,20,IF(F999=3,10,IF(F999&lt;&gt;"",1,0))))+IF(G999=1,30,IF(G999=2,20,IF(G999=3,10,IF(G999&lt;&gt;"",1,0))))+IF(H999=1,30,IF(H999=2,20,IF(H999=3,10,IF(H999&lt;&gt;"",1,0))))))</f>
        <v/>
      </c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14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>
        <f>IF(AND(C1000="",OR(E1000="",E1000=0)),"",(IF(E1000=1,30,IF(E1000=2,20,IF(E1000=3,10,IF(E1000&lt;&gt;"",1,0))))+IF(F1000=1,30,IF(F1000=2,20,IF(F1000=3,10,IF(F1000&lt;&gt;"",1,0))))+IF(G1000=1,30,IF(G1000=2,20,IF(G1000=3,10,IF(G1000&lt;&gt;"",1,0))))+IF(H1000=1,30,IF(H1000=2,20,IF(H1000=3,10,IF(H1000&lt;&gt;"",1,0))))))</f>
        <v/>
      </c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B$3:$I$103"/>
  <mergeCells count="1">
    <mergeCell ref="B2:I2"/>
  </mergeCells>
  <conditionalFormatting sqref="B4:I103">
    <cfRule type="expression" priority="1" dxfId="0">
      <formula>$D4="Bgirl"</formula>
    </cfRule>
  </conditionalFormatting>
  <dataValidations count="1">
    <dataValidation sqref="D4:D103" showDropDown="0" showInputMessage="0" showErrorMessage="0" allowBlank="1" type="list">
      <formula1>"1 год обучения,до 3 лет опыта,до 6 лет,7-9 лет,10-13 лет,Kids Pro,Bgirl"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3" min="1" max="1"/>
    <col width="5" customWidth="1" style="143" min="2" max="2"/>
    <col width="22" customWidth="1" style="143" min="3" max="3"/>
    <col width="16" customWidth="1" style="143" min="4" max="4"/>
    <col width="23.86" customWidth="1" style="143" min="5" max="8"/>
    <col width="14.43" customWidth="1" style="143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6" customHeight="1" s="143">
      <c r="A2" s="1" t="n"/>
      <c r="B2" s="160" t="inlineStr">
        <is>
          <t>🍂 Autumn  —  РЕЗУЛЬТАТЫ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30" customHeight="1" s="143">
      <c r="A3" s="1" t="n"/>
      <c r="B3" s="31" t="inlineStr">
        <is>
          <t>№</t>
        </is>
      </c>
      <c r="C3" s="31" t="inlineStr">
        <is>
          <t>Имя участника</t>
        </is>
      </c>
      <c r="D3" s="31" t="inlineStr">
        <is>
          <t>Номинация</t>
        </is>
      </c>
      <c r="E3" s="30" t="inlineStr">
        <is>
          <t>Место (осн.)</t>
        </is>
      </c>
      <c r="F3" s="30" t="inlineStr">
        <is>
          <t>Доп. ном.1</t>
        </is>
      </c>
      <c r="G3" s="30" t="inlineStr">
        <is>
          <t>Доп. ном.2</t>
        </is>
      </c>
      <c r="H3" s="30" t="inlineStr">
        <is>
          <t>Доп. ном.3</t>
        </is>
      </c>
      <c r="I3" s="31" t="inlineStr">
        <is>
          <t>Баллы (x1)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143">
      <c r="A4" s="1" t="n"/>
      <c r="B4" s="32">
        <f>'👥 Участники'!B4</f>
        <v/>
      </c>
      <c r="C4" s="33">
        <f>'👥 Участники'!C4</f>
        <v/>
      </c>
      <c r="D4" s="34">
        <f>'👥 Участники'!D4</f>
        <v/>
      </c>
      <c r="E4" s="40" t="n"/>
      <c r="F4" s="40" t="n"/>
      <c r="G4" s="40" t="n"/>
      <c r="H4" s="40" t="n"/>
      <c r="I4" s="36">
        <f>IF(AND(C4="",OR(E4="",E4=0)),"",(IF(E4=1,30,IF(E4=2,20,IF(E4=3,10,IF(E4&lt;&gt;"",1,0))))+IF(F4=1,30,IF(F4=2,20,IF(F4=3,10,IF(F4&lt;&gt;"",1,0))))+IF(G4=1,30,IF(G4=2,20,IF(G4=3,10,IF(G4&lt;&gt;"",1,0))))+IF(H4=1,30,IF(H4=2,20,IF(H4=3,10,IF(H4&lt;&gt;"",1,0))))))</f>
        <v/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143">
      <c r="A5" s="1" t="n"/>
      <c r="B5" s="37">
        <f>'👥 Участники'!B5</f>
        <v/>
      </c>
      <c r="C5" s="38">
        <f>'👥 Участники'!C5</f>
        <v/>
      </c>
      <c r="D5" s="39">
        <f>'👥 Участники'!D5</f>
        <v/>
      </c>
      <c r="E5" s="40" t="n"/>
      <c r="F5" s="40" t="n"/>
      <c r="G5" s="40" t="n"/>
      <c r="H5" s="40" t="n"/>
      <c r="I5" s="36">
        <f>IF(AND(C5="",OR(E5="",E5=0)),"",(IF(E5=1,30,IF(E5=2,20,IF(E5=3,10,IF(E5&lt;&gt;"",1,0))))+IF(F5=1,30,IF(F5=2,20,IF(F5=3,10,IF(F5&lt;&gt;"",1,0))))+IF(G5=1,30,IF(G5=2,20,IF(G5=3,10,IF(G5&lt;&gt;"",1,0))))+IF(H5=1,30,IF(H5=2,20,IF(H5=3,10,IF(H5&lt;&gt;"",1,0))))))</f>
        <v/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9.5" customHeight="1" s="143">
      <c r="A6" s="1" t="n"/>
      <c r="B6" s="32">
        <f>'👥 Участники'!B6</f>
        <v/>
      </c>
      <c r="C6" s="33">
        <f>'👥 Участники'!C6</f>
        <v/>
      </c>
      <c r="D6" s="34">
        <f>'👥 Участники'!D6</f>
        <v/>
      </c>
      <c r="E6" s="40" t="n"/>
      <c r="F6" s="40" t="n"/>
      <c r="G6" s="40" t="n"/>
      <c r="H6" s="40" t="n"/>
      <c r="I6" s="36">
        <f>IF(AND(C6="",OR(E6="",E6=0)),"",(IF(E6=1,30,IF(E6=2,20,IF(E6=3,10,IF(E6&lt;&gt;"",1,0))))+IF(F6=1,30,IF(F6=2,20,IF(F6=3,10,IF(F6&lt;&gt;"",1,0))))+IF(G6=1,30,IF(G6=2,20,IF(G6=3,10,IF(G6&lt;&gt;"",1,0))))+IF(H6=1,30,IF(H6=2,20,IF(H6=3,10,IF(H6&lt;&gt;"",1,0))))))</f>
        <v/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143">
      <c r="A7" s="1" t="n"/>
      <c r="B7" s="37">
        <f>'👥 Участники'!B7</f>
        <v/>
      </c>
      <c r="C7" s="38">
        <f>'👥 Участники'!C7</f>
        <v/>
      </c>
      <c r="D7" s="39">
        <f>'👥 Участники'!D7</f>
        <v/>
      </c>
      <c r="E7" s="40" t="n"/>
      <c r="F7" s="40" t="n"/>
      <c r="G7" s="40" t="n"/>
      <c r="H7" s="40" t="n"/>
      <c r="I7" s="36">
        <f>IF(AND(C7="",OR(E7="",E7=0)),"",(IF(E7=1,30,IF(E7=2,20,IF(E7=3,10,IF(E7&lt;&gt;"",1,0))))+IF(F7=1,30,IF(F7=2,20,IF(F7=3,10,IF(F7&lt;&gt;"",1,0))))+IF(G7=1,30,IF(G7=2,20,IF(G7=3,10,IF(G7&lt;&gt;"",1,0))))+IF(H7=1,30,IF(H7=2,20,IF(H7=3,10,IF(H7&lt;&gt;"",1,0))))))</f>
        <v/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143">
      <c r="A8" s="1" t="n"/>
      <c r="B8" s="32">
        <f>'👥 Участники'!B8</f>
        <v/>
      </c>
      <c r="C8" s="33">
        <f>'👥 Участники'!C8</f>
        <v/>
      </c>
      <c r="D8" s="34">
        <f>'👥 Участники'!D8</f>
        <v/>
      </c>
      <c r="E8" s="40" t="n"/>
      <c r="F8" s="40" t="n"/>
      <c r="G8" s="40" t="n"/>
      <c r="H8" s="40" t="n"/>
      <c r="I8" s="36">
        <f>IF(AND(C8="",OR(E8="",E8=0)),"",(IF(E8=1,30,IF(E8=2,20,IF(E8=3,10,IF(E8&lt;&gt;"",1,0))))+IF(F8=1,30,IF(F8=2,20,IF(F8=3,10,IF(F8&lt;&gt;"",1,0))))+IF(G8=1,30,IF(G8=2,20,IF(G8=3,10,IF(G8&lt;&gt;"",1,0))))+IF(H8=1,30,IF(H8=2,20,IF(H8=3,10,IF(H8&lt;&gt;"",1,0))))))</f>
        <v/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143">
      <c r="A9" s="1" t="n"/>
      <c r="B9" s="37">
        <f>'👥 Участники'!B9</f>
        <v/>
      </c>
      <c r="C9" s="38">
        <f>'👥 Участники'!C9</f>
        <v/>
      </c>
      <c r="D9" s="39">
        <f>'👥 Участники'!D9</f>
        <v/>
      </c>
      <c r="E9" s="40" t="n"/>
      <c r="F9" s="40" t="n"/>
      <c r="G9" s="40" t="n"/>
      <c r="H9" s="40" t="n"/>
      <c r="I9" s="36">
        <f>IF(AND(C9="",OR(E9="",E9=0)),"",(IF(E9=1,30,IF(E9=2,20,IF(E9=3,10,IF(E9&lt;&gt;"",1,0))))+IF(F9=1,30,IF(F9=2,20,IF(F9=3,10,IF(F9&lt;&gt;"",1,0))))+IF(G9=1,30,IF(G9=2,20,IF(G9=3,10,IF(G9&lt;&gt;"",1,0))))+IF(H9=1,30,IF(H9=2,20,IF(H9=3,10,IF(H9&lt;&gt;"",1,0))))))</f>
        <v/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143">
      <c r="A10" s="1" t="n"/>
      <c r="B10" s="32">
        <f>'👥 Участники'!B10</f>
        <v/>
      </c>
      <c r="C10" s="33">
        <f>'👥 Участники'!C10</f>
        <v/>
      </c>
      <c r="D10" s="34">
        <f>'👥 Участники'!D10</f>
        <v/>
      </c>
      <c r="E10" s="40" t="n"/>
      <c r="F10" s="40" t="n"/>
      <c r="G10" s="40" t="n"/>
      <c r="H10" s="40" t="n"/>
      <c r="I10" s="36">
        <f>IF(AND(C10="",OR(E10="",E10=0)),"",(IF(E10=1,30,IF(E10=2,20,IF(E10=3,10,IF(E10&lt;&gt;"",1,0))))+IF(F10=1,30,IF(F10=2,20,IF(F10=3,10,IF(F10&lt;&gt;"",1,0))))+IF(G10=1,30,IF(G10=2,20,IF(G10=3,10,IF(G10&lt;&gt;"",1,0))))+IF(H10=1,30,IF(H10=2,20,IF(H10=3,10,IF(H10&lt;&gt;"",1,0))))))</f>
        <v/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143">
      <c r="A11" s="1" t="n"/>
      <c r="B11" s="37">
        <f>'👥 Участники'!B11</f>
        <v/>
      </c>
      <c r="C11" s="38">
        <f>'👥 Участники'!C11</f>
        <v/>
      </c>
      <c r="D11" s="39">
        <f>'👥 Участники'!D11</f>
        <v/>
      </c>
      <c r="E11" s="40" t="n"/>
      <c r="F11" s="40" t="n"/>
      <c r="G11" s="40" t="n"/>
      <c r="H11" s="40" t="n"/>
      <c r="I11" s="36">
        <f>IF(AND(C11="",OR(E11="",E11=0)),"",(IF(E11=1,30,IF(E11=2,20,IF(E11=3,10,IF(E11&lt;&gt;"",1,0))))+IF(F11=1,30,IF(F11=2,20,IF(F11=3,10,IF(F11&lt;&gt;"",1,0))))+IF(G11=1,30,IF(G11=2,20,IF(G11=3,10,IF(G11&lt;&gt;"",1,0))))+IF(H11=1,30,IF(H11=2,20,IF(H11=3,10,IF(H11&lt;&gt;"",1,0))))))</f>
        <v/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9.5" customHeight="1" s="143">
      <c r="A12" s="1" t="n"/>
      <c r="B12" s="32">
        <f>'👥 Участники'!B12</f>
        <v/>
      </c>
      <c r="C12" s="33">
        <f>'👥 Участники'!C12</f>
        <v/>
      </c>
      <c r="D12" s="34">
        <f>'👥 Участники'!D12</f>
        <v/>
      </c>
      <c r="E12" s="40" t="n"/>
      <c r="F12" s="40" t="n"/>
      <c r="G12" s="40" t="n"/>
      <c r="H12" s="40" t="n"/>
      <c r="I12" s="36">
        <f>IF(AND(C12="",OR(E12="",E12=0)),"",(IF(E12=1,30,IF(E12=2,20,IF(E12=3,10,IF(E12&lt;&gt;"",1,0))))+IF(F12=1,30,IF(F12=2,20,IF(F12=3,10,IF(F12&lt;&gt;"",1,0))))+IF(G12=1,30,IF(G12=2,20,IF(G12=3,10,IF(G12&lt;&gt;"",1,0))))+IF(H12=1,30,IF(H12=2,20,IF(H12=3,10,IF(H12&lt;&gt;"",1,0))))))</f>
        <v/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9.5" customHeight="1" s="143">
      <c r="A13" s="1" t="n"/>
      <c r="B13" s="37">
        <f>'👥 Участники'!B13</f>
        <v/>
      </c>
      <c r="C13" s="38">
        <f>'👥 Участники'!C13</f>
        <v/>
      </c>
      <c r="D13" s="39">
        <f>'👥 Участники'!D13</f>
        <v/>
      </c>
      <c r="E13" s="40" t="n"/>
      <c r="F13" s="40" t="n"/>
      <c r="G13" s="40" t="n"/>
      <c r="H13" s="40" t="n"/>
      <c r="I13" s="36">
        <f>IF(AND(C13="",OR(E13="",E13=0)),"",(IF(E13=1,30,IF(E13=2,20,IF(E13=3,10,IF(E13&lt;&gt;"",1,0))))+IF(F13=1,30,IF(F13=2,20,IF(F13=3,10,IF(F13&lt;&gt;"",1,0))))+IF(G13=1,30,IF(G13=2,20,IF(G13=3,10,IF(G13&lt;&gt;"",1,0))))+IF(H13=1,30,IF(H13=2,20,IF(H13=3,10,IF(H13&lt;&gt;"",1,0))))))</f>
        <v/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9.5" customHeight="1" s="143">
      <c r="A14" s="1" t="n"/>
      <c r="B14" s="32">
        <f>'👥 Участники'!B14</f>
        <v/>
      </c>
      <c r="C14" s="33">
        <f>'👥 Участники'!C14</f>
        <v/>
      </c>
      <c r="D14" s="34">
        <f>'👥 Участники'!D14</f>
        <v/>
      </c>
      <c r="E14" s="40" t="n"/>
      <c r="F14" s="40" t="n"/>
      <c r="G14" s="40" t="n"/>
      <c r="H14" s="40" t="n"/>
      <c r="I14" s="36">
        <f>IF(AND(C14="",OR(E14="",E14=0)),"",(IF(E14=1,30,IF(E14=2,20,IF(E14=3,10,IF(E14&lt;&gt;"",1,0))))+IF(F14=1,30,IF(F14=2,20,IF(F14=3,10,IF(F14&lt;&gt;"",1,0))))+IF(G14=1,30,IF(G14=2,20,IF(G14=3,10,IF(G14&lt;&gt;"",1,0))))+IF(H14=1,30,IF(H14=2,20,IF(H14=3,10,IF(H14&lt;&gt;"",1,0))))))</f>
        <v/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9.5" customHeight="1" s="143">
      <c r="A15" s="1" t="n"/>
      <c r="B15" s="37">
        <f>'👥 Участники'!B15</f>
        <v/>
      </c>
      <c r="C15" s="38">
        <f>'👥 Участники'!C15</f>
        <v/>
      </c>
      <c r="D15" s="39">
        <f>'👥 Участники'!D15</f>
        <v/>
      </c>
      <c r="E15" s="40" t="n"/>
      <c r="F15" s="40" t="n"/>
      <c r="G15" s="40" t="n"/>
      <c r="H15" s="40" t="n"/>
      <c r="I15" s="36">
        <f>IF(AND(C15="",OR(E15="",E15=0)),"",(IF(E15=1,30,IF(E15=2,20,IF(E15=3,10,IF(E15&lt;&gt;"",1,0))))+IF(F15=1,30,IF(F15=2,20,IF(F15=3,10,IF(F15&lt;&gt;"",1,0))))+IF(G15=1,30,IF(G15=2,20,IF(G15=3,10,IF(G15&lt;&gt;"",1,0))))+IF(H15=1,30,IF(H15=2,20,IF(H15=3,10,IF(H15&lt;&gt;"",1,0))))))</f>
        <v/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9.5" customHeight="1" s="143">
      <c r="A16" s="1" t="n"/>
      <c r="B16" s="32">
        <f>'👥 Участники'!B16</f>
        <v/>
      </c>
      <c r="C16" s="33">
        <f>'👥 Участники'!C16</f>
        <v/>
      </c>
      <c r="D16" s="34">
        <f>'👥 Участники'!D16</f>
        <v/>
      </c>
      <c r="E16" s="40" t="n"/>
      <c r="F16" s="40" t="n"/>
      <c r="G16" s="40" t="n"/>
      <c r="H16" s="40" t="n"/>
      <c r="I16" s="36">
        <f>IF(AND(C16="",OR(E16="",E16=0)),"",(IF(E16=1,30,IF(E16=2,20,IF(E16=3,10,IF(E16&lt;&gt;"",1,0))))+IF(F16=1,30,IF(F16=2,20,IF(F16=3,10,IF(F16&lt;&gt;"",1,0))))+IF(G16=1,30,IF(G16=2,20,IF(G16=3,10,IF(G16&lt;&gt;"",1,0))))+IF(H16=1,30,IF(H16=2,20,IF(H16=3,10,IF(H16&lt;&gt;"",1,0))))))</f>
        <v/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9.5" customHeight="1" s="143">
      <c r="A17" s="1" t="n"/>
      <c r="B17" s="37">
        <f>'👥 Участники'!B17</f>
        <v/>
      </c>
      <c r="C17" s="38">
        <f>'👥 Участники'!C17</f>
        <v/>
      </c>
      <c r="D17" s="39">
        <f>'👥 Участники'!D17</f>
        <v/>
      </c>
      <c r="E17" s="40" t="n"/>
      <c r="F17" s="40" t="n"/>
      <c r="G17" s="40" t="n"/>
      <c r="H17" s="40" t="n"/>
      <c r="I17" s="36">
        <f>IF(AND(C17="",OR(E17="",E17=0)),"",(IF(E17=1,30,IF(E17=2,20,IF(E17=3,10,IF(E17&lt;&gt;"",1,0))))+IF(F17=1,30,IF(F17=2,20,IF(F17=3,10,IF(F17&lt;&gt;"",1,0))))+IF(G17=1,30,IF(G17=2,20,IF(G17=3,10,IF(G17&lt;&gt;"",1,0))))+IF(H17=1,30,IF(H17=2,20,IF(H17=3,10,IF(H17&lt;&gt;"",1,0))))))</f>
        <v/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9.5" customHeight="1" s="143">
      <c r="A18" s="1" t="n"/>
      <c r="B18" s="32">
        <f>'👥 Участники'!B18</f>
        <v/>
      </c>
      <c r="C18" s="33">
        <f>'👥 Участники'!C18</f>
        <v/>
      </c>
      <c r="D18" s="34">
        <f>'👥 Участники'!D18</f>
        <v/>
      </c>
      <c r="E18" s="40" t="n"/>
      <c r="F18" s="40" t="n"/>
      <c r="G18" s="40" t="n"/>
      <c r="H18" s="40" t="n"/>
      <c r="I18" s="36">
        <f>IF(AND(C18="",OR(E18="",E18=0)),"",(IF(E18=1,30,IF(E18=2,20,IF(E18=3,10,IF(E18&lt;&gt;"",1,0))))+IF(F18=1,30,IF(F18=2,20,IF(F18=3,10,IF(F18&lt;&gt;"",1,0))))+IF(G18=1,30,IF(G18=2,20,IF(G18=3,10,IF(G18&lt;&gt;"",1,0))))+IF(H18=1,30,IF(H18=2,20,IF(H18=3,10,IF(H18&lt;&gt;"",1,0))))))</f>
        <v/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9.5" customHeight="1" s="143">
      <c r="A19" s="1" t="n"/>
      <c r="B19" s="37">
        <f>'👥 Участники'!B19</f>
        <v/>
      </c>
      <c r="C19" s="38">
        <f>'👥 Участники'!C19</f>
        <v/>
      </c>
      <c r="D19" s="39">
        <f>'👥 Участники'!D19</f>
        <v/>
      </c>
      <c r="E19" s="40" t="n"/>
      <c r="F19" s="40" t="n"/>
      <c r="G19" s="40" t="n"/>
      <c r="H19" s="40" t="n"/>
      <c r="I19" s="36">
        <f>IF(AND(C19="",OR(E19="",E19=0)),"",(IF(E19=1,30,IF(E19=2,20,IF(E19=3,10,IF(E19&lt;&gt;"",1,0))))+IF(F19=1,30,IF(F19=2,20,IF(F19=3,10,IF(F19&lt;&gt;"",1,0))))+IF(G19=1,30,IF(G19=2,20,IF(G19=3,10,IF(G19&lt;&gt;"",1,0))))+IF(H19=1,30,IF(H19=2,20,IF(H19=3,10,IF(H19&lt;&gt;"",1,0))))))</f>
        <v/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9.5" customHeight="1" s="143">
      <c r="A20" s="1" t="n"/>
      <c r="B20" s="32">
        <f>'👥 Участники'!B20</f>
        <v/>
      </c>
      <c r="C20" s="33">
        <f>'👥 Участники'!C20</f>
        <v/>
      </c>
      <c r="D20" s="34">
        <f>'👥 Участники'!D20</f>
        <v/>
      </c>
      <c r="E20" s="40" t="n"/>
      <c r="F20" s="40" t="n"/>
      <c r="G20" s="40" t="n"/>
      <c r="H20" s="40" t="n"/>
      <c r="I20" s="36">
        <f>IF(AND(C20="",OR(E20="",E20=0)),"",(IF(E20=1,30,IF(E20=2,20,IF(E20=3,10,IF(E20&lt;&gt;"",1,0))))+IF(F20=1,30,IF(F20=2,20,IF(F20=3,10,IF(F20&lt;&gt;"",1,0))))+IF(G20=1,30,IF(G20=2,20,IF(G20=3,10,IF(G20&lt;&gt;"",1,0))))+IF(H20=1,30,IF(H20=2,20,IF(H20=3,10,IF(H20&lt;&gt;"",1,0))))))</f>
        <v/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9.5" customHeight="1" s="143">
      <c r="A21" s="1" t="n"/>
      <c r="B21" s="37">
        <f>'👥 Участники'!B21</f>
        <v/>
      </c>
      <c r="C21" s="38">
        <f>'👥 Участники'!C21</f>
        <v/>
      </c>
      <c r="D21" s="39">
        <f>'👥 Участники'!D21</f>
        <v/>
      </c>
      <c r="E21" s="40" t="n"/>
      <c r="F21" s="40" t="n"/>
      <c r="G21" s="40" t="n"/>
      <c r="H21" s="40" t="n"/>
      <c r="I21" s="36">
        <f>IF(AND(C21="",OR(E21="",E21=0)),"",(IF(E21=1,30,IF(E21=2,20,IF(E21=3,10,IF(E21&lt;&gt;"",1,0))))+IF(F21=1,30,IF(F21=2,20,IF(F21=3,10,IF(F21&lt;&gt;"",1,0))))+IF(G21=1,30,IF(G21=2,20,IF(G21=3,10,IF(G21&lt;&gt;"",1,0))))+IF(H21=1,30,IF(H21=2,20,IF(H21=3,10,IF(H21&lt;&gt;"",1,0))))))</f>
        <v/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9.5" customHeight="1" s="143">
      <c r="A22" s="1" t="n"/>
      <c r="B22" s="32">
        <f>'👥 Участники'!B22</f>
        <v/>
      </c>
      <c r="C22" s="33">
        <f>'👥 Участники'!C22</f>
        <v/>
      </c>
      <c r="D22" s="34">
        <f>'👥 Участники'!D22</f>
        <v/>
      </c>
      <c r="E22" s="40" t="n"/>
      <c r="F22" s="40" t="n"/>
      <c r="G22" s="40" t="n"/>
      <c r="H22" s="40" t="n"/>
      <c r="I22" s="36">
        <f>IF(AND(C22="",OR(E22="",E22=0)),"",(IF(E22=1,30,IF(E22=2,20,IF(E22=3,10,IF(E22&lt;&gt;"",1,0))))+IF(F22=1,30,IF(F22=2,20,IF(F22=3,10,IF(F22&lt;&gt;"",1,0))))+IF(G22=1,30,IF(G22=2,20,IF(G22=3,10,IF(G22&lt;&gt;"",1,0))))+IF(H22=1,30,IF(H22=2,20,IF(H22=3,10,IF(H22&lt;&gt;"",1,0))))))</f>
        <v/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9.5" customHeight="1" s="143">
      <c r="A23" s="1" t="n"/>
      <c r="B23" s="37">
        <f>'👥 Участники'!B23</f>
        <v/>
      </c>
      <c r="C23" s="38">
        <f>'👥 Участники'!C23</f>
        <v/>
      </c>
      <c r="D23" s="39">
        <f>'👥 Участники'!D23</f>
        <v/>
      </c>
      <c r="E23" s="40" t="n"/>
      <c r="F23" s="40" t="n"/>
      <c r="G23" s="40" t="n"/>
      <c r="H23" s="40" t="n"/>
      <c r="I23" s="36">
        <f>IF(AND(C23="",OR(E23="",E23=0)),"",(IF(E23=1,30,IF(E23=2,20,IF(E23=3,10,IF(E23&lt;&gt;"",1,0))))+IF(F23=1,30,IF(F23=2,20,IF(F23=3,10,IF(F23&lt;&gt;"",1,0))))+IF(G23=1,30,IF(G23=2,20,IF(G23=3,10,IF(G23&lt;&gt;"",1,0))))+IF(H23=1,30,IF(H23=2,20,IF(H23=3,10,IF(H23&lt;&gt;"",1,0))))))</f>
        <v/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9.5" customHeight="1" s="143">
      <c r="A24" s="1" t="n"/>
      <c r="B24" s="32">
        <f>'👥 Участники'!B24</f>
        <v/>
      </c>
      <c r="C24" s="33">
        <f>'👥 Участники'!C24</f>
        <v/>
      </c>
      <c r="D24" s="34">
        <f>'👥 Участники'!D24</f>
        <v/>
      </c>
      <c r="E24" s="40" t="n"/>
      <c r="F24" s="40" t="n"/>
      <c r="G24" s="40" t="n"/>
      <c r="H24" s="40" t="n"/>
      <c r="I24" s="36">
        <f>IF(AND(C24="",OR(E24="",E24=0)),"",(IF(E24=1,30,IF(E24=2,20,IF(E24=3,10,IF(E24&lt;&gt;"",1,0))))+IF(F24=1,30,IF(F24=2,20,IF(F24=3,10,IF(F24&lt;&gt;"",1,0))))+IF(G24=1,30,IF(G24=2,20,IF(G24=3,10,IF(G24&lt;&gt;"",1,0))))+IF(H24=1,30,IF(H24=2,20,IF(H24=3,10,IF(H24&lt;&gt;"",1,0))))))</f>
        <v/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9.5" customHeight="1" s="143">
      <c r="A25" s="1" t="n"/>
      <c r="B25" s="37">
        <f>'👥 Участники'!B25</f>
        <v/>
      </c>
      <c r="C25" s="38">
        <f>'👥 Участники'!C25</f>
        <v/>
      </c>
      <c r="D25" s="39">
        <f>'👥 Участники'!D25</f>
        <v/>
      </c>
      <c r="E25" s="40" t="n"/>
      <c r="F25" s="40" t="n"/>
      <c r="G25" s="40" t="n"/>
      <c r="H25" s="40" t="n"/>
      <c r="I25" s="36">
        <f>IF(AND(C25="",OR(E25="",E25=0)),"",(IF(E25=1,30,IF(E25=2,20,IF(E25=3,10,IF(E25&lt;&gt;"",1,0))))+IF(F25=1,30,IF(F25=2,20,IF(F25=3,10,IF(F25&lt;&gt;"",1,0))))+IF(G25=1,30,IF(G25=2,20,IF(G25=3,10,IF(G25&lt;&gt;"",1,0))))+IF(H25=1,30,IF(H25=2,20,IF(H25=3,10,IF(H25&lt;&gt;"",1,0))))))</f>
        <v/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9.5" customHeight="1" s="143">
      <c r="A26" s="1" t="n"/>
      <c r="B26" s="32">
        <f>'👥 Участники'!B26</f>
        <v/>
      </c>
      <c r="C26" s="33">
        <f>'👥 Участники'!C26</f>
        <v/>
      </c>
      <c r="D26" s="34">
        <f>'👥 Участники'!D26</f>
        <v/>
      </c>
      <c r="E26" s="40" t="n"/>
      <c r="F26" s="40" t="n"/>
      <c r="G26" s="40" t="n"/>
      <c r="H26" s="40" t="n"/>
      <c r="I26" s="36">
        <f>IF(AND(C26="",OR(E26="",E26=0)),"",(IF(E26=1,30,IF(E26=2,20,IF(E26=3,10,IF(E26&lt;&gt;"",1,0))))+IF(F26=1,30,IF(F26=2,20,IF(F26=3,10,IF(F26&lt;&gt;"",1,0))))+IF(G26=1,30,IF(G26=2,20,IF(G26=3,10,IF(G26&lt;&gt;"",1,0))))+IF(H26=1,30,IF(H26=2,20,IF(H26=3,10,IF(H26&lt;&gt;"",1,0)))))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9.5" customHeight="1" s="143">
      <c r="A27" s="1" t="n"/>
      <c r="B27" s="37">
        <f>'👥 Участники'!B27</f>
        <v/>
      </c>
      <c r="C27" s="38">
        <f>'👥 Участники'!C27</f>
        <v/>
      </c>
      <c r="D27" s="39">
        <f>'👥 Участники'!D27</f>
        <v/>
      </c>
      <c r="E27" s="40" t="n"/>
      <c r="F27" s="40" t="n"/>
      <c r="G27" s="40" t="n"/>
      <c r="H27" s="40" t="n"/>
      <c r="I27" s="36">
        <f>IF(AND(C27="",OR(E27="",E27=0)),"",(IF(E27=1,30,IF(E27=2,20,IF(E27=3,10,IF(E27&lt;&gt;"",1,0))))+IF(F27=1,30,IF(F27=2,20,IF(F27=3,10,IF(F27&lt;&gt;"",1,0))))+IF(G27=1,30,IF(G27=2,20,IF(G27=3,10,IF(G27&lt;&gt;"",1,0))))+IF(H27=1,30,IF(H27=2,20,IF(H27=3,10,IF(H27&lt;&gt;"",1,0))))))</f>
        <v/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9.5" customHeight="1" s="143">
      <c r="A28" s="1" t="n"/>
      <c r="B28" s="32">
        <f>'👥 Участники'!B28</f>
        <v/>
      </c>
      <c r="C28" s="33">
        <f>'👥 Участники'!C28</f>
        <v/>
      </c>
      <c r="D28" s="34">
        <f>'👥 Участники'!D28</f>
        <v/>
      </c>
      <c r="E28" s="40" t="n"/>
      <c r="F28" s="40" t="n"/>
      <c r="G28" s="40" t="n"/>
      <c r="H28" s="40" t="n"/>
      <c r="I28" s="36">
        <f>IF(AND(C28="",OR(E28="",E28=0)),"",(IF(E28=1,30,IF(E28=2,20,IF(E28=3,10,IF(E28&lt;&gt;"",1,0))))+IF(F28=1,30,IF(F28=2,20,IF(F28=3,10,IF(F28&lt;&gt;"",1,0))))+IF(G28=1,30,IF(G28=2,20,IF(G28=3,10,IF(G28&lt;&gt;"",1,0))))+IF(H28=1,30,IF(H28=2,20,IF(H28=3,10,IF(H28&lt;&gt;"",1,0))))))</f>
        <v/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9.5" customHeight="1" s="143">
      <c r="A29" s="1" t="n"/>
      <c r="B29" s="37">
        <f>'👥 Участники'!B29</f>
        <v/>
      </c>
      <c r="C29" s="38">
        <f>'👥 Участники'!C29</f>
        <v/>
      </c>
      <c r="D29" s="39">
        <f>'👥 Участники'!D29</f>
        <v/>
      </c>
      <c r="E29" s="40" t="n"/>
      <c r="F29" s="40" t="n"/>
      <c r="G29" s="40" t="n"/>
      <c r="H29" s="40" t="n"/>
      <c r="I29" s="36">
        <f>IF(AND(C29="",OR(E29="",E29=0)),"",(IF(E29=1,30,IF(E29=2,20,IF(E29=3,10,IF(E29&lt;&gt;"",1,0))))+IF(F29=1,30,IF(F29=2,20,IF(F29=3,10,IF(F29&lt;&gt;"",1,0))))+IF(G29=1,30,IF(G29=2,20,IF(G29=3,10,IF(G29&lt;&gt;"",1,0))))+IF(H29=1,30,IF(H29=2,20,IF(H29=3,10,IF(H29&lt;&gt;"",1,0))))))</f>
        <v/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9.5" customHeight="1" s="143">
      <c r="A30" s="1" t="n"/>
      <c r="B30" s="32">
        <f>'👥 Участники'!B30</f>
        <v/>
      </c>
      <c r="C30" s="33">
        <f>'👥 Участники'!C30</f>
        <v/>
      </c>
      <c r="D30" s="34">
        <f>'👥 Участники'!D30</f>
        <v/>
      </c>
      <c r="E30" s="40" t="n"/>
      <c r="F30" s="40" t="n"/>
      <c r="G30" s="40" t="n"/>
      <c r="H30" s="40" t="n"/>
      <c r="I30" s="36">
        <f>IF(AND(C30="",OR(E30="",E30=0)),"",(IF(E30=1,30,IF(E30=2,20,IF(E30=3,10,IF(E30&lt;&gt;"",1,0))))+IF(F30=1,30,IF(F30=2,20,IF(F30=3,10,IF(F30&lt;&gt;"",1,0))))+IF(G30=1,30,IF(G30=2,20,IF(G30=3,10,IF(G30&lt;&gt;"",1,0))))+IF(H30=1,30,IF(H30=2,20,IF(H30=3,10,IF(H30&lt;&gt;"",1,0))))))</f>
        <v/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9.5" customHeight="1" s="143">
      <c r="A31" s="1" t="n"/>
      <c r="B31" s="37">
        <f>'👥 Участники'!B31</f>
        <v/>
      </c>
      <c r="C31" s="38">
        <f>'👥 Участники'!C31</f>
        <v/>
      </c>
      <c r="D31" s="39">
        <f>'👥 Участники'!D31</f>
        <v/>
      </c>
      <c r="E31" s="40" t="n"/>
      <c r="F31" s="40" t="n"/>
      <c r="G31" s="40" t="n"/>
      <c r="H31" s="40" t="n"/>
      <c r="I31" s="36">
        <f>IF(AND(C31="",OR(E31="",E31=0)),"",(IF(E31=1,30,IF(E31=2,20,IF(E31=3,10,IF(E31&lt;&gt;"",1,0))))+IF(F31=1,30,IF(F31=2,20,IF(F31=3,10,IF(F31&lt;&gt;"",1,0))))+IF(G31=1,30,IF(G31=2,20,IF(G31=3,10,IF(G31&lt;&gt;"",1,0))))+IF(H31=1,30,IF(H31=2,20,IF(H31=3,10,IF(H31&lt;&gt;"",1,0))))))</f>
        <v/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9.5" customHeight="1" s="143">
      <c r="A32" s="1" t="n"/>
      <c r="B32" s="32">
        <f>'👥 Участники'!B32</f>
        <v/>
      </c>
      <c r="C32" s="33">
        <f>'👥 Участники'!C32</f>
        <v/>
      </c>
      <c r="D32" s="34">
        <f>'👥 Участники'!D32</f>
        <v/>
      </c>
      <c r="E32" s="40" t="n"/>
      <c r="F32" s="40" t="n"/>
      <c r="G32" s="40" t="n"/>
      <c r="H32" s="40" t="n"/>
      <c r="I32" s="36">
        <f>IF(AND(C32="",OR(E32="",E32=0)),"",(IF(E32=1,30,IF(E32=2,20,IF(E32=3,10,IF(E32&lt;&gt;"",1,0))))+IF(F32=1,30,IF(F32=2,20,IF(F32=3,10,IF(F32&lt;&gt;"",1,0))))+IF(G32=1,30,IF(G32=2,20,IF(G32=3,10,IF(G32&lt;&gt;"",1,0))))+IF(H32=1,30,IF(H32=2,20,IF(H32=3,10,IF(H32&lt;&gt;"",1,0))))))</f>
        <v/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9.5" customHeight="1" s="143">
      <c r="A33" s="1" t="n"/>
      <c r="B33" s="37">
        <f>'👥 Участники'!B33</f>
        <v/>
      </c>
      <c r="C33" s="38">
        <f>'👥 Участники'!C33</f>
        <v/>
      </c>
      <c r="D33" s="39">
        <f>'👥 Участники'!D33</f>
        <v/>
      </c>
      <c r="E33" s="40" t="n"/>
      <c r="F33" s="40" t="n"/>
      <c r="G33" s="40" t="n"/>
      <c r="H33" s="40" t="n"/>
      <c r="I33" s="36">
        <f>IF(AND(C33="",OR(E33="",E33=0)),"",(IF(E33=1,30,IF(E33=2,20,IF(E33=3,10,IF(E33&lt;&gt;"",1,0))))+IF(F33=1,30,IF(F33=2,20,IF(F33=3,10,IF(F33&lt;&gt;"",1,0))))+IF(G33=1,30,IF(G33=2,20,IF(G33=3,10,IF(G33&lt;&gt;"",1,0))))+IF(H33=1,30,IF(H33=2,20,IF(H33=3,10,IF(H33&lt;&gt;"",1,0))))))</f>
        <v/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9.5" customHeight="1" s="143">
      <c r="A34" s="1" t="n"/>
      <c r="B34" s="32">
        <f>'👥 Участники'!B34</f>
        <v/>
      </c>
      <c r="C34" s="33">
        <f>'👥 Участники'!C34</f>
        <v/>
      </c>
      <c r="D34" s="34">
        <f>'👥 Участники'!D34</f>
        <v/>
      </c>
      <c r="E34" s="40" t="n"/>
      <c r="F34" s="40" t="n"/>
      <c r="G34" s="40" t="n"/>
      <c r="H34" s="40" t="n"/>
      <c r="I34" s="36">
        <f>IF(AND(C34="",OR(E34="",E34=0)),"",(IF(E34=1,30,IF(E34=2,20,IF(E34=3,10,IF(E34&lt;&gt;"",1,0))))+IF(F34=1,30,IF(F34=2,20,IF(F34=3,10,IF(F34&lt;&gt;"",1,0))))+IF(G34=1,30,IF(G34=2,20,IF(G34=3,10,IF(G34&lt;&gt;"",1,0))))+IF(H34=1,30,IF(H34=2,20,IF(H34=3,10,IF(H34&lt;&gt;"",1,0))))))</f>
        <v/>
      </c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9.5" customHeight="1" s="143">
      <c r="A35" s="1" t="n"/>
      <c r="B35" s="37">
        <f>'👥 Участники'!B35</f>
        <v/>
      </c>
      <c r="C35" s="38">
        <f>'👥 Участники'!C35</f>
        <v/>
      </c>
      <c r="D35" s="39">
        <f>'👥 Участники'!D35</f>
        <v/>
      </c>
      <c r="E35" s="40" t="n"/>
      <c r="F35" s="40" t="n"/>
      <c r="G35" s="40" t="n"/>
      <c r="H35" s="40" t="n"/>
      <c r="I35" s="36">
        <f>IF(AND(C35="",OR(E35="",E35=0)),"",(IF(E35=1,30,IF(E35=2,20,IF(E35=3,10,IF(E35&lt;&gt;"",1,0))))+IF(F35=1,30,IF(F35=2,20,IF(F35=3,10,IF(F35&lt;&gt;"",1,0))))+IF(G35=1,30,IF(G35=2,20,IF(G35=3,10,IF(G35&lt;&gt;"",1,0))))+IF(H35=1,30,IF(H35=2,20,IF(H35=3,10,IF(H35&lt;&gt;"",1,0)))))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9.5" customHeight="1" s="143">
      <c r="A36" s="1" t="n"/>
      <c r="B36" s="32">
        <f>'👥 Участники'!B36</f>
        <v/>
      </c>
      <c r="C36" s="33">
        <f>'👥 Участники'!C36</f>
        <v/>
      </c>
      <c r="D36" s="34">
        <f>'👥 Участники'!D36</f>
        <v/>
      </c>
      <c r="E36" s="40" t="n"/>
      <c r="F36" s="40" t="n"/>
      <c r="G36" s="40" t="n"/>
      <c r="H36" s="40" t="n"/>
      <c r="I36" s="36">
        <f>IF(AND(C36="",OR(E36="",E36=0)),"",(IF(E36=1,30,IF(E36=2,20,IF(E36=3,10,IF(E36&lt;&gt;"",1,0))))+IF(F36=1,30,IF(F36=2,20,IF(F36=3,10,IF(F36&lt;&gt;"",1,0))))+IF(G36=1,30,IF(G36=2,20,IF(G36=3,10,IF(G36&lt;&gt;"",1,0))))+IF(H36=1,30,IF(H36=2,20,IF(H36=3,10,IF(H36&lt;&gt;"",1,0))))))</f>
        <v/>
      </c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9.5" customHeight="1" s="143">
      <c r="A37" s="1" t="n"/>
      <c r="B37" s="37">
        <f>'👥 Участники'!B37</f>
        <v/>
      </c>
      <c r="C37" s="38">
        <f>'👥 Участники'!C37</f>
        <v/>
      </c>
      <c r="D37" s="39">
        <f>'👥 Участники'!D37</f>
        <v/>
      </c>
      <c r="E37" s="40" t="n"/>
      <c r="F37" s="40" t="n"/>
      <c r="G37" s="40" t="n"/>
      <c r="H37" s="40" t="n"/>
      <c r="I37" s="36">
        <f>IF(AND(C37="",OR(E37="",E37=0)),"",(IF(E37=1,30,IF(E37=2,20,IF(E37=3,10,IF(E37&lt;&gt;"",1,0))))+IF(F37=1,30,IF(F37=2,20,IF(F37=3,10,IF(F37&lt;&gt;"",1,0))))+IF(G37=1,30,IF(G37=2,20,IF(G37=3,10,IF(G37&lt;&gt;"",1,0))))+IF(H37=1,30,IF(H37=2,20,IF(H37=3,10,IF(H37&lt;&gt;"",1,0))))))</f>
        <v/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9.5" customHeight="1" s="143">
      <c r="A38" s="1" t="n"/>
      <c r="B38" s="32">
        <f>'👥 Участники'!B38</f>
        <v/>
      </c>
      <c r="C38" s="33">
        <f>'👥 Участники'!C38</f>
        <v/>
      </c>
      <c r="D38" s="34">
        <f>'👥 Участники'!D38</f>
        <v/>
      </c>
      <c r="E38" s="40" t="n"/>
      <c r="F38" s="40" t="n"/>
      <c r="G38" s="40" t="n"/>
      <c r="H38" s="40" t="n"/>
      <c r="I38" s="36">
        <f>IF(AND(C38="",OR(E38="",E38=0)),"",(IF(E38=1,30,IF(E38=2,20,IF(E38=3,10,IF(E38&lt;&gt;"",1,0))))+IF(F38=1,30,IF(F38=2,20,IF(F38=3,10,IF(F38&lt;&gt;"",1,0))))+IF(G38=1,30,IF(G38=2,20,IF(G38=3,10,IF(G38&lt;&gt;"",1,0))))+IF(H38=1,30,IF(H38=2,20,IF(H38=3,10,IF(H38&lt;&gt;"",1,0))))))</f>
        <v/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9.5" customHeight="1" s="143">
      <c r="A39" s="1" t="n"/>
      <c r="B39" s="37">
        <f>'👥 Участники'!B39</f>
        <v/>
      </c>
      <c r="C39" s="38">
        <f>'👥 Участники'!C39</f>
        <v/>
      </c>
      <c r="D39" s="39">
        <f>'👥 Участники'!D39</f>
        <v/>
      </c>
      <c r="E39" s="40" t="n"/>
      <c r="F39" s="40" t="n"/>
      <c r="G39" s="40" t="n"/>
      <c r="H39" s="40" t="n"/>
      <c r="I39" s="36">
        <f>IF(AND(C39="",OR(E39="",E39=0)),"",(IF(E39=1,30,IF(E39=2,20,IF(E39=3,10,IF(E39&lt;&gt;"",1,0))))+IF(F39=1,30,IF(F39=2,20,IF(F39=3,10,IF(F39&lt;&gt;"",1,0))))+IF(G39=1,30,IF(G39=2,20,IF(G39=3,10,IF(G39&lt;&gt;"",1,0))))+IF(H39=1,30,IF(H39=2,20,IF(H39=3,10,IF(H39&lt;&gt;"",1,0)))))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9.5" customHeight="1" s="143">
      <c r="A40" s="1" t="n"/>
      <c r="B40" s="32">
        <f>'👥 Участники'!B40</f>
        <v/>
      </c>
      <c r="C40" s="33">
        <f>'👥 Участники'!C40</f>
        <v/>
      </c>
      <c r="D40" s="34">
        <f>'👥 Участники'!D40</f>
        <v/>
      </c>
      <c r="E40" s="40" t="n"/>
      <c r="F40" s="40" t="n"/>
      <c r="G40" s="40" t="n"/>
      <c r="H40" s="40" t="n"/>
      <c r="I40" s="36">
        <f>IF(AND(C40="",OR(E40="",E40=0)),"",(IF(E40=1,30,IF(E40=2,20,IF(E40=3,10,IF(E40&lt;&gt;"",1,0))))+IF(F40=1,30,IF(F40=2,20,IF(F40=3,10,IF(F40&lt;&gt;"",1,0))))+IF(G40=1,30,IF(G40=2,20,IF(G40=3,10,IF(G40&lt;&gt;"",1,0))))+IF(H40=1,30,IF(H40=2,20,IF(H40=3,10,IF(H40&lt;&gt;"",1,0)))))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9.5" customHeight="1" s="143">
      <c r="A41" s="1" t="n"/>
      <c r="B41" s="37">
        <f>'👥 Участники'!B41</f>
        <v/>
      </c>
      <c r="C41" s="38">
        <f>'👥 Участники'!C41</f>
        <v/>
      </c>
      <c r="D41" s="39">
        <f>'👥 Участники'!D41</f>
        <v/>
      </c>
      <c r="E41" s="40" t="n"/>
      <c r="F41" s="40" t="n"/>
      <c r="G41" s="40" t="n"/>
      <c r="H41" s="40" t="n"/>
      <c r="I41" s="36">
        <f>IF(AND(C41="",OR(E41="",E41=0)),"",(IF(E41=1,30,IF(E41=2,20,IF(E41=3,10,IF(E41&lt;&gt;"",1,0))))+IF(F41=1,30,IF(F41=2,20,IF(F41=3,10,IF(F41&lt;&gt;"",1,0))))+IF(G41=1,30,IF(G41=2,20,IF(G41=3,10,IF(G41&lt;&gt;"",1,0))))+IF(H41=1,30,IF(H41=2,20,IF(H41=3,10,IF(H41&lt;&gt;"",1,0))))))</f>
        <v/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9.5" customHeight="1" s="143">
      <c r="A42" s="1" t="n"/>
      <c r="B42" s="32">
        <f>'👥 Участники'!B42</f>
        <v/>
      </c>
      <c r="C42" s="33">
        <f>'👥 Участники'!C42</f>
        <v/>
      </c>
      <c r="D42" s="34">
        <f>'👥 Участники'!D42</f>
        <v/>
      </c>
      <c r="E42" s="40" t="n"/>
      <c r="F42" s="40" t="n"/>
      <c r="G42" s="40" t="n"/>
      <c r="H42" s="40" t="n"/>
      <c r="I42" s="36">
        <f>IF(AND(C42="",OR(E42="",E42=0)),"",(IF(E42=1,30,IF(E42=2,20,IF(E42=3,10,IF(E42&lt;&gt;"",1,0))))+IF(F42=1,30,IF(F42=2,20,IF(F42=3,10,IF(F42&lt;&gt;"",1,0))))+IF(G42=1,30,IF(G42=2,20,IF(G42=3,10,IF(G42&lt;&gt;"",1,0))))+IF(H42=1,30,IF(H42=2,20,IF(H42=3,10,IF(H42&lt;&gt;"",1,0))))))</f>
        <v/>
      </c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9.5" customHeight="1" s="143">
      <c r="A43" s="1" t="n"/>
      <c r="B43" s="37">
        <f>'👥 Участники'!B43</f>
        <v/>
      </c>
      <c r="C43" s="38">
        <f>'👥 Участники'!C43</f>
        <v/>
      </c>
      <c r="D43" s="39">
        <f>'👥 Участники'!D43</f>
        <v/>
      </c>
      <c r="E43" s="40" t="n"/>
      <c r="F43" s="40" t="n"/>
      <c r="G43" s="40" t="n"/>
      <c r="H43" s="40" t="n"/>
      <c r="I43" s="36">
        <f>IF(AND(C43="",OR(E43="",E43=0)),"",(IF(E43=1,30,IF(E43=2,20,IF(E43=3,10,IF(E43&lt;&gt;"",1,0))))+IF(F43=1,30,IF(F43=2,20,IF(F43=3,10,IF(F43&lt;&gt;"",1,0))))+IF(G43=1,30,IF(G43=2,20,IF(G43=3,10,IF(G43&lt;&gt;"",1,0))))+IF(H43=1,30,IF(H43=2,20,IF(H43=3,10,IF(H43&lt;&gt;"",1,0))))))</f>
        <v/>
      </c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9.5" customHeight="1" s="143">
      <c r="A44" s="1" t="n"/>
      <c r="B44" s="32">
        <f>'👥 Участники'!B44</f>
        <v/>
      </c>
      <c r="C44" s="33">
        <f>'👥 Участники'!C44</f>
        <v/>
      </c>
      <c r="D44" s="34">
        <f>'👥 Участники'!D44</f>
        <v/>
      </c>
      <c r="E44" s="40" t="n"/>
      <c r="F44" s="40" t="n"/>
      <c r="G44" s="40" t="n"/>
      <c r="H44" s="40" t="n"/>
      <c r="I44" s="36">
        <f>IF(AND(C44="",OR(E44="",E44=0)),"",(IF(E44=1,30,IF(E44=2,20,IF(E44=3,10,IF(E44&lt;&gt;"",1,0))))+IF(F44=1,30,IF(F44=2,20,IF(F44=3,10,IF(F44&lt;&gt;"",1,0))))+IF(G44=1,30,IF(G44=2,20,IF(G44=3,10,IF(G44&lt;&gt;"",1,0))))+IF(H44=1,30,IF(H44=2,20,IF(H44=3,10,IF(H44&lt;&gt;"",1,0)))))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9.5" customHeight="1" s="143">
      <c r="A45" s="1" t="n"/>
      <c r="B45" s="37">
        <f>'👥 Участники'!B45</f>
        <v/>
      </c>
      <c r="C45" s="38">
        <f>'👥 Участники'!C45</f>
        <v/>
      </c>
      <c r="D45" s="39">
        <f>'👥 Участники'!D45</f>
        <v/>
      </c>
      <c r="E45" s="40" t="n"/>
      <c r="F45" s="40" t="n"/>
      <c r="G45" s="40" t="n"/>
      <c r="H45" s="40" t="n"/>
      <c r="I45" s="36">
        <f>IF(AND(C45="",OR(E45="",E45=0)),"",(IF(E45=1,30,IF(E45=2,20,IF(E45=3,10,IF(E45&lt;&gt;"",1,0))))+IF(F45=1,30,IF(F45=2,20,IF(F45=3,10,IF(F45&lt;&gt;"",1,0))))+IF(G45=1,30,IF(G45=2,20,IF(G45=3,10,IF(G45&lt;&gt;"",1,0))))+IF(H45=1,30,IF(H45=2,20,IF(H45=3,10,IF(H45&lt;&gt;"",1,0))))))</f>
        <v/>
      </c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9.5" customHeight="1" s="143">
      <c r="A46" s="1" t="n"/>
      <c r="B46" s="32">
        <f>'👥 Участники'!B46</f>
        <v/>
      </c>
      <c r="C46" s="33">
        <f>'👥 Участники'!C46</f>
        <v/>
      </c>
      <c r="D46" s="34">
        <f>'👥 Участники'!D46</f>
        <v/>
      </c>
      <c r="E46" s="40" t="n"/>
      <c r="F46" s="40" t="n"/>
      <c r="G46" s="40" t="n"/>
      <c r="H46" s="40" t="n"/>
      <c r="I46" s="36">
        <f>IF(AND(C46="",OR(E46="",E46=0)),"",(IF(E46=1,30,IF(E46=2,20,IF(E46=3,10,IF(E46&lt;&gt;"",1,0))))+IF(F46=1,30,IF(F46=2,20,IF(F46=3,10,IF(F46&lt;&gt;"",1,0))))+IF(G46=1,30,IF(G46=2,20,IF(G46=3,10,IF(G46&lt;&gt;"",1,0))))+IF(H46=1,30,IF(H46=2,20,IF(H46=3,10,IF(H46&lt;&gt;"",1,0))))))</f>
        <v/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9.5" customHeight="1" s="143">
      <c r="A47" s="1" t="n"/>
      <c r="B47" s="37">
        <f>'👥 Участники'!B47</f>
        <v/>
      </c>
      <c r="C47" s="38">
        <f>'👥 Участники'!C47</f>
        <v/>
      </c>
      <c r="D47" s="39">
        <f>'👥 Участники'!D47</f>
        <v/>
      </c>
      <c r="E47" s="40" t="n"/>
      <c r="F47" s="40" t="n"/>
      <c r="G47" s="40" t="n"/>
      <c r="H47" s="40" t="n"/>
      <c r="I47" s="36">
        <f>IF(AND(C47="",OR(E47="",E47=0)),"",(IF(E47=1,30,IF(E47=2,20,IF(E47=3,10,IF(E47&lt;&gt;"",1,0))))+IF(F47=1,30,IF(F47=2,20,IF(F47=3,10,IF(F47&lt;&gt;"",1,0))))+IF(G47=1,30,IF(G47=2,20,IF(G47=3,10,IF(G47&lt;&gt;"",1,0))))+IF(H47=1,30,IF(H47=2,20,IF(H47=3,10,IF(H47&lt;&gt;"",1,0))))))</f>
        <v/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9.5" customHeight="1" s="143">
      <c r="A48" s="1" t="n"/>
      <c r="B48" s="32">
        <f>'👥 Участники'!B48</f>
        <v/>
      </c>
      <c r="C48" s="33">
        <f>'👥 Участники'!C48</f>
        <v/>
      </c>
      <c r="D48" s="34">
        <f>'👥 Участники'!D48</f>
        <v/>
      </c>
      <c r="E48" s="40" t="n"/>
      <c r="F48" s="40" t="n"/>
      <c r="G48" s="40" t="n"/>
      <c r="H48" s="40" t="n"/>
      <c r="I48" s="36">
        <f>IF(AND(C48="",OR(E48="",E48=0)),"",(IF(E48=1,30,IF(E48=2,20,IF(E48=3,10,IF(E48&lt;&gt;"",1,0))))+IF(F48=1,30,IF(F48=2,20,IF(F48=3,10,IF(F48&lt;&gt;"",1,0))))+IF(G48=1,30,IF(G48=2,20,IF(G48=3,10,IF(G48&lt;&gt;"",1,0))))+IF(H48=1,30,IF(H48=2,20,IF(H48=3,10,IF(H48&lt;&gt;"",1,0)))))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9.5" customHeight="1" s="143">
      <c r="A49" s="1" t="n"/>
      <c r="B49" s="37">
        <f>'👥 Участники'!B49</f>
        <v/>
      </c>
      <c r="C49" s="38">
        <f>'👥 Участники'!C49</f>
        <v/>
      </c>
      <c r="D49" s="39">
        <f>'👥 Участники'!D49</f>
        <v/>
      </c>
      <c r="E49" s="40" t="n"/>
      <c r="F49" s="40" t="n"/>
      <c r="G49" s="40" t="n"/>
      <c r="H49" s="40" t="n"/>
      <c r="I49" s="36">
        <f>IF(AND(C49="",OR(E49="",E49=0)),"",(IF(E49=1,30,IF(E49=2,20,IF(E49=3,10,IF(E49&lt;&gt;"",1,0))))+IF(F49=1,30,IF(F49=2,20,IF(F49=3,10,IF(F49&lt;&gt;"",1,0))))+IF(G49=1,30,IF(G49=2,20,IF(G49=3,10,IF(G49&lt;&gt;"",1,0))))+IF(H49=1,30,IF(H49=2,20,IF(H49=3,10,IF(H49&lt;&gt;"",1,0))))))</f>
        <v/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9.5" customHeight="1" s="143">
      <c r="A50" s="1" t="n"/>
      <c r="B50" s="32">
        <f>'👥 Участники'!B50</f>
        <v/>
      </c>
      <c r="C50" s="33">
        <f>'👥 Участники'!C50</f>
        <v/>
      </c>
      <c r="D50" s="34">
        <f>'👥 Участники'!D50</f>
        <v/>
      </c>
      <c r="E50" s="40" t="n"/>
      <c r="F50" s="40" t="n"/>
      <c r="G50" s="40" t="n"/>
      <c r="H50" s="40" t="n"/>
      <c r="I50" s="36">
        <f>IF(AND(C50="",OR(E50="",E50=0)),"",(IF(E50=1,30,IF(E50=2,20,IF(E50=3,10,IF(E50&lt;&gt;"",1,0))))+IF(F50=1,30,IF(F50=2,20,IF(F50=3,10,IF(F50&lt;&gt;"",1,0))))+IF(G50=1,30,IF(G50=2,20,IF(G50=3,10,IF(G50&lt;&gt;"",1,0))))+IF(H50=1,30,IF(H50=2,20,IF(H50=3,10,IF(H50&lt;&gt;"",1,0))))))</f>
        <v/>
      </c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9.5" customHeight="1" s="143">
      <c r="A51" s="1" t="n"/>
      <c r="B51" s="37">
        <f>'👥 Участники'!B51</f>
        <v/>
      </c>
      <c r="C51" s="38">
        <f>'👥 Участники'!C51</f>
        <v/>
      </c>
      <c r="D51" s="39">
        <f>'👥 Участники'!D51</f>
        <v/>
      </c>
      <c r="E51" s="40" t="n"/>
      <c r="F51" s="40" t="n"/>
      <c r="G51" s="40" t="n"/>
      <c r="H51" s="40" t="n"/>
      <c r="I51" s="36">
        <f>IF(AND(C51="",OR(E51="",E51=0)),"",(IF(E51=1,30,IF(E51=2,20,IF(E51=3,10,IF(E51&lt;&gt;"",1,0))))+IF(F51=1,30,IF(F51=2,20,IF(F51=3,10,IF(F51&lt;&gt;"",1,0))))+IF(G51=1,30,IF(G51=2,20,IF(G51=3,10,IF(G51&lt;&gt;"",1,0))))+IF(H51=1,30,IF(H51=2,20,IF(H51=3,10,IF(H51&lt;&gt;"",1,0))))))</f>
        <v/>
      </c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9.5" customHeight="1" s="143">
      <c r="A52" s="1" t="n"/>
      <c r="B52" s="32">
        <f>'👥 Участники'!B52</f>
        <v/>
      </c>
      <c r="C52" s="33">
        <f>'👥 Участники'!C52</f>
        <v/>
      </c>
      <c r="D52" s="34">
        <f>'👥 Участники'!D52</f>
        <v/>
      </c>
      <c r="E52" s="40" t="n"/>
      <c r="F52" s="40" t="n"/>
      <c r="G52" s="40" t="n"/>
      <c r="H52" s="40" t="n"/>
      <c r="I52" s="36">
        <f>IF(AND(C52="",OR(E52="",E52=0)),"",(IF(E52=1,30,IF(E52=2,20,IF(E52=3,10,IF(E52&lt;&gt;"",1,0))))+IF(F52=1,30,IF(F52=2,20,IF(F52=3,10,IF(F52&lt;&gt;"",1,0))))+IF(G52=1,30,IF(G52=2,20,IF(G52=3,10,IF(G52&lt;&gt;"",1,0))))+IF(H52=1,30,IF(H52=2,20,IF(H52=3,10,IF(H52&lt;&gt;"",1,0))))))</f>
        <v/>
      </c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9.5" customHeight="1" s="143">
      <c r="A53" s="1" t="n"/>
      <c r="B53" s="37">
        <f>'👥 Участники'!B53</f>
        <v/>
      </c>
      <c r="C53" s="38">
        <f>'👥 Участники'!C53</f>
        <v/>
      </c>
      <c r="D53" s="39">
        <f>'👥 Участники'!D53</f>
        <v/>
      </c>
      <c r="E53" s="40" t="n"/>
      <c r="F53" s="40" t="n"/>
      <c r="G53" s="40" t="n"/>
      <c r="H53" s="40" t="n"/>
      <c r="I53" s="36">
        <f>IF(AND(C53="",OR(E53="",E53=0)),"",(IF(E53=1,30,IF(E53=2,20,IF(E53=3,10,IF(E53&lt;&gt;"",1,0))))+IF(F53=1,30,IF(F53=2,20,IF(F53=3,10,IF(F53&lt;&gt;"",1,0))))+IF(G53=1,30,IF(G53=2,20,IF(G53=3,10,IF(G53&lt;&gt;"",1,0))))+IF(H53=1,30,IF(H53=2,20,IF(H53=3,10,IF(H53&lt;&gt;"",1,0)))))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9.5" customHeight="1" s="143">
      <c r="A54" s="1" t="n"/>
      <c r="B54" s="32">
        <f>'👥 Участники'!B54</f>
        <v/>
      </c>
      <c r="C54" s="33">
        <f>'👥 Участники'!C54</f>
        <v/>
      </c>
      <c r="D54" s="34">
        <f>'👥 Участники'!D54</f>
        <v/>
      </c>
      <c r="E54" s="40" t="n"/>
      <c r="F54" s="40" t="n"/>
      <c r="G54" s="40" t="n"/>
      <c r="H54" s="40" t="n"/>
      <c r="I54" s="36">
        <f>IF(AND(C54="",OR(E54="",E54=0)),"",(IF(E54=1,30,IF(E54=2,20,IF(E54=3,10,IF(E54&lt;&gt;"",1,0))))+IF(F54=1,30,IF(F54=2,20,IF(F54=3,10,IF(F54&lt;&gt;"",1,0))))+IF(G54=1,30,IF(G54=2,20,IF(G54=3,10,IF(G54&lt;&gt;"",1,0))))+IF(H54=1,30,IF(H54=2,20,IF(H54=3,10,IF(H54&lt;&gt;"",1,0))))))</f>
        <v/>
      </c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9.5" customHeight="1" s="143">
      <c r="A55" s="1" t="n"/>
      <c r="B55" s="37">
        <f>'👥 Участники'!B55</f>
        <v/>
      </c>
      <c r="C55" s="38">
        <f>'👥 Участники'!C55</f>
        <v/>
      </c>
      <c r="D55" s="39">
        <f>'👥 Участники'!D55</f>
        <v/>
      </c>
      <c r="E55" s="40" t="n"/>
      <c r="F55" s="40" t="n"/>
      <c r="G55" s="40" t="n"/>
      <c r="H55" s="40" t="n"/>
      <c r="I55" s="36">
        <f>IF(AND(C55="",OR(E55="",E55=0)),"",(IF(E55=1,30,IF(E55=2,20,IF(E55=3,10,IF(E55&lt;&gt;"",1,0))))+IF(F55=1,30,IF(F55=2,20,IF(F55=3,10,IF(F55&lt;&gt;"",1,0))))+IF(G55=1,30,IF(G55=2,20,IF(G55=3,10,IF(G55&lt;&gt;"",1,0))))+IF(H55=1,30,IF(H55=2,20,IF(H55=3,10,IF(H55&lt;&gt;"",1,0))))))</f>
        <v/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9.5" customHeight="1" s="143">
      <c r="A56" s="1" t="n"/>
      <c r="B56" s="32">
        <f>'👥 Участники'!B56</f>
        <v/>
      </c>
      <c r="C56" s="33">
        <f>'👥 Участники'!C56</f>
        <v/>
      </c>
      <c r="D56" s="34">
        <f>'👥 Участники'!D56</f>
        <v/>
      </c>
      <c r="E56" s="40" t="n"/>
      <c r="F56" s="40" t="n"/>
      <c r="G56" s="40" t="n"/>
      <c r="H56" s="40" t="n"/>
      <c r="I56" s="36">
        <f>IF(AND(C56="",OR(E56="",E56=0)),"",(IF(E56=1,30,IF(E56=2,20,IF(E56=3,10,IF(E56&lt;&gt;"",1,0))))+IF(F56=1,30,IF(F56=2,20,IF(F56=3,10,IF(F56&lt;&gt;"",1,0))))+IF(G56=1,30,IF(G56=2,20,IF(G56=3,10,IF(G56&lt;&gt;"",1,0))))+IF(H56=1,30,IF(H56=2,20,IF(H56=3,10,IF(H56&lt;&gt;"",1,0))))))</f>
        <v/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9.5" customHeight="1" s="143">
      <c r="A57" s="1" t="n"/>
      <c r="B57" s="37">
        <f>'👥 Участники'!B57</f>
        <v/>
      </c>
      <c r="C57" s="38">
        <f>'👥 Участники'!C57</f>
        <v/>
      </c>
      <c r="D57" s="39">
        <f>'👥 Участники'!D57</f>
        <v/>
      </c>
      <c r="E57" s="40" t="n"/>
      <c r="F57" s="40" t="n"/>
      <c r="G57" s="40" t="n"/>
      <c r="H57" s="40" t="n"/>
      <c r="I57" s="36">
        <f>IF(AND(C57="",OR(E57="",E57=0)),"",(IF(E57=1,30,IF(E57=2,20,IF(E57=3,10,IF(E57&lt;&gt;"",1,0))))+IF(F57=1,30,IF(F57=2,20,IF(F57=3,10,IF(F57&lt;&gt;"",1,0))))+IF(G57=1,30,IF(G57=2,20,IF(G57=3,10,IF(G57&lt;&gt;"",1,0))))+IF(H57=1,30,IF(H57=2,20,IF(H57=3,10,IF(H57&lt;&gt;"",1,0)))))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9.5" customHeight="1" s="143">
      <c r="A58" s="1" t="n"/>
      <c r="B58" s="32">
        <f>'👥 Участники'!B58</f>
        <v/>
      </c>
      <c r="C58" s="33">
        <f>'👥 Участники'!C58</f>
        <v/>
      </c>
      <c r="D58" s="34">
        <f>'👥 Участники'!D58</f>
        <v/>
      </c>
      <c r="E58" s="40" t="n"/>
      <c r="F58" s="40" t="n"/>
      <c r="G58" s="40" t="n"/>
      <c r="H58" s="40" t="n"/>
      <c r="I58" s="36">
        <f>IF(AND(C58="",OR(E58="",E58=0)),"",(IF(E58=1,30,IF(E58=2,20,IF(E58=3,10,IF(E58&lt;&gt;"",1,0))))+IF(F58=1,30,IF(F58=2,20,IF(F58=3,10,IF(F58&lt;&gt;"",1,0))))+IF(G58=1,30,IF(G58=2,20,IF(G58=3,10,IF(G58&lt;&gt;"",1,0))))+IF(H58=1,30,IF(H58=2,20,IF(H58=3,10,IF(H58&lt;&gt;"",1,0)))))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9.5" customHeight="1" s="143">
      <c r="A59" s="1" t="n"/>
      <c r="B59" s="37">
        <f>'👥 Участники'!B59</f>
        <v/>
      </c>
      <c r="C59" s="38">
        <f>'👥 Участники'!C59</f>
        <v/>
      </c>
      <c r="D59" s="39">
        <f>'👥 Участники'!D59</f>
        <v/>
      </c>
      <c r="E59" s="40" t="n"/>
      <c r="F59" s="40" t="n"/>
      <c r="G59" s="40" t="n"/>
      <c r="H59" s="40" t="n"/>
      <c r="I59" s="36">
        <f>IF(AND(C59="",OR(E59="",E59=0)),"",(IF(E59=1,30,IF(E59=2,20,IF(E59=3,10,IF(E59&lt;&gt;"",1,0))))+IF(F59=1,30,IF(F59=2,20,IF(F59=3,10,IF(F59&lt;&gt;"",1,0))))+IF(G59=1,30,IF(G59=2,20,IF(G59=3,10,IF(G59&lt;&gt;"",1,0))))+IF(H59=1,30,IF(H59=2,20,IF(H59=3,10,IF(H59&lt;&gt;"",1,0))))))</f>
        <v/>
      </c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9.5" customHeight="1" s="143">
      <c r="A60" s="1" t="n"/>
      <c r="B60" s="32">
        <f>'👥 Участники'!B60</f>
        <v/>
      </c>
      <c r="C60" s="33">
        <f>'👥 Участники'!C60</f>
        <v/>
      </c>
      <c r="D60" s="34">
        <f>'👥 Участники'!D60</f>
        <v/>
      </c>
      <c r="E60" s="40" t="n"/>
      <c r="F60" s="40" t="n"/>
      <c r="G60" s="40" t="n"/>
      <c r="H60" s="40" t="n"/>
      <c r="I60" s="36">
        <f>IF(AND(C60="",OR(E60="",E60=0)),"",(IF(E60=1,30,IF(E60=2,20,IF(E60=3,10,IF(E60&lt;&gt;"",1,0))))+IF(F60=1,30,IF(F60=2,20,IF(F60=3,10,IF(F60&lt;&gt;"",1,0))))+IF(G60=1,30,IF(G60=2,20,IF(G60=3,10,IF(G60&lt;&gt;"",1,0))))+IF(H60=1,30,IF(H60=2,20,IF(H60=3,10,IF(H60&lt;&gt;"",1,0))))))</f>
        <v/>
      </c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143">
      <c r="A61" s="1" t="n"/>
      <c r="B61" s="37">
        <f>'👥 Участники'!B61</f>
        <v/>
      </c>
      <c r="C61" s="38">
        <f>'👥 Участники'!C61</f>
        <v/>
      </c>
      <c r="D61" s="39">
        <f>'👥 Участники'!D61</f>
        <v/>
      </c>
      <c r="E61" s="40" t="n"/>
      <c r="F61" s="40" t="n"/>
      <c r="G61" s="40" t="n"/>
      <c r="H61" s="40" t="n"/>
      <c r="I61" s="36">
        <f>IF(AND(C61="",OR(E61="",E61=0)),"",(IF(E61=1,30,IF(E61=2,20,IF(E61=3,10,IF(E61&lt;&gt;"",1,0))))+IF(F61=1,30,IF(F61=2,20,IF(F61=3,10,IF(F61&lt;&gt;"",1,0))))+IF(G61=1,30,IF(G61=2,20,IF(G61=3,10,IF(G61&lt;&gt;"",1,0))))+IF(H61=1,30,IF(H61=2,20,IF(H61=3,10,IF(H61&lt;&gt;"",1,0))))))</f>
        <v/>
      </c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9.5" customHeight="1" s="143">
      <c r="A62" s="1" t="n"/>
      <c r="B62" s="32">
        <f>'👥 Участники'!B62</f>
        <v/>
      </c>
      <c r="C62" s="33">
        <f>'👥 Участники'!C62</f>
        <v/>
      </c>
      <c r="D62" s="34">
        <f>'👥 Участники'!D62</f>
        <v/>
      </c>
      <c r="E62" s="40" t="n"/>
      <c r="F62" s="40" t="n"/>
      <c r="G62" s="40" t="n"/>
      <c r="H62" s="40" t="n"/>
      <c r="I62" s="36">
        <f>IF(AND(C62="",OR(E62="",E62=0)),"",(IF(E62=1,30,IF(E62=2,20,IF(E62=3,10,IF(E62&lt;&gt;"",1,0))))+IF(F62=1,30,IF(F62=2,20,IF(F62=3,10,IF(F62&lt;&gt;"",1,0))))+IF(G62=1,30,IF(G62=2,20,IF(G62=3,10,IF(G62&lt;&gt;"",1,0))))+IF(H62=1,30,IF(H62=2,20,IF(H62=3,10,IF(H62&lt;&gt;"",1,0)))))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9.5" customHeight="1" s="143">
      <c r="A63" s="1" t="n"/>
      <c r="B63" s="37">
        <f>'👥 Участники'!B63</f>
        <v/>
      </c>
      <c r="C63" s="38">
        <f>'👥 Участники'!C63</f>
        <v/>
      </c>
      <c r="D63" s="39">
        <f>'👥 Участники'!D63</f>
        <v/>
      </c>
      <c r="E63" s="40" t="n"/>
      <c r="F63" s="40" t="n"/>
      <c r="G63" s="40" t="n"/>
      <c r="H63" s="40" t="n"/>
      <c r="I63" s="36">
        <f>IF(AND(C63="",OR(E63="",E63=0)),"",(IF(E63=1,30,IF(E63=2,20,IF(E63=3,10,IF(E63&lt;&gt;"",1,0))))+IF(F63=1,30,IF(F63=2,20,IF(F63=3,10,IF(F63&lt;&gt;"",1,0))))+IF(G63=1,30,IF(G63=2,20,IF(G63=3,10,IF(G63&lt;&gt;"",1,0))))+IF(H63=1,30,IF(H63=2,20,IF(H63=3,10,IF(H63&lt;&gt;"",1,0))))))</f>
        <v/>
      </c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9.5" customHeight="1" s="143">
      <c r="A64" s="1" t="n"/>
      <c r="B64" s="32">
        <f>'👥 Участники'!B64</f>
        <v/>
      </c>
      <c r="C64" s="33">
        <f>'👥 Участники'!C64</f>
        <v/>
      </c>
      <c r="D64" s="34">
        <f>'👥 Участники'!D64</f>
        <v/>
      </c>
      <c r="E64" s="40" t="n"/>
      <c r="F64" s="40" t="n"/>
      <c r="G64" s="40" t="n"/>
      <c r="H64" s="40" t="n"/>
      <c r="I64" s="36">
        <f>IF(AND(C64="",OR(E64="",E64=0)),"",(IF(E64=1,30,IF(E64=2,20,IF(E64=3,10,IF(E64&lt;&gt;"",1,0))))+IF(F64=1,30,IF(F64=2,20,IF(F64=3,10,IF(F64&lt;&gt;"",1,0))))+IF(G64=1,30,IF(G64=2,20,IF(G64=3,10,IF(G64&lt;&gt;"",1,0))))+IF(H64=1,30,IF(H64=2,20,IF(H64=3,10,IF(H64&lt;&gt;"",1,0))))))</f>
        <v/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9.5" customHeight="1" s="143">
      <c r="A65" s="1" t="n"/>
      <c r="B65" s="37">
        <f>'👥 Участники'!B65</f>
        <v/>
      </c>
      <c r="C65" s="38">
        <f>'👥 Участники'!C65</f>
        <v/>
      </c>
      <c r="D65" s="39">
        <f>'👥 Участники'!D65</f>
        <v/>
      </c>
      <c r="E65" s="40" t="n"/>
      <c r="F65" s="40" t="n"/>
      <c r="G65" s="40" t="n"/>
      <c r="H65" s="40" t="n"/>
      <c r="I65" s="36">
        <f>IF(AND(C65="",OR(E65="",E65=0)),"",(IF(E65=1,30,IF(E65=2,20,IF(E65=3,10,IF(E65&lt;&gt;"",1,0))))+IF(F65=1,30,IF(F65=2,20,IF(F65=3,10,IF(F65&lt;&gt;"",1,0))))+IF(G65=1,30,IF(G65=2,20,IF(G65=3,10,IF(G65&lt;&gt;"",1,0))))+IF(H65=1,30,IF(H65=2,20,IF(H65=3,10,IF(H65&lt;&gt;"",1,0))))))</f>
        <v/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9.5" customHeight="1" s="143">
      <c r="A66" s="1" t="n"/>
      <c r="B66" s="32">
        <f>'👥 Участники'!B66</f>
        <v/>
      </c>
      <c r="C66" s="33">
        <f>'👥 Участники'!C66</f>
        <v/>
      </c>
      <c r="D66" s="34">
        <f>'👥 Участники'!D66</f>
        <v/>
      </c>
      <c r="E66" s="40" t="n"/>
      <c r="F66" s="40" t="n"/>
      <c r="G66" s="40" t="n"/>
      <c r="H66" s="40" t="n"/>
      <c r="I66" s="36">
        <f>IF(AND(C66="",OR(E66="",E66=0)),"",(IF(E66=1,30,IF(E66=2,20,IF(E66=3,10,IF(E66&lt;&gt;"",1,0))))+IF(F66=1,30,IF(F66=2,20,IF(F66=3,10,IF(F66&lt;&gt;"",1,0))))+IF(G66=1,30,IF(G66=2,20,IF(G66=3,10,IF(G66&lt;&gt;"",1,0))))+IF(H66=1,30,IF(H66=2,20,IF(H66=3,10,IF(H66&lt;&gt;"",1,0)))))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9.5" customHeight="1" s="143">
      <c r="A67" s="1" t="n"/>
      <c r="B67" s="37">
        <f>'👥 Участники'!B67</f>
        <v/>
      </c>
      <c r="C67" s="38">
        <f>'👥 Участники'!C67</f>
        <v/>
      </c>
      <c r="D67" s="39">
        <f>'👥 Участники'!D67</f>
        <v/>
      </c>
      <c r="E67" s="40" t="n"/>
      <c r="F67" s="40" t="n"/>
      <c r="G67" s="40" t="n"/>
      <c r="H67" s="40" t="n"/>
      <c r="I67" s="36">
        <f>IF(AND(C67="",OR(E67="",E67=0)),"",(IF(E67=1,30,IF(E67=2,20,IF(E67=3,10,IF(E67&lt;&gt;"",1,0))))+IF(F67=1,30,IF(F67=2,20,IF(F67=3,10,IF(F67&lt;&gt;"",1,0))))+IF(G67=1,30,IF(G67=2,20,IF(G67=3,10,IF(G67&lt;&gt;"",1,0))))+IF(H67=1,30,IF(H67=2,20,IF(H67=3,10,IF(H67&lt;&gt;"",1,0)))))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9.5" customHeight="1" s="143">
      <c r="A68" s="1" t="n"/>
      <c r="B68" s="32">
        <f>'👥 Участники'!B68</f>
        <v/>
      </c>
      <c r="C68" s="33">
        <f>'👥 Участники'!C68</f>
        <v/>
      </c>
      <c r="D68" s="34">
        <f>'👥 Участники'!D68</f>
        <v/>
      </c>
      <c r="E68" s="40" t="n"/>
      <c r="F68" s="40" t="n"/>
      <c r="G68" s="40" t="n"/>
      <c r="H68" s="40" t="n"/>
      <c r="I68" s="36">
        <f>IF(AND(C68="",OR(E68="",E68=0)),"",(IF(E68=1,30,IF(E68=2,20,IF(E68=3,10,IF(E68&lt;&gt;"",1,0))))+IF(F68=1,30,IF(F68=2,20,IF(F68=3,10,IF(F68&lt;&gt;"",1,0))))+IF(G68=1,30,IF(G68=2,20,IF(G68=3,10,IF(G68&lt;&gt;"",1,0))))+IF(H68=1,30,IF(H68=2,20,IF(H68=3,10,IF(H68&lt;&gt;"",1,0))))))</f>
        <v/>
      </c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9.5" customHeight="1" s="143">
      <c r="A69" s="1" t="n"/>
      <c r="B69" s="37">
        <f>'👥 Участники'!B69</f>
        <v/>
      </c>
      <c r="C69" s="38">
        <f>'👥 Участники'!C69</f>
        <v/>
      </c>
      <c r="D69" s="39">
        <f>'👥 Участники'!D69</f>
        <v/>
      </c>
      <c r="E69" s="40" t="n"/>
      <c r="F69" s="40" t="n"/>
      <c r="G69" s="40" t="n"/>
      <c r="H69" s="40" t="n"/>
      <c r="I69" s="36">
        <f>IF(AND(C69="",OR(E69="",E69=0)),"",(IF(E69=1,30,IF(E69=2,20,IF(E69=3,10,IF(E69&lt;&gt;"",1,0))))+IF(F69=1,30,IF(F69=2,20,IF(F69=3,10,IF(F69&lt;&gt;"",1,0))))+IF(G69=1,30,IF(G69=2,20,IF(G69=3,10,IF(G69&lt;&gt;"",1,0))))+IF(H69=1,30,IF(H69=2,20,IF(H69=3,10,IF(H69&lt;&gt;"",1,0))))))</f>
        <v/>
      </c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9.5" customHeight="1" s="143">
      <c r="A70" s="1" t="n"/>
      <c r="B70" s="32">
        <f>'👥 Участники'!B70</f>
        <v/>
      </c>
      <c r="C70" s="33">
        <f>'👥 Участники'!C70</f>
        <v/>
      </c>
      <c r="D70" s="34">
        <f>'👥 Участники'!D70</f>
        <v/>
      </c>
      <c r="E70" s="40" t="n"/>
      <c r="F70" s="40" t="n"/>
      <c r="G70" s="40" t="n"/>
      <c r="H70" s="40" t="n"/>
      <c r="I70" s="36">
        <f>IF(AND(C70="",OR(E70="",E70=0)),"",(IF(E70=1,30,IF(E70=2,20,IF(E70=3,10,IF(E70&lt;&gt;"",1,0))))+IF(F70=1,30,IF(F70=2,20,IF(F70=3,10,IF(F70&lt;&gt;"",1,0))))+IF(G70=1,30,IF(G70=2,20,IF(G70=3,10,IF(G70&lt;&gt;"",1,0))))+IF(H70=1,30,IF(H70=2,20,IF(H70=3,10,IF(H70&lt;&gt;"",1,0))))))</f>
        <v/>
      </c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9.5" customHeight="1" s="143">
      <c r="A71" s="1" t="n"/>
      <c r="B71" s="37">
        <f>'👥 Участники'!B71</f>
        <v/>
      </c>
      <c r="C71" s="38">
        <f>'👥 Участники'!C71</f>
        <v/>
      </c>
      <c r="D71" s="39">
        <f>'👥 Участники'!D71</f>
        <v/>
      </c>
      <c r="E71" s="40" t="n"/>
      <c r="F71" s="40" t="n"/>
      <c r="G71" s="40" t="n"/>
      <c r="H71" s="40" t="n"/>
      <c r="I71" s="36">
        <f>IF(AND(C71="",OR(E71="",E71=0)),"",(IF(E71=1,30,IF(E71=2,20,IF(E71=3,10,IF(E71&lt;&gt;"",1,0))))+IF(F71=1,30,IF(F71=2,20,IF(F71=3,10,IF(F71&lt;&gt;"",1,0))))+IF(G71=1,30,IF(G71=2,20,IF(G71=3,10,IF(G71&lt;&gt;"",1,0))))+IF(H71=1,30,IF(H71=2,20,IF(H71=3,10,IF(H71&lt;&gt;"",1,0)))))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9.5" customHeight="1" s="143">
      <c r="A72" s="1" t="n"/>
      <c r="B72" s="32">
        <f>'👥 Участники'!B72</f>
        <v/>
      </c>
      <c r="C72" s="33">
        <f>'👥 Участники'!C72</f>
        <v/>
      </c>
      <c r="D72" s="34">
        <f>'👥 Участники'!D72</f>
        <v/>
      </c>
      <c r="E72" s="40" t="n"/>
      <c r="F72" s="40" t="n"/>
      <c r="G72" s="40" t="n"/>
      <c r="H72" s="40" t="n"/>
      <c r="I72" s="36">
        <f>IF(AND(C72="",OR(E72="",E72=0)),"",(IF(E72=1,30,IF(E72=2,20,IF(E72=3,10,IF(E72&lt;&gt;"",1,0))))+IF(F72=1,30,IF(F72=2,20,IF(F72=3,10,IF(F72&lt;&gt;"",1,0))))+IF(G72=1,30,IF(G72=2,20,IF(G72=3,10,IF(G72&lt;&gt;"",1,0))))+IF(H72=1,30,IF(H72=2,20,IF(H72=3,10,IF(H72&lt;&gt;"",1,0))))))</f>
        <v/>
      </c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9.5" customHeight="1" s="143">
      <c r="A73" s="1" t="n"/>
      <c r="B73" s="37">
        <f>'👥 Участники'!B73</f>
        <v/>
      </c>
      <c r="C73" s="38">
        <f>'👥 Участники'!C73</f>
        <v/>
      </c>
      <c r="D73" s="39">
        <f>'👥 Участники'!D73</f>
        <v/>
      </c>
      <c r="E73" s="40" t="n"/>
      <c r="F73" s="40" t="n"/>
      <c r="G73" s="40" t="n"/>
      <c r="H73" s="40" t="n"/>
      <c r="I73" s="36">
        <f>IF(AND(C73="",OR(E73="",E73=0)),"",(IF(E73=1,30,IF(E73=2,20,IF(E73=3,10,IF(E73&lt;&gt;"",1,0))))+IF(F73=1,30,IF(F73=2,20,IF(F73=3,10,IF(F73&lt;&gt;"",1,0))))+IF(G73=1,30,IF(G73=2,20,IF(G73=3,10,IF(G73&lt;&gt;"",1,0))))+IF(H73=1,30,IF(H73=2,20,IF(H73=3,10,IF(H73&lt;&gt;"",1,0))))))</f>
        <v/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9.5" customHeight="1" s="143">
      <c r="A74" s="1" t="n"/>
      <c r="B74" s="32">
        <f>'👥 Участники'!B74</f>
        <v/>
      </c>
      <c r="C74" s="33">
        <f>'👥 Участники'!C74</f>
        <v/>
      </c>
      <c r="D74" s="34">
        <f>'👥 Участники'!D74</f>
        <v/>
      </c>
      <c r="E74" s="40" t="n"/>
      <c r="F74" s="40" t="n"/>
      <c r="G74" s="40" t="n"/>
      <c r="H74" s="40" t="n"/>
      <c r="I74" s="36">
        <f>IF(AND(C74="",OR(E74="",E74=0)),"",(IF(E74=1,30,IF(E74=2,20,IF(E74=3,10,IF(E74&lt;&gt;"",1,0))))+IF(F74=1,30,IF(F74=2,20,IF(F74=3,10,IF(F74&lt;&gt;"",1,0))))+IF(G74=1,30,IF(G74=2,20,IF(G74=3,10,IF(G74&lt;&gt;"",1,0))))+IF(H74=1,30,IF(H74=2,20,IF(H74=3,10,IF(H74&lt;&gt;"",1,0))))))</f>
        <v/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9.5" customHeight="1" s="143">
      <c r="A75" s="1" t="n"/>
      <c r="B75" s="37">
        <f>'👥 Участники'!B75</f>
        <v/>
      </c>
      <c r="C75" s="38">
        <f>'👥 Участники'!C75</f>
        <v/>
      </c>
      <c r="D75" s="39">
        <f>'👥 Участники'!D75</f>
        <v/>
      </c>
      <c r="E75" s="40" t="n"/>
      <c r="F75" s="40" t="n"/>
      <c r="G75" s="40" t="n"/>
      <c r="H75" s="40" t="n"/>
      <c r="I75" s="36">
        <f>IF(AND(C75="",OR(E75="",E75=0)),"",(IF(E75=1,30,IF(E75=2,20,IF(E75=3,10,IF(E75&lt;&gt;"",1,0))))+IF(F75=1,30,IF(F75=2,20,IF(F75=3,10,IF(F75&lt;&gt;"",1,0))))+IF(G75=1,30,IF(G75=2,20,IF(G75=3,10,IF(G75&lt;&gt;"",1,0))))+IF(H75=1,30,IF(H75=2,20,IF(H75=3,10,IF(H75&lt;&gt;"",1,0)))))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143">
      <c r="A76" s="1" t="n"/>
      <c r="B76" s="32">
        <f>'👥 Участники'!B76</f>
        <v/>
      </c>
      <c r="C76" s="33">
        <f>'👥 Участники'!C76</f>
        <v/>
      </c>
      <c r="D76" s="34">
        <f>'👥 Участники'!D76</f>
        <v/>
      </c>
      <c r="E76" s="40" t="n"/>
      <c r="F76" s="40" t="n"/>
      <c r="G76" s="40" t="n"/>
      <c r="H76" s="40" t="n"/>
      <c r="I76" s="36">
        <f>IF(AND(C76="",OR(E76="",E76=0)),"",(IF(E76=1,30,IF(E76=2,20,IF(E76=3,10,IF(E76&lt;&gt;"",1,0))))+IF(F76=1,30,IF(F76=2,20,IF(F76=3,10,IF(F76&lt;&gt;"",1,0))))+IF(G76=1,30,IF(G76=2,20,IF(G76=3,10,IF(G76&lt;&gt;"",1,0))))+IF(H76=1,30,IF(H76=2,20,IF(H76=3,10,IF(H76&lt;&gt;"",1,0)))))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143">
      <c r="A77" s="1" t="n"/>
      <c r="B77" s="37">
        <f>'👥 Участники'!B77</f>
        <v/>
      </c>
      <c r="C77" s="38">
        <f>'👥 Участники'!C77</f>
        <v/>
      </c>
      <c r="D77" s="39">
        <f>'👥 Участники'!D77</f>
        <v/>
      </c>
      <c r="E77" s="40" t="n"/>
      <c r="F77" s="40" t="n"/>
      <c r="G77" s="40" t="n"/>
      <c r="H77" s="40" t="n"/>
      <c r="I77" s="36">
        <f>IF(AND(C77="",OR(E77="",E77=0)),"",(IF(E77=1,30,IF(E77=2,20,IF(E77=3,10,IF(E77&lt;&gt;"",1,0))))+IF(F77=1,30,IF(F77=2,20,IF(F77=3,10,IF(F77&lt;&gt;"",1,0))))+IF(G77=1,30,IF(G77=2,20,IF(G77=3,10,IF(G77&lt;&gt;"",1,0))))+IF(H77=1,30,IF(H77=2,20,IF(H77=3,10,IF(H77&lt;&gt;"",1,0)))))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143">
      <c r="A78" s="1" t="n"/>
      <c r="B78" s="32">
        <f>'👥 Участники'!B78</f>
        <v/>
      </c>
      <c r="C78" s="33">
        <f>'👥 Участники'!C78</f>
        <v/>
      </c>
      <c r="D78" s="34">
        <f>'👥 Участники'!D78</f>
        <v/>
      </c>
      <c r="E78" s="40" t="n"/>
      <c r="F78" s="40" t="n"/>
      <c r="G78" s="40" t="n"/>
      <c r="H78" s="40" t="n"/>
      <c r="I78" s="36">
        <f>IF(AND(C78="",OR(E78="",E78=0)),"",(IF(E78=1,30,IF(E78=2,20,IF(E78=3,10,IF(E78&lt;&gt;"",1,0))))+IF(F78=1,30,IF(F78=2,20,IF(F78=3,10,IF(F78&lt;&gt;"",1,0))))+IF(G78=1,30,IF(G78=2,20,IF(G78=3,10,IF(G78&lt;&gt;"",1,0))))+IF(H78=1,30,IF(H78=2,20,IF(H78=3,10,IF(H78&lt;&gt;"",1,0)))))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143">
      <c r="A79" s="1" t="n"/>
      <c r="B79" s="37">
        <f>'👥 Участники'!B79</f>
        <v/>
      </c>
      <c r="C79" s="38">
        <f>'👥 Участники'!C79</f>
        <v/>
      </c>
      <c r="D79" s="39">
        <f>'👥 Участники'!D79</f>
        <v/>
      </c>
      <c r="E79" s="40" t="n"/>
      <c r="F79" s="40" t="n"/>
      <c r="G79" s="40" t="n"/>
      <c r="H79" s="40" t="n"/>
      <c r="I79" s="36">
        <f>IF(AND(C79="",OR(E79="",E79=0)),"",(IF(E79=1,30,IF(E79=2,20,IF(E79=3,10,IF(E79&lt;&gt;"",1,0))))+IF(F79=1,30,IF(F79=2,20,IF(F79=3,10,IF(F79&lt;&gt;"",1,0))))+IF(G79=1,30,IF(G79=2,20,IF(G79=3,10,IF(G79&lt;&gt;"",1,0))))+IF(H79=1,30,IF(H79=2,20,IF(H79=3,10,IF(H79&lt;&gt;"",1,0)))))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143">
      <c r="A80" s="1" t="n"/>
      <c r="B80" s="32">
        <f>'👥 Участники'!B80</f>
        <v/>
      </c>
      <c r="C80" s="33">
        <f>'👥 Участники'!C80</f>
        <v/>
      </c>
      <c r="D80" s="34">
        <f>'👥 Участники'!D80</f>
        <v/>
      </c>
      <c r="E80" s="40" t="n"/>
      <c r="F80" s="40" t="n"/>
      <c r="G80" s="40" t="n"/>
      <c r="H80" s="40" t="n"/>
      <c r="I80" s="36">
        <f>IF(AND(C80="",OR(E80="",E80=0)),"",(IF(E80=1,30,IF(E80=2,20,IF(E80=3,10,IF(E80&lt;&gt;"",1,0))))+IF(F80=1,30,IF(F80=2,20,IF(F80=3,10,IF(F80&lt;&gt;"",1,0))))+IF(G80=1,30,IF(G80=2,20,IF(G80=3,10,IF(G80&lt;&gt;"",1,0))))+IF(H80=1,30,IF(H80=2,20,IF(H80=3,10,IF(H80&lt;&gt;"",1,0))))))</f>
        <v/>
      </c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143">
      <c r="A81" s="1" t="n"/>
      <c r="B81" s="37">
        <f>'👥 Участники'!B81</f>
        <v/>
      </c>
      <c r="C81" s="38">
        <f>'👥 Участники'!C81</f>
        <v/>
      </c>
      <c r="D81" s="39">
        <f>'👥 Участники'!D81</f>
        <v/>
      </c>
      <c r="E81" s="40" t="n"/>
      <c r="F81" s="40" t="n"/>
      <c r="G81" s="40" t="n"/>
      <c r="H81" s="40" t="n"/>
      <c r="I81" s="36">
        <f>IF(AND(C81="",OR(E81="",E81=0)),"",(IF(E81=1,30,IF(E81=2,20,IF(E81=3,10,IF(E81&lt;&gt;"",1,0))))+IF(F81=1,30,IF(F81=2,20,IF(F81=3,10,IF(F81&lt;&gt;"",1,0))))+IF(G81=1,30,IF(G81=2,20,IF(G81=3,10,IF(G81&lt;&gt;"",1,0))))+IF(H81=1,30,IF(H81=2,20,IF(H81=3,10,IF(H81&lt;&gt;"",1,0))))))</f>
        <v/>
      </c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9.5" customHeight="1" s="143">
      <c r="A82" s="1" t="n"/>
      <c r="B82" s="32">
        <f>'👥 Участники'!B82</f>
        <v/>
      </c>
      <c r="C82" s="33">
        <f>'👥 Участники'!C82</f>
        <v/>
      </c>
      <c r="D82" s="34">
        <f>'👥 Участники'!D82</f>
        <v/>
      </c>
      <c r="E82" s="40" t="n"/>
      <c r="F82" s="40" t="n"/>
      <c r="G82" s="40" t="n"/>
      <c r="H82" s="40" t="n"/>
      <c r="I82" s="36">
        <f>IF(AND(C82="",OR(E82="",E82=0)),"",(IF(E82=1,30,IF(E82=2,20,IF(E82=3,10,IF(E82&lt;&gt;"",1,0))))+IF(F82=1,30,IF(F82=2,20,IF(F82=3,10,IF(F82&lt;&gt;"",1,0))))+IF(G82=1,30,IF(G82=2,20,IF(G82=3,10,IF(G82&lt;&gt;"",1,0))))+IF(H82=1,30,IF(H82=2,20,IF(H82=3,10,IF(H82&lt;&gt;"",1,0))))))</f>
        <v/>
      </c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143">
      <c r="A83" s="1" t="n"/>
      <c r="B83" s="37">
        <f>'👥 Участники'!B83</f>
        <v/>
      </c>
      <c r="C83" s="38">
        <f>'👥 Участники'!C83</f>
        <v/>
      </c>
      <c r="D83" s="39">
        <f>'👥 Участники'!D83</f>
        <v/>
      </c>
      <c r="E83" s="40" t="n"/>
      <c r="F83" s="40" t="n"/>
      <c r="G83" s="40" t="n"/>
      <c r="H83" s="40" t="n"/>
      <c r="I83" s="36">
        <f>IF(AND(C83="",OR(E83="",E83=0)),"",(IF(E83=1,30,IF(E83=2,20,IF(E83=3,10,IF(E83&lt;&gt;"",1,0))))+IF(F83=1,30,IF(F83=2,20,IF(F83=3,10,IF(F83&lt;&gt;"",1,0))))+IF(G83=1,30,IF(G83=2,20,IF(G83=3,10,IF(G83&lt;&gt;"",1,0))))+IF(H83=1,30,IF(H83=2,20,IF(H83=3,10,IF(H83&lt;&gt;"",1,0))))))</f>
        <v/>
      </c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143">
      <c r="A84" s="1" t="n"/>
      <c r="B84" s="32">
        <f>'👥 Участники'!B84</f>
        <v/>
      </c>
      <c r="C84" s="33">
        <f>'👥 Участники'!C84</f>
        <v/>
      </c>
      <c r="D84" s="34">
        <f>'👥 Участники'!D84</f>
        <v/>
      </c>
      <c r="E84" s="40" t="n"/>
      <c r="F84" s="40" t="n"/>
      <c r="G84" s="40" t="n"/>
      <c r="H84" s="40" t="n"/>
      <c r="I84" s="36">
        <f>IF(AND(C84="",OR(E84="",E84=0)),"",(IF(E84=1,30,IF(E84=2,20,IF(E84=3,10,IF(E84&lt;&gt;"",1,0))))+IF(F84=1,30,IF(F84=2,20,IF(F84=3,10,IF(F84&lt;&gt;"",1,0))))+IF(G84=1,30,IF(G84=2,20,IF(G84=3,10,IF(G84&lt;&gt;"",1,0))))+IF(H84=1,30,IF(H84=2,20,IF(H84=3,10,IF(H84&lt;&gt;"",1,0))))))</f>
        <v/>
      </c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9.5" customHeight="1" s="143">
      <c r="A85" s="1" t="n"/>
      <c r="B85" s="37">
        <f>'👥 Участники'!B85</f>
        <v/>
      </c>
      <c r="C85" s="38">
        <f>'👥 Участники'!C85</f>
        <v/>
      </c>
      <c r="D85" s="39">
        <f>'👥 Участники'!D85</f>
        <v/>
      </c>
      <c r="E85" s="40" t="n"/>
      <c r="F85" s="40" t="n"/>
      <c r="G85" s="40" t="n"/>
      <c r="H85" s="40" t="n"/>
      <c r="I85" s="36">
        <f>IF(AND(C85="",OR(E85="",E85=0)),"",(IF(E85=1,30,IF(E85=2,20,IF(E85=3,10,IF(E85&lt;&gt;"",1,0))))+IF(F85=1,30,IF(F85=2,20,IF(F85=3,10,IF(F85&lt;&gt;"",1,0))))+IF(G85=1,30,IF(G85=2,20,IF(G85=3,10,IF(G85&lt;&gt;"",1,0))))+IF(H85=1,30,IF(H85=2,20,IF(H85=3,10,IF(H85&lt;&gt;"",1,0)))))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9.5" customHeight="1" s="143">
      <c r="A86" s="1" t="n"/>
      <c r="B86" s="32">
        <f>'👥 Участники'!B86</f>
        <v/>
      </c>
      <c r="C86" s="33">
        <f>'👥 Участники'!C86</f>
        <v/>
      </c>
      <c r="D86" s="34">
        <f>'👥 Участники'!D86</f>
        <v/>
      </c>
      <c r="E86" s="40" t="n"/>
      <c r="F86" s="40" t="n"/>
      <c r="G86" s="40" t="n"/>
      <c r="H86" s="40" t="n"/>
      <c r="I86" s="36">
        <f>IF(AND(C86="",OR(E86="",E86=0)),"",(IF(E86=1,30,IF(E86=2,20,IF(E86=3,10,IF(E86&lt;&gt;"",1,0))))+IF(F86=1,30,IF(F86=2,20,IF(F86=3,10,IF(F86&lt;&gt;"",1,0))))+IF(G86=1,30,IF(G86=2,20,IF(G86=3,10,IF(G86&lt;&gt;"",1,0))))+IF(H86=1,30,IF(H86=2,20,IF(H86=3,10,IF(H86&lt;&gt;"",1,0))))))</f>
        <v/>
      </c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9.5" customHeight="1" s="143">
      <c r="A87" s="1" t="n"/>
      <c r="B87" s="37">
        <f>'👥 Участники'!B87</f>
        <v/>
      </c>
      <c r="C87" s="38">
        <f>'👥 Участники'!C87</f>
        <v/>
      </c>
      <c r="D87" s="39">
        <f>'👥 Участники'!D87</f>
        <v/>
      </c>
      <c r="E87" s="40" t="n"/>
      <c r="F87" s="40" t="n"/>
      <c r="G87" s="40" t="n"/>
      <c r="H87" s="40" t="n"/>
      <c r="I87" s="36">
        <f>IF(AND(C87="",OR(E87="",E87=0)),"",(IF(E87=1,30,IF(E87=2,20,IF(E87=3,10,IF(E87&lt;&gt;"",1,0))))+IF(F87=1,30,IF(F87=2,20,IF(F87=3,10,IF(F87&lt;&gt;"",1,0))))+IF(G87=1,30,IF(G87=2,20,IF(G87=3,10,IF(G87&lt;&gt;"",1,0))))+IF(H87=1,30,IF(H87=2,20,IF(H87=3,10,IF(H87&lt;&gt;"",1,0))))))</f>
        <v/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9.5" customHeight="1" s="143">
      <c r="A88" s="1" t="n"/>
      <c r="B88" s="32">
        <f>'👥 Участники'!B88</f>
        <v/>
      </c>
      <c r="C88" s="33">
        <f>'👥 Участники'!C88</f>
        <v/>
      </c>
      <c r="D88" s="34">
        <f>'👥 Участники'!D88</f>
        <v/>
      </c>
      <c r="E88" s="40" t="n"/>
      <c r="F88" s="40" t="n"/>
      <c r="G88" s="40" t="n"/>
      <c r="H88" s="40" t="n"/>
      <c r="I88" s="36">
        <f>IF(AND(C88="",OR(E88="",E88=0)),"",(IF(E88=1,30,IF(E88=2,20,IF(E88=3,10,IF(E88&lt;&gt;"",1,0))))+IF(F88=1,30,IF(F88=2,20,IF(F88=3,10,IF(F88&lt;&gt;"",1,0))))+IF(G88=1,30,IF(G88=2,20,IF(G88=3,10,IF(G88&lt;&gt;"",1,0))))+IF(H88=1,30,IF(H88=2,20,IF(H88=3,10,IF(H88&lt;&gt;"",1,0))))))</f>
        <v/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9.5" customHeight="1" s="143">
      <c r="A89" s="1" t="n"/>
      <c r="B89" s="37">
        <f>'👥 Участники'!B89</f>
        <v/>
      </c>
      <c r="C89" s="38">
        <f>'👥 Участники'!C89</f>
        <v/>
      </c>
      <c r="D89" s="39">
        <f>'👥 Участники'!D89</f>
        <v/>
      </c>
      <c r="E89" s="40" t="n"/>
      <c r="F89" s="40" t="n"/>
      <c r="G89" s="40" t="n"/>
      <c r="H89" s="40" t="n"/>
      <c r="I89" s="36">
        <f>IF(AND(C89="",OR(E89="",E89=0)),"",(IF(E89=1,30,IF(E89=2,20,IF(E89=3,10,IF(E89&lt;&gt;"",1,0))))+IF(F89=1,30,IF(F89=2,20,IF(F89=3,10,IF(F89&lt;&gt;"",1,0))))+IF(G89=1,30,IF(G89=2,20,IF(G89=3,10,IF(G89&lt;&gt;"",1,0))))+IF(H89=1,30,IF(H89=2,20,IF(H89=3,10,IF(H89&lt;&gt;"",1,0)))))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9.5" customHeight="1" s="143">
      <c r="A90" s="1" t="n"/>
      <c r="B90" s="32">
        <f>'👥 Участники'!B90</f>
        <v/>
      </c>
      <c r="C90" s="33">
        <f>'👥 Участники'!C90</f>
        <v/>
      </c>
      <c r="D90" s="34">
        <f>'👥 Участники'!D90</f>
        <v/>
      </c>
      <c r="E90" s="40" t="n"/>
      <c r="F90" s="40" t="n"/>
      <c r="G90" s="40" t="n"/>
      <c r="H90" s="40" t="n"/>
      <c r="I90" s="36">
        <f>IF(AND(C90="",OR(E90="",E90=0)),"",(IF(E90=1,30,IF(E90=2,20,IF(E90=3,10,IF(E90&lt;&gt;"",1,0))))+IF(F90=1,30,IF(F90=2,20,IF(F90=3,10,IF(F90&lt;&gt;"",1,0))))+IF(G90=1,30,IF(G90=2,20,IF(G90=3,10,IF(G90&lt;&gt;"",1,0))))+IF(H90=1,30,IF(H90=2,20,IF(H90=3,10,IF(H90&lt;&gt;"",1,0))))))</f>
        <v/>
      </c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9.5" customHeight="1" s="143">
      <c r="A91" s="1" t="n"/>
      <c r="B91" s="37">
        <f>'👥 Участники'!B91</f>
        <v/>
      </c>
      <c r="C91" s="38">
        <f>'👥 Участники'!C91</f>
        <v/>
      </c>
      <c r="D91" s="39">
        <f>'👥 Участники'!D91</f>
        <v/>
      </c>
      <c r="E91" s="40" t="n"/>
      <c r="F91" s="40" t="n"/>
      <c r="G91" s="40" t="n"/>
      <c r="H91" s="40" t="n"/>
      <c r="I91" s="36">
        <f>IF(AND(C91="",OR(E91="",E91=0)),"",(IF(E91=1,30,IF(E91=2,20,IF(E91=3,10,IF(E91&lt;&gt;"",1,0))))+IF(F91=1,30,IF(F91=2,20,IF(F91=3,10,IF(F91&lt;&gt;"",1,0))))+IF(G91=1,30,IF(G91=2,20,IF(G91=3,10,IF(G91&lt;&gt;"",1,0))))+IF(H91=1,30,IF(H91=2,20,IF(H91=3,10,IF(H91&lt;&gt;"",1,0))))))</f>
        <v/>
      </c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9.5" customHeight="1" s="143">
      <c r="A92" s="1" t="n"/>
      <c r="B92" s="32">
        <f>'👥 Участники'!B92</f>
        <v/>
      </c>
      <c r="C92" s="33">
        <f>'👥 Участники'!C92</f>
        <v/>
      </c>
      <c r="D92" s="34">
        <f>'👥 Участники'!D92</f>
        <v/>
      </c>
      <c r="E92" s="40" t="n"/>
      <c r="F92" s="40" t="n"/>
      <c r="G92" s="40" t="n"/>
      <c r="H92" s="40" t="n"/>
      <c r="I92" s="36">
        <f>IF(AND(C92="",OR(E92="",E92=0)),"",(IF(E92=1,30,IF(E92=2,20,IF(E92=3,10,IF(E92&lt;&gt;"",1,0))))+IF(F92=1,30,IF(F92=2,20,IF(F92=3,10,IF(F92&lt;&gt;"",1,0))))+IF(G92=1,30,IF(G92=2,20,IF(G92=3,10,IF(G92&lt;&gt;"",1,0))))+IF(H92=1,30,IF(H92=2,20,IF(H92=3,10,IF(H92&lt;&gt;"",1,0))))))</f>
        <v/>
      </c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9.5" customHeight="1" s="143">
      <c r="A93" s="1" t="n"/>
      <c r="B93" s="37">
        <f>'👥 Участники'!B93</f>
        <v/>
      </c>
      <c r="C93" s="38">
        <f>'👥 Участники'!C93</f>
        <v/>
      </c>
      <c r="D93" s="39">
        <f>'👥 Участники'!D93</f>
        <v/>
      </c>
      <c r="E93" s="40" t="n"/>
      <c r="F93" s="40" t="n"/>
      <c r="G93" s="40" t="n"/>
      <c r="H93" s="40" t="n"/>
      <c r="I93" s="36">
        <f>IF(AND(C93="",OR(E93="",E93=0)),"",(IF(E93=1,30,IF(E93=2,20,IF(E93=3,10,IF(E93&lt;&gt;"",1,0))))+IF(F93=1,30,IF(F93=2,20,IF(F93=3,10,IF(F93&lt;&gt;"",1,0))))+IF(G93=1,30,IF(G93=2,20,IF(G93=3,10,IF(G93&lt;&gt;"",1,0))))+IF(H93=1,30,IF(H93=2,20,IF(H93=3,10,IF(H93&lt;&gt;"",1,0))))))</f>
        <v/>
      </c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9.5" customHeight="1" s="143">
      <c r="A94" s="1" t="n"/>
      <c r="B94" s="32">
        <f>'👥 Участники'!B94</f>
        <v/>
      </c>
      <c r="C94" s="33">
        <f>'👥 Участники'!C94</f>
        <v/>
      </c>
      <c r="D94" s="34">
        <f>'👥 Участники'!D94</f>
        <v/>
      </c>
      <c r="E94" s="40" t="n"/>
      <c r="F94" s="40" t="n"/>
      <c r="G94" s="40" t="n"/>
      <c r="H94" s="40" t="n"/>
      <c r="I94" s="36">
        <f>IF(AND(C94="",OR(E94="",E94=0)),"",(IF(E94=1,30,IF(E94=2,20,IF(E94=3,10,IF(E94&lt;&gt;"",1,0))))+IF(F94=1,30,IF(F94=2,20,IF(F94=3,10,IF(F94&lt;&gt;"",1,0))))+IF(G94=1,30,IF(G94=2,20,IF(G94=3,10,IF(G94&lt;&gt;"",1,0))))+IF(H94=1,30,IF(H94=2,20,IF(H94=3,10,IF(H94&lt;&gt;"",1,0)))))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9.5" customHeight="1" s="143">
      <c r="A95" s="1" t="n"/>
      <c r="B95" s="37">
        <f>'👥 Участники'!B95</f>
        <v/>
      </c>
      <c r="C95" s="38">
        <f>'👥 Участники'!C95</f>
        <v/>
      </c>
      <c r="D95" s="39">
        <f>'👥 Участники'!D95</f>
        <v/>
      </c>
      <c r="E95" s="40" t="n"/>
      <c r="F95" s="40" t="n"/>
      <c r="G95" s="40" t="n"/>
      <c r="H95" s="40" t="n"/>
      <c r="I95" s="36">
        <f>IF(AND(C95="",OR(E95="",E95=0)),"",(IF(E95=1,30,IF(E95=2,20,IF(E95=3,10,IF(E95&lt;&gt;"",1,0))))+IF(F95=1,30,IF(F95=2,20,IF(F95=3,10,IF(F95&lt;&gt;"",1,0))))+IF(G95=1,30,IF(G95=2,20,IF(G95=3,10,IF(G95&lt;&gt;"",1,0))))+IF(H95=1,30,IF(H95=2,20,IF(H95=3,10,IF(H95&lt;&gt;"",1,0))))))</f>
        <v/>
      </c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9.5" customHeight="1" s="143">
      <c r="A96" s="1" t="n"/>
      <c r="B96" s="32">
        <f>'👥 Участники'!B96</f>
        <v/>
      </c>
      <c r="C96" s="33">
        <f>'👥 Участники'!C96</f>
        <v/>
      </c>
      <c r="D96" s="34">
        <f>'👥 Участники'!D96</f>
        <v/>
      </c>
      <c r="E96" s="40" t="n"/>
      <c r="F96" s="40" t="n"/>
      <c r="G96" s="40" t="n"/>
      <c r="H96" s="40" t="n"/>
      <c r="I96" s="36">
        <f>IF(AND(C96="",OR(E96="",E96=0)),"",(IF(E96=1,30,IF(E96=2,20,IF(E96=3,10,IF(E96&lt;&gt;"",1,0))))+IF(F96=1,30,IF(F96=2,20,IF(F96=3,10,IF(F96&lt;&gt;"",1,0))))+IF(G96=1,30,IF(G96=2,20,IF(G96=3,10,IF(G96&lt;&gt;"",1,0))))+IF(H96=1,30,IF(H96=2,20,IF(H96=3,10,IF(H96&lt;&gt;"",1,0))))))</f>
        <v/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9.5" customHeight="1" s="143">
      <c r="A97" s="1" t="n"/>
      <c r="B97" s="37">
        <f>'👥 Участники'!B97</f>
        <v/>
      </c>
      <c r="C97" s="38">
        <f>'👥 Участники'!C97</f>
        <v/>
      </c>
      <c r="D97" s="39">
        <f>'👥 Участники'!D97</f>
        <v/>
      </c>
      <c r="E97" s="40" t="n"/>
      <c r="F97" s="40" t="n"/>
      <c r="G97" s="40" t="n"/>
      <c r="H97" s="40" t="n"/>
      <c r="I97" s="36">
        <f>IF(AND(C97="",OR(E97="",E97=0)),"",(IF(E97=1,30,IF(E97=2,20,IF(E97=3,10,IF(E97&lt;&gt;"",1,0))))+IF(F97=1,30,IF(F97=2,20,IF(F97=3,10,IF(F97&lt;&gt;"",1,0))))+IF(G97=1,30,IF(G97=2,20,IF(G97=3,10,IF(G97&lt;&gt;"",1,0))))+IF(H97=1,30,IF(H97=2,20,IF(H97=3,10,IF(H97&lt;&gt;"",1,0))))))</f>
        <v/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9.5" customHeight="1" s="143">
      <c r="A98" s="1" t="n"/>
      <c r="B98" s="32">
        <f>'👥 Участники'!B98</f>
        <v/>
      </c>
      <c r="C98" s="33">
        <f>'👥 Участники'!C98</f>
        <v/>
      </c>
      <c r="D98" s="34">
        <f>'👥 Участники'!D98</f>
        <v/>
      </c>
      <c r="E98" s="40" t="n"/>
      <c r="F98" s="40" t="n"/>
      <c r="G98" s="40" t="n"/>
      <c r="H98" s="40" t="n"/>
      <c r="I98" s="36">
        <f>IF(AND(C98="",OR(E98="",E98=0)),"",(IF(E98=1,30,IF(E98=2,20,IF(E98=3,10,IF(E98&lt;&gt;"",1,0))))+IF(F98=1,30,IF(F98=2,20,IF(F98=3,10,IF(F98&lt;&gt;"",1,0))))+IF(G98=1,30,IF(G98=2,20,IF(G98=3,10,IF(G98&lt;&gt;"",1,0))))+IF(H98=1,30,IF(H98=2,20,IF(H98=3,10,IF(H98&lt;&gt;"",1,0))))))</f>
        <v/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9.5" customHeight="1" s="143">
      <c r="A99" s="1" t="n"/>
      <c r="B99" s="37">
        <f>'👥 Участники'!B99</f>
        <v/>
      </c>
      <c r="C99" s="38">
        <f>'👥 Участники'!C99</f>
        <v/>
      </c>
      <c r="D99" s="39">
        <f>'👥 Участники'!D99</f>
        <v/>
      </c>
      <c r="E99" s="40" t="n"/>
      <c r="F99" s="40" t="n"/>
      <c r="G99" s="40" t="n"/>
      <c r="H99" s="40" t="n"/>
      <c r="I99" s="36">
        <f>IF(AND(C99="",OR(E99="",E99=0)),"",(IF(E99=1,30,IF(E99=2,20,IF(E99=3,10,IF(E99&lt;&gt;"",1,0))))+IF(F99=1,30,IF(F99=2,20,IF(F99=3,10,IF(F99&lt;&gt;"",1,0))))+IF(G99=1,30,IF(G99=2,20,IF(G99=3,10,IF(G99&lt;&gt;"",1,0))))+IF(H99=1,30,IF(H99=2,20,IF(H99=3,10,IF(H99&lt;&gt;"",1,0)))))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9.5" customHeight="1" s="143">
      <c r="A100" s="1" t="n"/>
      <c r="B100" s="32">
        <f>'👥 Участники'!B100</f>
        <v/>
      </c>
      <c r="C100" s="33">
        <f>'👥 Участники'!C100</f>
        <v/>
      </c>
      <c r="D100" s="34">
        <f>'👥 Участники'!D100</f>
        <v/>
      </c>
      <c r="E100" s="40" t="n"/>
      <c r="F100" s="40" t="n"/>
      <c r="G100" s="40" t="n"/>
      <c r="H100" s="40" t="n"/>
      <c r="I100" s="36">
        <f>IF(AND(C100="",OR(E100="",E100=0)),"",(IF(E100=1,30,IF(E100=2,20,IF(E100=3,10,IF(E100&lt;&gt;"",1,0))))+IF(F100=1,30,IF(F100=2,20,IF(F100=3,10,IF(F100&lt;&gt;"",1,0))))+IF(G100=1,30,IF(G100=2,20,IF(G100=3,10,IF(G100&lt;&gt;"",1,0))))+IF(H100=1,30,IF(H100=2,20,IF(H100=3,10,IF(H100&lt;&gt;"",1,0)))))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9.5" customHeight="1" s="143">
      <c r="A101" s="1" t="n"/>
      <c r="B101" s="37">
        <f>'👥 Участники'!B101</f>
        <v/>
      </c>
      <c r="C101" s="38">
        <f>'👥 Участники'!C101</f>
        <v/>
      </c>
      <c r="D101" s="39">
        <f>'👥 Участники'!D101</f>
        <v/>
      </c>
      <c r="E101" s="40" t="n"/>
      <c r="F101" s="40" t="n"/>
      <c r="G101" s="40" t="n"/>
      <c r="H101" s="40" t="n"/>
      <c r="I101" s="36">
        <f>IF(AND(C101="",OR(E101="",E101=0)),"",(IF(E101=1,30,IF(E101=2,20,IF(E101=3,10,IF(E101&lt;&gt;"",1,0))))+IF(F101=1,30,IF(F101=2,20,IF(F101=3,10,IF(F101&lt;&gt;"",1,0))))+IF(G101=1,30,IF(G101=2,20,IF(G101=3,10,IF(G101&lt;&gt;"",1,0))))+IF(H101=1,30,IF(H101=2,20,IF(H101=3,10,IF(H101&lt;&gt;"",1,0))))))</f>
        <v/>
      </c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9.5" customHeight="1" s="143">
      <c r="A102" s="1" t="n"/>
      <c r="B102" s="32">
        <f>'👥 Участники'!B102</f>
        <v/>
      </c>
      <c r="C102" s="33">
        <f>'👥 Участники'!C102</f>
        <v/>
      </c>
      <c r="D102" s="34">
        <f>'👥 Участники'!D102</f>
        <v/>
      </c>
      <c r="E102" s="40" t="n"/>
      <c r="F102" s="40" t="n"/>
      <c r="G102" s="40" t="n"/>
      <c r="H102" s="40" t="n"/>
      <c r="I102" s="36">
        <f>IF(AND(C102="",OR(E102="",E102=0)),"",(IF(E102=1,30,IF(E102=2,20,IF(E102=3,10,IF(E102&lt;&gt;"",1,0))))+IF(F102=1,30,IF(F102=2,20,IF(F102=3,10,IF(F102&lt;&gt;"",1,0))))+IF(G102=1,30,IF(G102=2,20,IF(G102=3,10,IF(G102&lt;&gt;"",1,0))))+IF(H102=1,30,IF(H102=2,20,IF(H102=3,10,IF(H102&lt;&gt;"",1,0))))))</f>
        <v/>
      </c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9.5" customHeight="1" s="143">
      <c r="A103" s="1" t="n"/>
      <c r="B103" s="37">
        <f>'👥 Участники'!B103</f>
        <v/>
      </c>
      <c r="C103" s="38">
        <f>'👥 Участники'!C103</f>
        <v/>
      </c>
      <c r="D103" s="39">
        <f>'👥 Участники'!D103</f>
        <v/>
      </c>
      <c r="E103" s="40" t="n"/>
      <c r="F103" s="40" t="n"/>
      <c r="G103" s="40" t="n"/>
      <c r="H103" s="40" t="n"/>
      <c r="I103" s="36">
        <f>IF(AND(C103="",OR(E103="",E103=0)),"",(IF(E103=1,30,IF(E103=2,20,IF(E103=3,10,IF(E103&lt;&gt;"",1,0))))+IF(F103=1,30,IF(F103=2,20,IF(F103=3,10,IF(F103&lt;&gt;"",1,0))))+IF(G103=1,30,IF(G103=2,20,IF(G103=3,10,IF(G103&lt;&gt;"",1,0))))+IF(H103=1,30,IF(H103=2,20,IF(H103=3,10,IF(H103&lt;&gt;"",1,0)))))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>
        <f>IF(AND(C104="",OR(E104="",E104=0)),"",(IF(E104=1,30,IF(E104=2,20,IF(E104=3,10,IF(E104&lt;&gt;"",1,0))))+IF(F104=1,30,IF(F104=2,20,IF(F104=3,10,IF(F104&lt;&gt;"",1,0))))+IF(G104=1,30,IF(G104=2,20,IF(G104=3,10,IF(G104&lt;&gt;"",1,0))))+IF(H104=1,30,IF(H104=2,20,IF(H104=3,10,IF(H104&lt;&gt;"",1,0))))))</f>
        <v/>
      </c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>
        <f>IF(AND(C105="",OR(E105="",E105=0)),"",(IF(E105=1,30,IF(E105=2,20,IF(E105=3,10,IF(E105&lt;&gt;"",1,0))))+IF(F105=1,30,IF(F105=2,20,IF(F105=3,10,IF(F105&lt;&gt;"",1,0))))+IF(G105=1,30,IF(G105=2,20,IF(G105=3,10,IF(G105&lt;&gt;"",1,0))))+IF(H105=1,30,IF(H105=2,20,IF(H105=3,10,IF(H105&lt;&gt;"",1,0))))))</f>
        <v/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>
        <f>IF(AND(C106="",OR(E106="",E106=0)),"",(IF(E106=1,30,IF(E106=2,20,IF(E106=3,10,IF(E106&lt;&gt;"",1,0))))+IF(F106=1,30,IF(F106=2,20,IF(F106=3,10,IF(F106&lt;&gt;"",1,0))))+IF(G106=1,30,IF(G106=2,20,IF(G106=3,10,IF(G106&lt;&gt;"",1,0))))+IF(H106=1,30,IF(H106=2,20,IF(H106=3,10,IF(H106&lt;&gt;"",1,0))))))</f>
        <v/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>
        <f>IF(AND(C107="",OR(E107="",E107=0)),"",(IF(E107=1,30,IF(E107=2,20,IF(E107=3,10,IF(E107&lt;&gt;"",1,0))))+IF(F107=1,30,IF(F107=2,20,IF(F107=3,10,IF(F107&lt;&gt;"",1,0))))+IF(G107=1,30,IF(G107=2,20,IF(G107=3,10,IF(G107&lt;&gt;"",1,0))))+IF(H107=1,30,IF(H107=2,20,IF(H107=3,10,IF(H107&lt;&gt;"",1,0)))))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>
        <f>IF(AND(C108="",OR(E108="",E108=0)),"",(IF(E108=1,30,IF(E108=2,20,IF(E108=3,10,IF(E108&lt;&gt;"",1,0))))+IF(F108=1,30,IF(F108=2,20,IF(F108=3,10,IF(F108&lt;&gt;"",1,0))))+IF(G108=1,30,IF(G108=2,20,IF(G108=3,10,IF(G108&lt;&gt;"",1,0))))+IF(H108=1,30,IF(H108=2,20,IF(H108=3,10,IF(H108&lt;&gt;"",1,0)))))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>
        <f>IF(AND(C109="",OR(E109="",E109=0)),"",(IF(E109=1,30,IF(E109=2,20,IF(E109=3,10,IF(E109&lt;&gt;"",1,0))))+IF(F109=1,30,IF(F109=2,20,IF(F109=3,10,IF(F109&lt;&gt;"",1,0))))+IF(G109=1,30,IF(G109=2,20,IF(G109=3,10,IF(G109&lt;&gt;"",1,0))))+IF(H109=1,30,IF(H109=2,20,IF(H109=3,10,IF(H109&lt;&gt;"",1,0))))))</f>
        <v/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>
        <f>IF(AND(C110="",OR(E110="",E110=0)),"",(IF(E110=1,30,IF(E110=2,20,IF(E110=3,10,IF(E110&lt;&gt;"",1,0))))+IF(F110=1,30,IF(F110=2,20,IF(F110=3,10,IF(F110&lt;&gt;"",1,0))))+IF(G110=1,30,IF(G110=2,20,IF(G110=3,10,IF(G110&lt;&gt;"",1,0))))+IF(H110=1,30,IF(H110=2,20,IF(H110=3,10,IF(H110&lt;&gt;"",1,0))))))</f>
        <v/>
      </c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>
        <f>IF(AND(C111="",OR(E111="",E111=0)),"",(IF(E111=1,30,IF(E111=2,20,IF(E111=3,10,IF(E111&lt;&gt;"",1,0))))+IF(F111=1,30,IF(F111=2,20,IF(F111=3,10,IF(F111&lt;&gt;"",1,0))))+IF(G111=1,30,IF(G111=2,20,IF(G111=3,10,IF(G111&lt;&gt;"",1,0))))+IF(H111=1,30,IF(H111=2,20,IF(H111=3,10,IF(H111&lt;&gt;"",1,0))))))</f>
        <v/>
      </c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>
        <f>IF(AND(C112="",OR(E112="",E112=0)),"",(IF(E112=1,30,IF(E112=2,20,IF(E112=3,10,IF(E112&lt;&gt;"",1,0))))+IF(F112=1,30,IF(F112=2,20,IF(F112=3,10,IF(F112&lt;&gt;"",1,0))))+IF(G112=1,30,IF(G112=2,20,IF(G112=3,10,IF(G112&lt;&gt;"",1,0))))+IF(H112=1,30,IF(H112=2,20,IF(H112=3,10,IF(H112&lt;&gt;"",1,0)))))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>
        <f>IF(AND(C113="",OR(E113="",E113=0)),"",(IF(E113=1,30,IF(E113=2,20,IF(E113=3,10,IF(E113&lt;&gt;"",1,0))))+IF(F113=1,30,IF(F113=2,20,IF(F113=3,10,IF(F113&lt;&gt;"",1,0))))+IF(G113=1,30,IF(G113=2,20,IF(G113=3,10,IF(G113&lt;&gt;"",1,0))))+IF(H113=1,30,IF(H113=2,20,IF(H113=3,10,IF(H113&lt;&gt;"",1,0))))))</f>
        <v/>
      </c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>
        <f>IF(AND(C114="",OR(E114="",E114=0)),"",(IF(E114=1,30,IF(E114=2,20,IF(E114=3,10,IF(E114&lt;&gt;"",1,0))))+IF(F114=1,30,IF(F114=2,20,IF(F114=3,10,IF(F114&lt;&gt;"",1,0))))+IF(G114=1,30,IF(G114=2,20,IF(G114=3,10,IF(G114&lt;&gt;"",1,0))))+IF(H114=1,30,IF(H114=2,20,IF(H114=3,10,IF(H114&lt;&gt;"",1,0))))))</f>
        <v/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>
        <f>IF(AND(C115="",OR(E115="",E115=0)),"",(IF(E115=1,30,IF(E115=2,20,IF(E115=3,10,IF(E115&lt;&gt;"",1,0))))+IF(F115=1,30,IF(F115=2,20,IF(F115=3,10,IF(F115&lt;&gt;"",1,0))))+IF(G115=1,30,IF(G115=2,20,IF(G115=3,10,IF(G115&lt;&gt;"",1,0))))+IF(H115=1,30,IF(H115=2,20,IF(H115=3,10,IF(H115&lt;&gt;"",1,0))))))</f>
        <v/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>
        <f>IF(AND(C116="",OR(E116="",E116=0)),"",(IF(E116=1,30,IF(E116=2,20,IF(E116=3,10,IF(E116&lt;&gt;"",1,0))))+IF(F116=1,30,IF(F116=2,20,IF(F116=3,10,IF(F116&lt;&gt;"",1,0))))+IF(G116=1,30,IF(G116=2,20,IF(G116=3,10,IF(G116&lt;&gt;"",1,0))))+IF(H116=1,30,IF(H116=2,20,IF(H116=3,10,IF(H116&lt;&gt;"",1,0)))))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>
        <f>IF(AND(C117="",OR(E117="",E117=0)),"",(IF(E117=1,30,IF(E117=2,20,IF(E117=3,10,IF(E117&lt;&gt;"",1,0))))+IF(F117=1,30,IF(F117=2,20,IF(F117=3,10,IF(F117&lt;&gt;"",1,0))))+IF(G117=1,30,IF(G117=2,20,IF(G117=3,10,IF(G117&lt;&gt;"",1,0))))+IF(H117=1,30,IF(H117=2,20,IF(H117=3,10,IF(H117&lt;&gt;"",1,0)))))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>
        <f>IF(AND(C118="",OR(E118="",E118=0)),"",(IF(E118=1,30,IF(E118=2,20,IF(E118=3,10,IF(E118&lt;&gt;"",1,0))))+IF(F118=1,30,IF(F118=2,20,IF(F118=3,10,IF(F118&lt;&gt;"",1,0))))+IF(G118=1,30,IF(G118=2,20,IF(G118=3,10,IF(G118&lt;&gt;"",1,0))))+IF(H118=1,30,IF(H118=2,20,IF(H118=3,10,IF(H118&lt;&gt;"",1,0))))))</f>
        <v/>
      </c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>
        <f>IF(AND(C119="",OR(E119="",E119=0)),"",(IF(E119=1,30,IF(E119=2,20,IF(E119=3,10,IF(E119&lt;&gt;"",1,0))))+IF(F119=1,30,IF(F119=2,20,IF(F119=3,10,IF(F119&lt;&gt;"",1,0))))+IF(G119=1,30,IF(G119=2,20,IF(G119=3,10,IF(G119&lt;&gt;"",1,0))))+IF(H119=1,30,IF(H119=2,20,IF(H119=3,10,IF(H119&lt;&gt;"",1,0))))))</f>
        <v/>
      </c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>
        <f>IF(AND(C120="",OR(E120="",E120=0)),"",(IF(E120=1,30,IF(E120=2,20,IF(E120=3,10,IF(E120&lt;&gt;"",1,0))))+IF(F120=1,30,IF(F120=2,20,IF(F120=3,10,IF(F120&lt;&gt;"",1,0))))+IF(G120=1,30,IF(G120=2,20,IF(G120=3,10,IF(G120&lt;&gt;"",1,0))))+IF(H120=1,30,IF(H120=2,20,IF(H120=3,10,IF(H120&lt;&gt;"",1,0))))))</f>
        <v/>
      </c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>
        <f>IF(AND(C121="",OR(E121="",E121=0)),"",(IF(E121=1,30,IF(E121=2,20,IF(E121=3,10,IF(E121&lt;&gt;"",1,0))))+IF(F121=1,30,IF(F121=2,20,IF(F121=3,10,IF(F121&lt;&gt;"",1,0))))+IF(G121=1,30,IF(G121=2,20,IF(G121=3,10,IF(G121&lt;&gt;"",1,0))))+IF(H121=1,30,IF(H121=2,20,IF(H121=3,10,IF(H121&lt;&gt;"",1,0)))))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>
        <f>IF(AND(C122="",OR(E122="",E122=0)),"",(IF(E122=1,30,IF(E122=2,20,IF(E122=3,10,IF(E122&lt;&gt;"",1,0))))+IF(F122=1,30,IF(F122=2,20,IF(F122=3,10,IF(F122&lt;&gt;"",1,0))))+IF(G122=1,30,IF(G122=2,20,IF(G122=3,10,IF(G122&lt;&gt;"",1,0))))+IF(H122=1,30,IF(H122=2,20,IF(H122=3,10,IF(H122&lt;&gt;"",1,0))))))</f>
        <v/>
      </c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>
        <f>IF(AND(C123="",OR(E123="",E123=0)),"",(IF(E123=1,30,IF(E123=2,20,IF(E123=3,10,IF(E123&lt;&gt;"",1,0))))+IF(F123=1,30,IF(F123=2,20,IF(F123=3,10,IF(F123&lt;&gt;"",1,0))))+IF(G123=1,30,IF(G123=2,20,IF(G123=3,10,IF(G123&lt;&gt;"",1,0))))+IF(H123=1,30,IF(H123=2,20,IF(H123=3,10,IF(H123&lt;&gt;"",1,0))))))</f>
        <v/>
      </c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>
        <f>IF(AND(C124="",OR(E124="",E124=0)),"",(IF(E124=1,30,IF(E124=2,20,IF(E124=3,10,IF(E124&lt;&gt;"",1,0))))+IF(F124=1,30,IF(F124=2,20,IF(F124=3,10,IF(F124&lt;&gt;"",1,0))))+IF(G124=1,30,IF(G124=2,20,IF(G124=3,10,IF(G124&lt;&gt;"",1,0))))+IF(H124=1,30,IF(H124=2,20,IF(H124=3,10,IF(H124&lt;&gt;"",1,0))))))</f>
        <v/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>
        <f>IF(AND(C125="",OR(E125="",E125=0)),"",(IF(E125=1,30,IF(E125=2,20,IF(E125=3,10,IF(E125&lt;&gt;"",1,0))))+IF(F125=1,30,IF(F125=2,20,IF(F125=3,10,IF(F125&lt;&gt;"",1,0))))+IF(G125=1,30,IF(G125=2,20,IF(G125=3,10,IF(G125&lt;&gt;"",1,0))))+IF(H125=1,30,IF(H125=2,20,IF(H125=3,10,IF(H125&lt;&gt;"",1,0)))))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>
        <f>IF(AND(C126="",OR(E126="",E126=0)),"",(IF(E126=1,30,IF(E126=2,20,IF(E126=3,10,IF(E126&lt;&gt;"",1,0))))+IF(F126=1,30,IF(F126=2,20,IF(F126=3,10,IF(F126&lt;&gt;"",1,0))))+IF(G126=1,30,IF(G126=2,20,IF(G126=3,10,IF(G126&lt;&gt;"",1,0))))+IF(H126=1,30,IF(H126=2,20,IF(H126=3,10,IF(H126&lt;&gt;"",1,0)))))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>
        <f>IF(AND(C127="",OR(E127="",E127=0)),"",(IF(E127=1,30,IF(E127=2,20,IF(E127=3,10,IF(E127&lt;&gt;"",1,0))))+IF(F127=1,30,IF(F127=2,20,IF(F127=3,10,IF(F127&lt;&gt;"",1,0))))+IF(G127=1,30,IF(G127=2,20,IF(G127=3,10,IF(G127&lt;&gt;"",1,0))))+IF(H127=1,30,IF(H127=2,20,IF(H127=3,10,IF(H127&lt;&gt;"",1,0)))))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>
        <f>IF(AND(C128="",OR(E128="",E128=0)),"",(IF(E128=1,30,IF(E128=2,20,IF(E128=3,10,IF(E128&lt;&gt;"",1,0))))+IF(F128=1,30,IF(F128=2,20,IF(F128=3,10,IF(F128&lt;&gt;"",1,0))))+IF(G128=1,30,IF(G128=2,20,IF(G128=3,10,IF(G128&lt;&gt;"",1,0))))+IF(H128=1,30,IF(H128=2,20,IF(H128=3,10,IF(H128&lt;&gt;"",1,0)))))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>
        <f>IF(AND(C129="",OR(E129="",E129=0)),"",(IF(E129=1,30,IF(E129=2,20,IF(E129=3,10,IF(E129&lt;&gt;"",1,0))))+IF(F129=1,30,IF(F129=2,20,IF(F129=3,10,IF(F129&lt;&gt;"",1,0))))+IF(G129=1,30,IF(G129=2,20,IF(G129=3,10,IF(G129&lt;&gt;"",1,0))))+IF(H129=1,30,IF(H129=2,20,IF(H129=3,10,IF(H129&lt;&gt;"",1,0))))))</f>
        <v/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>
        <f>IF(AND(C130="",OR(E130="",E130=0)),"",(IF(E130=1,30,IF(E130=2,20,IF(E130=3,10,IF(E130&lt;&gt;"",1,0))))+IF(F130=1,30,IF(F130=2,20,IF(F130=3,10,IF(F130&lt;&gt;"",1,0))))+IF(G130=1,30,IF(G130=2,20,IF(G130=3,10,IF(G130&lt;&gt;"",1,0))))+IF(H130=1,30,IF(H130=2,20,IF(H130=3,10,IF(H130&lt;&gt;"",1,0)))))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>
        <f>IF(AND(C131="",OR(E131="",E131=0)),"",(IF(E131=1,30,IF(E131=2,20,IF(E131=3,10,IF(E131&lt;&gt;"",1,0))))+IF(F131=1,30,IF(F131=2,20,IF(F131=3,10,IF(F131&lt;&gt;"",1,0))))+IF(G131=1,30,IF(G131=2,20,IF(G131=3,10,IF(G131&lt;&gt;"",1,0))))+IF(H131=1,30,IF(H131=2,20,IF(H131=3,10,IF(H131&lt;&gt;"",1,0))))))</f>
        <v/>
      </c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>
        <f>IF(AND(C132="",OR(E132="",E132=0)),"",(IF(E132=1,30,IF(E132=2,20,IF(E132=3,10,IF(E132&lt;&gt;"",1,0))))+IF(F132=1,30,IF(F132=2,20,IF(F132=3,10,IF(F132&lt;&gt;"",1,0))))+IF(G132=1,30,IF(G132=2,20,IF(G132=3,10,IF(G132&lt;&gt;"",1,0))))+IF(H132=1,30,IF(H132=2,20,IF(H132=3,10,IF(H132&lt;&gt;"",1,0))))))</f>
        <v/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>
        <f>IF(AND(C133="",OR(E133="",E133=0)),"",(IF(E133=1,30,IF(E133=2,20,IF(E133=3,10,IF(E133&lt;&gt;"",1,0))))+IF(F133=1,30,IF(F133=2,20,IF(F133=3,10,IF(F133&lt;&gt;"",1,0))))+IF(G133=1,30,IF(G133=2,20,IF(G133=3,10,IF(G133&lt;&gt;"",1,0))))+IF(H133=1,30,IF(H133=2,20,IF(H133=3,10,IF(H133&lt;&gt;"",1,0))))))</f>
        <v/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>
        <f>IF(AND(C134="",OR(E134="",E134=0)),"",(IF(E134=1,30,IF(E134=2,20,IF(E134=3,10,IF(E134&lt;&gt;"",1,0))))+IF(F134=1,30,IF(F134=2,20,IF(F134=3,10,IF(F134&lt;&gt;"",1,0))))+IF(G134=1,30,IF(G134=2,20,IF(G134=3,10,IF(G134&lt;&gt;"",1,0))))+IF(H134=1,30,IF(H134=2,20,IF(H134=3,10,IF(H134&lt;&gt;"",1,0)))))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>
        <f>IF(AND(C135="",OR(E135="",E135=0)),"",(IF(E135=1,30,IF(E135=2,20,IF(E135=3,10,IF(E135&lt;&gt;"",1,0))))+IF(F135=1,30,IF(F135=2,20,IF(F135=3,10,IF(F135&lt;&gt;"",1,0))))+IF(G135=1,30,IF(G135=2,20,IF(G135=3,10,IF(G135&lt;&gt;"",1,0))))+IF(H135=1,30,IF(H135=2,20,IF(H135=3,10,IF(H135&lt;&gt;"",1,0))))))</f>
        <v/>
      </c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>
        <f>IF(AND(C136="",OR(E136="",E136=0)),"",(IF(E136=1,30,IF(E136=2,20,IF(E136=3,10,IF(E136&lt;&gt;"",1,0))))+IF(F136=1,30,IF(F136=2,20,IF(F136=3,10,IF(F136&lt;&gt;"",1,0))))+IF(G136=1,30,IF(G136=2,20,IF(G136=3,10,IF(G136&lt;&gt;"",1,0))))+IF(H136=1,30,IF(H136=2,20,IF(H136=3,10,IF(H136&lt;&gt;"",1,0))))))</f>
        <v/>
      </c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>
        <f>IF(AND(C137="",OR(E137="",E137=0)),"",(IF(E137=1,30,IF(E137=2,20,IF(E137=3,10,IF(E137&lt;&gt;"",1,0))))+IF(F137=1,30,IF(F137=2,20,IF(F137=3,10,IF(F137&lt;&gt;"",1,0))))+IF(G137=1,30,IF(G137=2,20,IF(G137=3,10,IF(G137&lt;&gt;"",1,0))))+IF(H137=1,30,IF(H137=2,20,IF(H137=3,10,IF(H137&lt;&gt;"",1,0))))))</f>
        <v/>
      </c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>
        <f>IF(AND(C138="",OR(E138="",E138=0)),"",(IF(E138=1,30,IF(E138=2,20,IF(E138=3,10,IF(E138&lt;&gt;"",1,0))))+IF(F138=1,30,IF(F138=2,20,IF(F138=3,10,IF(F138&lt;&gt;"",1,0))))+IF(G138=1,30,IF(G138=2,20,IF(G138=3,10,IF(G138&lt;&gt;"",1,0))))+IF(H138=1,30,IF(H138=2,20,IF(H138=3,10,IF(H138&lt;&gt;"",1,0))))))</f>
        <v/>
      </c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>
        <f>IF(AND(C139="",OR(E139="",E139=0)),"",(IF(E139=1,30,IF(E139=2,20,IF(E139=3,10,IF(E139&lt;&gt;"",1,0))))+IF(F139=1,30,IF(F139=2,20,IF(F139=3,10,IF(F139&lt;&gt;"",1,0))))+IF(G139=1,30,IF(G139=2,20,IF(G139=3,10,IF(G139&lt;&gt;"",1,0))))+IF(H139=1,30,IF(H139=2,20,IF(H139=3,10,IF(H139&lt;&gt;"",1,0))))))</f>
        <v/>
      </c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>
        <f>IF(AND(C140="",OR(E140="",E140=0)),"",(IF(E140=1,30,IF(E140=2,20,IF(E140=3,10,IF(E140&lt;&gt;"",1,0))))+IF(F140=1,30,IF(F140=2,20,IF(F140=3,10,IF(F140&lt;&gt;"",1,0))))+IF(G140=1,30,IF(G140=2,20,IF(G140=3,10,IF(G140&lt;&gt;"",1,0))))+IF(H140=1,30,IF(H140=2,20,IF(H140=3,10,IF(H140&lt;&gt;"",1,0))))))</f>
        <v/>
      </c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>
        <f>IF(AND(C141="",OR(E141="",E141=0)),"",(IF(E141=1,30,IF(E141=2,20,IF(E141=3,10,IF(E141&lt;&gt;"",1,0))))+IF(F141=1,30,IF(F141=2,20,IF(F141=3,10,IF(F141&lt;&gt;"",1,0))))+IF(G141=1,30,IF(G141=2,20,IF(G141=3,10,IF(G141&lt;&gt;"",1,0))))+IF(H141=1,30,IF(H141=2,20,IF(H141=3,10,IF(H141&lt;&gt;"",1,0))))))</f>
        <v/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>
        <f>IF(AND(C142="",OR(E142="",E142=0)),"",(IF(E142=1,30,IF(E142=2,20,IF(E142=3,10,IF(E142&lt;&gt;"",1,0))))+IF(F142=1,30,IF(F142=2,20,IF(F142=3,10,IF(F142&lt;&gt;"",1,0))))+IF(G142=1,30,IF(G142=2,20,IF(G142=3,10,IF(G142&lt;&gt;"",1,0))))+IF(H142=1,30,IF(H142=2,20,IF(H142=3,10,IF(H142&lt;&gt;"",1,0))))))</f>
        <v/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>
        <f>IF(AND(C143="",OR(E143="",E143=0)),"",(IF(E143=1,30,IF(E143=2,20,IF(E143=3,10,IF(E143&lt;&gt;"",1,0))))+IF(F143=1,30,IF(F143=2,20,IF(F143=3,10,IF(F143&lt;&gt;"",1,0))))+IF(G143=1,30,IF(G143=2,20,IF(G143=3,10,IF(G143&lt;&gt;"",1,0))))+IF(H143=1,30,IF(H143=2,20,IF(H143=3,10,IF(H143&lt;&gt;"",1,0)))))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>
        <f>IF(AND(C144="",OR(E144="",E144=0)),"",(IF(E144=1,30,IF(E144=2,20,IF(E144=3,10,IF(E144&lt;&gt;"",1,0))))+IF(F144=1,30,IF(F144=2,20,IF(F144=3,10,IF(F144&lt;&gt;"",1,0))))+IF(G144=1,30,IF(G144=2,20,IF(G144=3,10,IF(G144&lt;&gt;"",1,0))))+IF(H144=1,30,IF(H144=2,20,IF(H144=3,10,IF(H144&lt;&gt;"",1,0)))))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>
        <f>IF(AND(C145="",OR(E145="",E145=0)),"",(IF(E145=1,30,IF(E145=2,20,IF(E145=3,10,IF(E145&lt;&gt;"",1,0))))+IF(F145=1,30,IF(F145=2,20,IF(F145=3,10,IF(F145&lt;&gt;"",1,0))))+IF(G145=1,30,IF(G145=2,20,IF(G145=3,10,IF(G145&lt;&gt;"",1,0))))+IF(H145=1,30,IF(H145=2,20,IF(H145=3,10,IF(H145&lt;&gt;"",1,0))))))</f>
        <v/>
      </c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>
        <f>IF(AND(C146="",OR(E146="",E146=0)),"",(IF(E146=1,30,IF(E146=2,20,IF(E146=3,10,IF(E146&lt;&gt;"",1,0))))+IF(F146=1,30,IF(F146=2,20,IF(F146=3,10,IF(F146&lt;&gt;"",1,0))))+IF(G146=1,30,IF(G146=2,20,IF(G146=3,10,IF(G146&lt;&gt;"",1,0))))+IF(H146=1,30,IF(H146=2,20,IF(H146=3,10,IF(H146&lt;&gt;"",1,0))))))</f>
        <v/>
      </c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>
        <f>IF(AND(C147="",OR(E147="",E147=0)),"",(IF(E147=1,30,IF(E147=2,20,IF(E147=3,10,IF(E147&lt;&gt;"",1,0))))+IF(F147=1,30,IF(F147=2,20,IF(F147=3,10,IF(F147&lt;&gt;"",1,0))))+IF(G147=1,30,IF(G147=2,20,IF(G147=3,10,IF(G147&lt;&gt;"",1,0))))+IF(H147=1,30,IF(H147=2,20,IF(H147=3,10,IF(H147&lt;&gt;"",1,0))))))</f>
        <v/>
      </c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>
        <f>IF(AND(C148="",OR(E148="",E148=0)),"",(IF(E148=1,30,IF(E148=2,20,IF(E148=3,10,IF(E148&lt;&gt;"",1,0))))+IF(F148=1,30,IF(F148=2,20,IF(F148=3,10,IF(F148&lt;&gt;"",1,0))))+IF(G148=1,30,IF(G148=2,20,IF(G148=3,10,IF(G148&lt;&gt;"",1,0))))+IF(H148=1,30,IF(H148=2,20,IF(H148=3,10,IF(H148&lt;&gt;"",1,0)))))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>
        <f>IF(AND(C149="",OR(E149="",E149=0)),"",(IF(E149=1,30,IF(E149=2,20,IF(E149=3,10,IF(E149&lt;&gt;"",1,0))))+IF(F149=1,30,IF(F149=2,20,IF(F149=3,10,IF(F149&lt;&gt;"",1,0))))+IF(G149=1,30,IF(G149=2,20,IF(G149=3,10,IF(G149&lt;&gt;"",1,0))))+IF(H149=1,30,IF(H149=2,20,IF(H149=3,10,IF(H149&lt;&gt;"",1,0))))))</f>
        <v/>
      </c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>
        <f>IF(AND(C150="",OR(E150="",E150=0)),"",(IF(E150=1,30,IF(E150=2,20,IF(E150=3,10,IF(E150&lt;&gt;"",1,0))))+IF(F150=1,30,IF(F150=2,20,IF(F150=3,10,IF(F150&lt;&gt;"",1,0))))+IF(G150=1,30,IF(G150=2,20,IF(G150=3,10,IF(G150&lt;&gt;"",1,0))))+IF(H150=1,30,IF(H150=2,20,IF(H150=3,10,IF(H150&lt;&gt;"",1,0))))))</f>
        <v/>
      </c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>
        <f>IF(AND(C151="",OR(E151="",E151=0)),"",(IF(E151=1,30,IF(E151=2,20,IF(E151=3,10,IF(E151&lt;&gt;"",1,0))))+IF(F151=1,30,IF(F151=2,20,IF(F151=3,10,IF(F151&lt;&gt;"",1,0))))+IF(G151=1,30,IF(G151=2,20,IF(G151=3,10,IF(G151&lt;&gt;"",1,0))))+IF(H151=1,30,IF(H151=2,20,IF(H151=3,10,IF(H151&lt;&gt;"",1,0))))))</f>
        <v/>
      </c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>
        <f>IF(AND(C152="",OR(E152="",E152=0)),"",(IF(E152=1,30,IF(E152=2,20,IF(E152=3,10,IF(E152&lt;&gt;"",1,0))))+IF(F152=1,30,IF(F152=2,20,IF(F152=3,10,IF(F152&lt;&gt;"",1,0))))+IF(G152=1,30,IF(G152=2,20,IF(G152=3,10,IF(G152&lt;&gt;"",1,0))))+IF(H152=1,30,IF(H152=2,20,IF(H152=3,10,IF(H152&lt;&gt;"",1,0))))))</f>
        <v/>
      </c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>
        <f>IF(AND(C153="",OR(E153="",E153=0)),"",(IF(E153=1,30,IF(E153=2,20,IF(E153=3,10,IF(E153&lt;&gt;"",1,0))))+IF(F153=1,30,IF(F153=2,20,IF(F153=3,10,IF(F153&lt;&gt;"",1,0))))+IF(G153=1,30,IF(G153=2,20,IF(G153=3,10,IF(G153&lt;&gt;"",1,0))))+IF(H153=1,30,IF(H153=2,20,IF(H153=3,10,IF(H153&lt;&gt;"",1,0))))))</f>
        <v/>
      </c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>
        <f>IF(AND(C154="",OR(E154="",E154=0)),"",(IF(E154=1,30,IF(E154=2,20,IF(E154=3,10,IF(E154&lt;&gt;"",1,0))))+IF(F154=1,30,IF(F154=2,20,IF(F154=3,10,IF(F154&lt;&gt;"",1,0))))+IF(G154=1,30,IF(G154=2,20,IF(G154=3,10,IF(G154&lt;&gt;"",1,0))))+IF(H154=1,30,IF(H154=2,20,IF(H154=3,10,IF(H154&lt;&gt;"",1,0))))))</f>
        <v/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>
        <f>IF(AND(C155="",OR(E155="",E155=0)),"",(IF(E155=1,30,IF(E155=2,20,IF(E155=3,10,IF(E155&lt;&gt;"",1,0))))+IF(F155=1,30,IF(F155=2,20,IF(F155=3,10,IF(F155&lt;&gt;"",1,0))))+IF(G155=1,30,IF(G155=2,20,IF(G155=3,10,IF(G155&lt;&gt;"",1,0))))+IF(H155=1,30,IF(H155=2,20,IF(H155=3,10,IF(H155&lt;&gt;"",1,0))))))</f>
        <v/>
      </c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>
        <f>IF(AND(C156="",OR(E156="",E156=0)),"",(IF(E156=1,30,IF(E156=2,20,IF(E156=3,10,IF(E156&lt;&gt;"",1,0))))+IF(F156=1,30,IF(F156=2,20,IF(F156=3,10,IF(F156&lt;&gt;"",1,0))))+IF(G156=1,30,IF(G156=2,20,IF(G156=3,10,IF(G156&lt;&gt;"",1,0))))+IF(H156=1,30,IF(H156=2,20,IF(H156=3,10,IF(H156&lt;&gt;"",1,0))))))</f>
        <v/>
      </c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>
        <f>IF(AND(C157="",OR(E157="",E157=0)),"",(IF(E157=1,30,IF(E157=2,20,IF(E157=3,10,IF(E157&lt;&gt;"",1,0))))+IF(F157=1,30,IF(F157=2,20,IF(F157=3,10,IF(F157&lt;&gt;"",1,0))))+IF(G157=1,30,IF(G157=2,20,IF(G157=3,10,IF(G157&lt;&gt;"",1,0))))+IF(H157=1,30,IF(H157=2,20,IF(H157=3,10,IF(H157&lt;&gt;"",1,0)))))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>
        <f>IF(AND(C158="",OR(E158="",E158=0)),"",(IF(E158=1,30,IF(E158=2,20,IF(E158=3,10,IF(E158&lt;&gt;"",1,0))))+IF(F158=1,30,IF(F158=2,20,IF(F158=3,10,IF(F158&lt;&gt;"",1,0))))+IF(G158=1,30,IF(G158=2,20,IF(G158=3,10,IF(G158&lt;&gt;"",1,0))))+IF(H158=1,30,IF(H158=2,20,IF(H158=3,10,IF(H158&lt;&gt;"",1,0))))))</f>
        <v/>
      </c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>
        <f>IF(AND(C159="",OR(E159="",E159=0)),"",(IF(E159=1,30,IF(E159=2,20,IF(E159=3,10,IF(E159&lt;&gt;"",1,0))))+IF(F159=1,30,IF(F159=2,20,IF(F159=3,10,IF(F159&lt;&gt;"",1,0))))+IF(G159=1,30,IF(G159=2,20,IF(G159=3,10,IF(G159&lt;&gt;"",1,0))))+IF(H159=1,30,IF(H159=2,20,IF(H159=3,10,IF(H159&lt;&gt;"",1,0))))))</f>
        <v/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>
        <f>IF(AND(C160="",OR(E160="",E160=0)),"",(IF(E160=1,30,IF(E160=2,20,IF(E160=3,10,IF(E160&lt;&gt;"",1,0))))+IF(F160=1,30,IF(F160=2,20,IF(F160=3,10,IF(F160&lt;&gt;"",1,0))))+IF(G160=1,30,IF(G160=2,20,IF(G160=3,10,IF(G160&lt;&gt;"",1,0))))+IF(H160=1,30,IF(H160=2,20,IF(H160=3,10,IF(H160&lt;&gt;"",1,0))))))</f>
        <v/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>
        <f>IF(AND(C161="",OR(E161="",E161=0)),"",(IF(E161=1,30,IF(E161=2,20,IF(E161=3,10,IF(E161&lt;&gt;"",1,0))))+IF(F161=1,30,IF(F161=2,20,IF(F161=3,10,IF(F161&lt;&gt;"",1,0))))+IF(G161=1,30,IF(G161=2,20,IF(G161=3,10,IF(G161&lt;&gt;"",1,0))))+IF(H161=1,30,IF(H161=2,20,IF(H161=3,10,IF(H161&lt;&gt;"",1,0)))))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>
        <f>IF(AND(C162="",OR(E162="",E162=0)),"",(IF(E162=1,30,IF(E162=2,20,IF(E162=3,10,IF(E162&lt;&gt;"",1,0))))+IF(F162=1,30,IF(F162=2,20,IF(F162=3,10,IF(F162&lt;&gt;"",1,0))))+IF(G162=1,30,IF(G162=2,20,IF(G162=3,10,IF(G162&lt;&gt;"",1,0))))+IF(H162=1,30,IF(H162=2,20,IF(H162=3,10,IF(H162&lt;&gt;"",1,0))))))</f>
        <v/>
      </c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>
        <f>IF(AND(C163="",OR(E163="",E163=0)),"",(IF(E163=1,30,IF(E163=2,20,IF(E163=3,10,IF(E163&lt;&gt;"",1,0))))+IF(F163=1,30,IF(F163=2,20,IF(F163=3,10,IF(F163&lt;&gt;"",1,0))))+IF(G163=1,30,IF(G163=2,20,IF(G163=3,10,IF(G163&lt;&gt;"",1,0))))+IF(H163=1,30,IF(H163=2,20,IF(H163=3,10,IF(H163&lt;&gt;"",1,0))))))</f>
        <v/>
      </c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>
        <f>IF(AND(C164="",OR(E164="",E164=0)),"",(IF(E164=1,30,IF(E164=2,20,IF(E164=3,10,IF(E164&lt;&gt;"",1,0))))+IF(F164=1,30,IF(F164=2,20,IF(F164=3,10,IF(F164&lt;&gt;"",1,0))))+IF(G164=1,30,IF(G164=2,20,IF(G164=3,10,IF(G164&lt;&gt;"",1,0))))+IF(H164=1,30,IF(H164=2,20,IF(H164=3,10,IF(H164&lt;&gt;"",1,0))))))</f>
        <v/>
      </c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>
        <f>IF(AND(C165="",OR(E165="",E165=0)),"",(IF(E165=1,30,IF(E165=2,20,IF(E165=3,10,IF(E165&lt;&gt;"",1,0))))+IF(F165=1,30,IF(F165=2,20,IF(F165=3,10,IF(F165&lt;&gt;"",1,0))))+IF(G165=1,30,IF(G165=2,20,IF(G165=3,10,IF(G165&lt;&gt;"",1,0))))+IF(H165=1,30,IF(H165=2,20,IF(H165=3,10,IF(H165&lt;&gt;"",1,0))))))</f>
        <v/>
      </c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>
        <f>IF(AND(C166="",OR(E166="",E166=0)),"",(IF(E166=1,30,IF(E166=2,20,IF(E166=3,10,IF(E166&lt;&gt;"",1,0))))+IF(F166=1,30,IF(F166=2,20,IF(F166=3,10,IF(F166&lt;&gt;"",1,0))))+IF(G166=1,30,IF(G166=2,20,IF(G166=3,10,IF(G166&lt;&gt;"",1,0))))+IF(H166=1,30,IF(H166=2,20,IF(H166=3,10,IF(H166&lt;&gt;"",1,0)))))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>
        <f>IF(AND(C167="",OR(E167="",E167=0)),"",(IF(E167=1,30,IF(E167=2,20,IF(E167=3,10,IF(E167&lt;&gt;"",1,0))))+IF(F167=1,30,IF(F167=2,20,IF(F167=3,10,IF(F167&lt;&gt;"",1,0))))+IF(G167=1,30,IF(G167=2,20,IF(G167=3,10,IF(G167&lt;&gt;"",1,0))))+IF(H167=1,30,IF(H167=2,20,IF(H167=3,10,IF(H167&lt;&gt;"",1,0))))))</f>
        <v/>
      </c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>
        <f>IF(AND(C168="",OR(E168="",E168=0)),"",(IF(E168=1,30,IF(E168=2,20,IF(E168=3,10,IF(E168&lt;&gt;"",1,0))))+IF(F168=1,30,IF(F168=2,20,IF(F168=3,10,IF(F168&lt;&gt;"",1,0))))+IF(G168=1,30,IF(G168=2,20,IF(G168=3,10,IF(G168&lt;&gt;"",1,0))))+IF(H168=1,30,IF(H168=2,20,IF(H168=3,10,IF(H168&lt;&gt;"",1,0))))))</f>
        <v/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>
        <f>IF(AND(C169="",OR(E169="",E169=0)),"",(IF(E169=1,30,IF(E169=2,20,IF(E169=3,10,IF(E169&lt;&gt;"",1,0))))+IF(F169=1,30,IF(F169=2,20,IF(F169=3,10,IF(F169&lt;&gt;"",1,0))))+IF(G169=1,30,IF(G169=2,20,IF(G169=3,10,IF(G169&lt;&gt;"",1,0))))+IF(H169=1,30,IF(H169=2,20,IF(H169=3,10,IF(H169&lt;&gt;"",1,0))))))</f>
        <v/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>
        <f>IF(AND(C170="",OR(E170="",E170=0)),"",(IF(E170=1,30,IF(E170=2,20,IF(E170=3,10,IF(E170&lt;&gt;"",1,0))))+IF(F170=1,30,IF(F170=2,20,IF(F170=3,10,IF(F170&lt;&gt;"",1,0))))+IF(G170=1,30,IF(G170=2,20,IF(G170=3,10,IF(G170&lt;&gt;"",1,0))))+IF(H170=1,30,IF(H170=2,20,IF(H170=3,10,IF(H170&lt;&gt;"",1,0)))))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>
        <f>IF(AND(C171="",OR(E171="",E171=0)),"",(IF(E171=1,30,IF(E171=2,20,IF(E171=3,10,IF(E171&lt;&gt;"",1,0))))+IF(F171=1,30,IF(F171=2,20,IF(F171=3,10,IF(F171&lt;&gt;"",1,0))))+IF(G171=1,30,IF(G171=2,20,IF(G171=3,10,IF(G171&lt;&gt;"",1,0))))+IF(H171=1,30,IF(H171=2,20,IF(H171=3,10,IF(H171&lt;&gt;"",1,0))))))</f>
        <v/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>
        <f>IF(AND(C172="",OR(E172="",E172=0)),"",(IF(E172=1,30,IF(E172=2,20,IF(E172=3,10,IF(E172&lt;&gt;"",1,0))))+IF(F172=1,30,IF(F172=2,20,IF(F172=3,10,IF(F172&lt;&gt;"",1,0))))+IF(G172=1,30,IF(G172=2,20,IF(G172=3,10,IF(G172&lt;&gt;"",1,0))))+IF(H172=1,30,IF(H172=2,20,IF(H172=3,10,IF(H172&lt;&gt;"",1,0))))))</f>
        <v/>
      </c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>
        <f>IF(AND(C173="",OR(E173="",E173=0)),"",(IF(E173=1,30,IF(E173=2,20,IF(E173=3,10,IF(E173&lt;&gt;"",1,0))))+IF(F173=1,30,IF(F173=2,20,IF(F173=3,10,IF(F173&lt;&gt;"",1,0))))+IF(G173=1,30,IF(G173=2,20,IF(G173=3,10,IF(G173&lt;&gt;"",1,0))))+IF(H173=1,30,IF(H173=2,20,IF(H173=3,10,IF(H173&lt;&gt;"",1,0))))))</f>
        <v/>
      </c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>
        <f>IF(AND(C174="",OR(E174="",E174=0)),"",(IF(E174=1,30,IF(E174=2,20,IF(E174=3,10,IF(E174&lt;&gt;"",1,0))))+IF(F174=1,30,IF(F174=2,20,IF(F174=3,10,IF(F174&lt;&gt;"",1,0))))+IF(G174=1,30,IF(G174=2,20,IF(G174=3,10,IF(G174&lt;&gt;"",1,0))))+IF(H174=1,30,IF(H174=2,20,IF(H174=3,10,IF(H174&lt;&gt;"",1,0))))))</f>
        <v/>
      </c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>
        <f>IF(AND(C175="",OR(E175="",E175=0)),"",(IF(E175=1,30,IF(E175=2,20,IF(E175=3,10,IF(E175&lt;&gt;"",1,0))))+IF(F175=1,30,IF(F175=2,20,IF(F175=3,10,IF(F175&lt;&gt;"",1,0))))+IF(G175=1,30,IF(G175=2,20,IF(G175=3,10,IF(G175&lt;&gt;"",1,0))))+IF(H175=1,30,IF(H175=2,20,IF(H175=3,10,IF(H175&lt;&gt;"",1,0)))))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>
        <f>IF(AND(C176="",OR(E176="",E176=0)),"",(IF(E176=1,30,IF(E176=2,20,IF(E176=3,10,IF(E176&lt;&gt;"",1,0))))+IF(F176=1,30,IF(F176=2,20,IF(F176=3,10,IF(F176&lt;&gt;"",1,0))))+IF(G176=1,30,IF(G176=2,20,IF(G176=3,10,IF(G176&lt;&gt;"",1,0))))+IF(H176=1,30,IF(H176=2,20,IF(H176=3,10,IF(H176&lt;&gt;"",1,0))))))</f>
        <v/>
      </c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>
        <f>IF(AND(C177="",OR(E177="",E177=0)),"",(IF(E177=1,30,IF(E177=2,20,IF(E177=3,10,IF(E177&lt;&gt;"",1,0))))+IF(F177=1,30,IF(F177=2,20,IF(F177=3,10,IF(F177&lt;&gt;"",1,0))))+IF(G177=1,30,IF(G177=2,20,IF(G177=3,10,IF(G177&lt;&gt;"",1,0))))+IF(H177=1,30,IF(H177=2,20,IF(H177=3,10,IF(H177&lt;&gt;"",1,0))))))</f>
        <v/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>
        <f>IF(AND(C178="",OR(E178="",E178=0)),"",(IF(E178=1,30,IF(E178=2,20,IF(E178=3,10,IF(E178&lt;&gt;"",1,0))))+IF(F178=1,30,IF(F178=2,20,IF(F178=3,10,IF(F178&lt;&gt;"",1,0))))+IF(G178=1,30,IF(G178=2,20,IF(G178=3,10,IF(G178&lt;&gt;"",1,0))))+IF(H178=1,30,IF(H178=2,20,IF(H178=3,10,IF(H178&lt;&gt;"",1,0))))))</f>
        <v/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>
        <f>IF(AND(C179="",OR(E179="",E179=0)),"",(IF(E179=1,30,IF(E179=2,20,IF(E179=3,10,IF(E179&lt;&gt;"",1,0))))+IF(F179=1,30,IF(F179=2,20,IF(F179=3,10,IF(F179&lt;&gt;"",1,0))))+IF(G179=1,30,IF(G179=2,20,IF(G179=3,10,IF(G179&lt;&gt;"",1,0))))+IF(H179=1,30,IF(H179=2,20,IF(H179=3,10,IF(H179&lt;&gt;"",1,0)))))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>
        <f>IF(AND(C180="",OR(E180="",E180=0)),"",(IF(E180=1,30,IF(E180=2,20,IF(E180=3,10,IF(E180&lt;&gt;"",1,0))))+IF(F180=1,30,IF(F180=2,20,IF(F180=3,10,IF(F180&lt;&gt;"",1,0))))+IF(G180=1,30,IF(G180=2,20,IF(G180=3,10,IF(G180&lt;&gt;"",1,0))))+IF(H180=1,30,IF(H180=2,20,IF(H180=3,10,IF(H180&lt;&gt;"",1,0))))))</f>
        <v/>
      </c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>
        <f>IF(AND(C181="",OR(E181="",E181=0)),"",(IF(E181=1,30,IF(E181=2,20,IF(E181=3,10,IF(E181&lt;&gt;"",1,0))))+IF(F181=1,30,IF(F181=2,20,IF(F181=3,10,IF(F181&lt;&gt;"",1,0))))+IF(G181=1,30,IF(G181=2,20,IF(G181=3,10,IF(G181&lt;&gt;"",1,0))))+IF(H181=1,30,IF(H181=2,20,IF(H181=3,10,IF(H181&lt;&gt;"",1,0))))))</f>
        <v/>
      </c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>
        <f>IF(AND(C182="",OR(E182="",E182=0)),"",(IF(E182=1,30,IF(E182=2,20,IF(E182=3,10,IF(E182&lt;&gt;"",1,0))))+IF(F182=1,30,IF(F182=2,20,IF(F182=3,10,IF(F182&lt;&gt;"",1,0))))+IF(G182=1,30,IF(G182=2,20,IF(G182=3,10,IF(G182&lt;&gt;"",1,0))))+IF(H182=1,30,IF(H182=2,20,IF(H182=3,10,IF(H182&lt;&gt;"",1,0))))))</f>
        <v/>
      </c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>
        <f>IF(AND(C183="",OR(E183="",E183=0)),"",(IF(E183=1,30,IF(E183=2,20,IF(E183=3,10,IF(E183&lt;&gt;"",1,0))))+IF(F183=1,30,IF(F183=2,20,IF(F183=3,10,IF(F183&lt;&gt;"",1,0))))+IF(G183=1,30,IF(G183=2,20,IF(G183=3,10,IF(G183&lt;&gt;"",1,0))))+IF(H183=1,30,IF(H183=2,20,IF(H183=3,10,IF(H183&lt;&gt;"",1,0))))))</f>
        <v/>
      </c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>
        <f>IF(AND(C184="",OR(E184="",E184=0)),"",(IF(E184=1,30,IF(E184=2,20,IF(E184=3,10,IF(E184&lt;&gt;"",1,0))))+IF(F184=1,30,IF(F184=2,20,IF(F184=3,10,IF(F184&lt;&gt;"",1,0))))+IF(G184=1,30,IF(G184=2,20,IF(G184=3,10,IF(G184&lt;&gt;"",1,0))))+IF(H184=1,30,IF(H184=2,20,IF(H184=3,10,IF(H184&lt;&gt;"",1,0)))))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>
        <f>IF(AND(C185="",OR(E185="",E185=0)),"",(IF(E185=1,30,IF(E185=2,20,IF(E185=3,10,IF(E185&lt;&gt;"",1,0))))+IF(F185=1,30,IF(F185=2,20,IF(F185=3,10,IF(F185&lt;&gt;"",1,0))))+IF(G185=1,30,IF(G185=2,20,IF(G185=3,10,IF(G185&lt;&gt;"",1,0))))+IF(H185=1,30,IF(H185=2,20,IF(H185=3,10,IF(H185&lt;&gt;"",1,0))))))</f>
        <v/>
      </c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>
        <f>IF(AND(C186="",OR(E186="",E186=0)),"",(IF(E186=1,30,IF(E186=2,20,IF(E186=3,10,IF(E186&lt;&gt;"",1,0))))+IF(F186=1,30,IF(F186=2,20,IF(F186=3,10,IF(F186&lt;&gt;"",1,0))))+IF(G186=1,30,IF(G186=2,20,IF(G186=3,10,IF(G186&lt;&gt;"",1,0))))+IF(H186=1,30,IF(H186=2,20,IF(H186=3,10,IF(H186&lt;&gt;"",1,0))))))</f>
        <v/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>
        <f>IF(AND(C187="",OR(E187="",E187=0)),"",(IF(E187=1,30,IF(E187=2,20,IF(E187=3,10,IF(E187&lt;&gt;"",1,0))))+IF(F187=1,30,IF(F187=2,20,IF(F187=3,10,IF(F187&lt;&gt;"",1,0))))+IF(G187=1,30,IF(G187=2,20,IF(G187=3,10,IF(G187&lt;&gt;"",1,0))))+IF(H187=1,30,IF(H187=2,20,IF(H187=3,10,IF(H187&lt;&gt;"",1,0))))))</f>
        <v/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>
        <f>IF(AND(C188="",OR(E188="",E188=0)),"",(IF(E188=1,30,IF(E188=2,20,IF(E188=3,10,IF(E188&lt;&gt;"",1,0))))+IF(F188=1,30,IF(F188=2,20,IF(F188=3,10,IF(F188&lt;&gt;"",1,0))))+IF(G188=1,30,IF(G188=2,20,IF(G188=3,10,IF(G188&lt;&gt;"",1,0))))+IF(H188=1,30,IF(H188=2,20,IF(H188=3,10,IF(H188&lt;&gt;"",1,0)))))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>
        <f>IF(AND(C189="",OR(E189="",E189=0)),"",(IF(E189=1,30,IF(E189=2,20,IF(E189=3,10,IF(E189&lt;&gt;"",1,0))))+IF(F189=1,30,IF(F189=2,20,IF(F189=3,10,IF(F189&lt;&gt;"",1,0))))+IF(G189=1,30,IF(G189=2,20,IF(G189=3,10,IF(G189&lt;&gt;"",1,0))))+IF(H189=1,30,IF(H189=2,20,IF(H189=3,10,IF(H189&lt;&gt;"",1,0))))))</f>
        <v/>
      </c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>
        <f>IF(AND(C190="",OR(E190="",E190=0)),"",(IF(E190=1,30,IF(E190=2,20,IF(E190=3,10,IF(E190&lt;&gt;"",1,0))))+IF(F190=1,30,IF(F190=2,20,IF(F190=3,10,IF(F190&lt;&gt;"",1,0))))+IF(G190=1,30,IF(G190=2,20,IF(G190=3,10,IF(G190&lt;&gt;"",1,0))))+IF(H190=1,30,IF(H190=2,20,IF(H190=3,10,IF(H190&lt;&gt;"",1,0))))))</f>
        <v/>
      </c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>
        <f>IF(AND(C191="",OR(E191="",E191=0)),"",(IF(E191=1,30,IF(E191=2,20,IF(E191=3,10,IF(E191&lt;&gt;"",1,0))))+IF(F191=1,30,IF(F191=2,20,IF(F191=3,10,IF(F191&lt;&gt;"",1,0))))+IF(G191=1,30,IF(G191=2,20,IF(G191=3,10,IF(G191&lt;&gt;"",1,0))))+IF(H191=1,30,IF(H191=2,20,IF(H191=3,10,IF(H191&lt;&gt;"",1,0))))))</f>
        <v/>
      </c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>
        <f>IF(AND(C192="",OR(E192="",E192=0)),"",(IF(E192=1,30,IF(E192=2,20,IF(E192=3,10,IF(E192&lt;&gt;"",1,0))))+IF(F192=1,30,IF(F192=2,20,IF(F192=3,10,IF(F192&lt;&gt;"",1,0))))+IF(G192=1,30,IF(G192=2,20,IF(G192=3,10,IF(G192&lt;&gt;"",1,0))))+IF(H192=1,30,IF(H192=2,20,IF(H192=3,10,IF(H192&lt;&gt;"",1,0))))))</f>
        <v/>
      </c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>
        <f>IF(AND(C193="",OR(E193="",E193=0)),"",(IF(E193=1,30,IF(E193=2,20,IF(E193=3,10,IF(E193&lt;&gt;"",1,0))))+IF(F193=1,30,IF(F193=2,20,IF(F193=3,10,IF(F193&lt;&gt;"",1,0))))+IF(G193=1,30,IF(G193=2,20,IF(G193=3,10,IF(G193&lt;&gt;"",1,0))))+IF(H193=1,30,IF(H193=2,20,IF(H193=3,10,IF(H193&lt;&gt;"",1,0)))))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>
        <f>IF(AND(C194="",OR(E194="",E194=0)),"",(IF(E194=1,30,IF(E194=2,20,IF(E194=3,10,IF(E194&lt;&gt;"",1,0))))+IF(F194=1,30,IF(F194=2,20,IF(F194=3,10,IF(F194&lt;&gt;"",1,0))))+IF(G194=1,30,IF(G194=2,20,IF(G194=3,10,IF(G194&lt;&gt;"",1,0))))+IF(H194=1,30,IF(H194=2,20,IF(H194=3,10,IF(H194&lt;&gt;"",1,0))))))</f>
        <v/>
      </c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>
        <f>IF(AND(C195="",OR(E195="",E195=0)),"",(IF(E195=1,30,IF(E195=2,20,IF(E195=3,10,IF(E195&lt;&gt;"",1,0))))+IF(F195=1,30,IF(F195=2,20,IF(F195=3,10,IF(F195&lt;&gt;"",1,0))))+IF(G195=1,30,IF(G195=2,20,IF(G195=3,10,IF(G195&lt;&gt;"",1,0))))+IF(H195=1,30,IF(H195=2,20,IF(H195=3,10,IF(H195&lt;&gt;"",1,0))))))</f>
        <v/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>
        <f>IF(AND(C196="",OR(E196="",E196=0)),"",(IF(E196=1,30,IF(E196=2,20,IF(E196=3,10,IF(E196&lt;&gt;"",1,0))))+IF(F196=1,30,IF(F196=2,20,IF(F196=3,10,IF(F196&lt;&gt;"",1,0))))+IF(G196=1,30,IF(G196=2,20,IF(G196=3,10,IF(G196&lt;&gt;"",1,0))))+IF(H196=1,30,IF(H196=2,20,IF(H196=3,10,IF(H196&lt;&gt;"",1,0))))))</f>
        <v/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>
        <f>IF(AND(C197="",OR(E197="",E197=0)),"",(IF(E197=1,30,IF(E197=2,20,IF(E197=3,10,IF(E197&lt;&gt;"",1,0))))+IF(F197=1,30,IF(F197=2,20,IF(F197=3,10,IF(F197&lt;&gt;"",1,0))))+IF(G197=1,30,IF(G197=2,20,IF(G197=3,10,IF(G197&lt;&gt;"",1,0))))+IF(H197=1,30,IF(H197=2,20,IF(H197=3,10,IF(H197&lt;&gt;"",1,0))))))</f>
        <v/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>
        <f>IF(AND(C198="",OR(E198="",E198=0)),"",(IF(E198=1,30,IF(E198=2,20,IF(E198=3,10,IF(E198&lt;&gt;"",1,0))))+IF(F198=1,30,IF(F198=2,20,IF(F198=3,10,IF(F198&lt;&gt;"",1,0))))+IF(G198=1,30,IF(G198=2,20,IF(G198=3,10,IF(G198&lt;&gt;"",1,0))))+IF(H198=1,30,IF(H198=2,20,IF(H198=3,10,IF(H198&lt;&gt;"",1,0))))))</f>
        <v/>
      </c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>
        <f>IF(AND(C199="",OR(E199="",E199=0)),"",(IF(E199=1,30,IF(E199=2,20,IF(E199=3,10,IF(E199&lt;&gt;"",1,0))))+IF(F199=1,30,IF(F199=2,20,IF(F199=3,10,IF(F199&lt;&gt;"",1,0))))+IF(G199=1,30,IF(G199=2,20,IF(G199=3,10,IF(G199&lt;&gt;"",1,0))))+IF(H199=1,30,IF(H199=2,20,IF(H199=3,10,IF(H199&lt;&gt;"",1,0))))))</f>
        <v/>
      </c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>
        <f>IF(AND(C200="",OR(E200="",E200=0)),"",(IF(E200=1,30,IF(E200=2,20,IF(E200=3,10,IF(E200&lt;&gt;"",1,0))))+IF(F200=1,30,IF(F200=2,20,IF(F200=3,10,IF(F200&lt;&gt;"",1,0))))+IF(G200=1,30,IF(G200=2,20,IF(G200=3,10,IF(G200&lt;&gt;"",1,0))))+IF(H200=1,30,IF(H200=2,20,IF(H200=3,10,IF(H200&lt;&gt;"",1,0))))))</f>
        <v/>
      </c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>
        <f>IF(AND(C201="",OR(E201="",E201=0)),"",(IF(E201=1,30,IF(E201=2,20,IF(E201=3,10,IF(E201&lt;&gt;"",1,0))))+IF(F201=1,30,IF(F201=2,20,IF(F201=3,10,IF(F201&lt;&gt;"",1,0))))+IF(G201=1,30,IF(G201=2,20,IF(G201=3,10,IF(G201&lt;&gt;"",1,0))))+IF(H201=1,30,IF(H201=2,20,IF(H201=3,10,IF(H201&lt;&gt;"",1,0))))))</f>
        <v/>
      </c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>
        <f>IF(AND(C202="",OR(E202="",E202=0)),"",(IF(E202=1,30,IF(E202=2,20,IF(E202=3,10,IF(E202&lt;&gt;"",1,0))))+IF(F202=1,30,IF(F202=2,20,IF(F202=3,10,IF(F202&lt;&gt;"",1,0))))+IF(G202=1,30,IF(G202=2,20,IF(G202=3,10,IF(G202&lt;&gt;"",1,0))))+IF(H202=1,30,IF(H202=2,20,IF(H202=3,10,IF(H202&lt;&gt;"",1,0)))))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>
        <f>IF(AND(C203="",OR(E203="",E203=0)),"",(IF(E203=1,30,IF(E203=2,20,IF(E203=3,10,IF(E203&lt;&gt;"",1,0))))+IF(F203=1,30,IF(F203=2,20,IF(F203=3,10,IF(F203&lt;&gt;"",1,0))))+IF(G203=1,30,IF(G203=2,20,IF(G203=3,10,IF(G203&lt;&gt;"",1,0))))+IF(H203=1,30,IF(H203=2,20,IF(H203=3,10,IF(H203&lt;&gt;"",1,0))))))</f>
        <v/>
      </c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>
        <f>IF(AND(C204="",OR(E204="",E204=0)),"",(IF(E204=1,30,IF(E204=2,20,IF(E204=3,10,IF(E204&lt;&gt;"",1,0))))+IF(F204=1,30,IF(F204=2,20,IF(F204=3,10,IF(F204&lt;&gt;"",1,0))))+IF(G204=1,30,IF(G204=2,20,IF(G204=3,10,IF(G204&lt;&gt;"",1,0))))+IF(H204=1,30,IF(H204=2,20,IF(H204=3,10,IF(H204&lt;&gt;"",1,0))))))</f>
        <v/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>
        <f>IF(AND(C205="",OR(E205="",E205=0)),"",(IF(E205=1,30,IF(E205=2,20,IF(E205=3,10,IF(E205&lt;&gt;"",1,0))))+IF(F205=1,30,IF(F205=2,20,IF(F205=3,10,IF(F205&lt;&gt;"",1,0))))+IF(G205=1,30,IF(G205=2,20,IF(G205=3,10,IF(G205&lt;&gt;"",1,0))))+IF(H205=1,30,IF(H205=2,20,IF(H205=3,10,IF(H205&lt;&gt;"",1,0))))))</f>
        <v/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>
        <f>IF(AND(C206="",OR(E206="",E206=0)),"",(IF(E206=1,30,IF(E206=2,20,IF(E206=3,10,IF(E206&lt;&gt;"",1,0))))+IF(F206=1,30,IF(F206=2,20,IF(F206=3,10,IF(F206&lt;&gt;"",1,0))))+IF(G206=1,30,IF(G206=2,20,IF(G206=3,10,IF(G206&lt;&gt;"",1,0))))+IF(H206=1,30,IF(H206=2,20,IF(H206=3,10,IF(H206&lt;&gt;"",1,0)))))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>
        <f>IF(AND(C207="",OR(E207="",E207=0)),"",(IF(E207=1,30,IF(E207=2,20,IF(E207=3,10,IF(E207&lt;&gt;"",1,0))))+IF(F207=1,30,IF(F207=2,20,IF(F207=3,10,IF(F207&lt;&gt;"",1,0))))+IF(G207=1,30,IF(G207=2,20,IF(G207=3,10,IF(G207&lt;&gt;"",1,0))))+IF(H207=1,30,IF(H207=2,20,IF(H207=3,10,IF(H207&lt;&gt;"",1,0)))))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>
        <f>IF(AND(C208="",OR(E208="",E208=0)),"",(IF(E208=1,30,IF(E208=2,20,IF(E208=3,10,IF(E208&lt;&gt;"",1,0))))+IF(F208=1,30,IF(F208=2,20,IF(F208=3,10,IF(F208&lt;&gt;"",1,0))))+IF(G208=1,30,IF(G208=2,20,IF(G208=3,10,IF(G208&lt;&gt;"",1,0))))+IF(H208=1,30,IF(H208=2,20,IF(H208=3,10,IF(H208&lt;&gt;"",1,0))))))</f>
        <v/>
      </c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>
        <f>IF(AND(C209="",OR(E209="",E209=0)),"",(IF(E209=1,30,IF(E209=2,20,IF(E209=3,10,IF(E209&lt;&gt;"",1,0))))+IF(F209=1,30,IF(F209=2,20,IF(F209=3,10,IF(F209&lt;&gt;"",1,0))))+IF(G209=1,30,IF(G209=2,20,IF(G209=3,10,IF(G209&lt;&gt;"",1,0))))+IF(H209=1,30,IF(H209=2,20,IF(H209=3,10,IF(H209&lt;&gt;"",1,0))))))</f>
        <v/>
      </c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>
        <f>IF(AND(C210="",OR(E210="",E210=0)),"",(IF(E210=1,30,IF(E210=2,20,IF(E210=3,10,IF(E210&lt;&gt;"",1,0))))+IF(F210=1,30,IF(F210=2,20,IF(F210=3,10,IF(F210&lt;&gt;"",1,0))))+IF(G210=1,30,IF(G210=2,20,IF(G210=3,10,IF(G210&lt;&gt;"",1,0))))+IF(H210=1,30,IF(H210=2,20,IF(H210=3,10,IF(H210&lt;&gt;"",1,0))))))</f>
        <v/>
      </c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>
        <f>IF(AND(C211="",OR(E211="",E211=0)),"",(IF(E211=1,30,IF(E211=2,20,IF(E211=3,10,IF(E211&lt;&gt;"",1,0))))+IF(F211=1,30,IF(F211=2,20,IF(F211=3,10,IF(F211&lt;&gt;"",1,0))))+IF(G211=1,30,IF(G211=2,20,IF(G211=3,10,IF(G211&lt;&gt;"",1,0))))+IF(H211=1,30,IF(H211=2,20,IF(H211=3,10,IF(H211&lt;&gt;"",1,0)))))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>
        <f>IF(AND(C212="",OR(E212="",E212=0)),"",(IF(E212=1,30,IF(E212=2,20,IF(E212=3,10,IF(E212&lt;&gt;"",1,0))))+IF(F212=1,30,IF(F212=2,20,IF(F212=3,10,IF(F212&lt;&gt;"",1,0))))+IF(G212=1,30,IF(G212=2,20,IF(G212=3,10,IF(G212&lt;&gt;"",1,0))))+IF(H212=1,30,IF(H212=2,20,IF(H212=3,10,IF(H212&lt;&gt;"",1,0))))))</f>
        <v/>
      </c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>
        <f>IF(AND(C213="",OR(E213="",E213=0)),"",(IF(E213=1,30,IF(E213=2,20,IF(E213=3,10,IF(E213&lt;&gt;"",1,0))))+IF(F213=1,30,IF(F213=2,20,IF(F213=3,10,IF(F213&lt;&gt;"",1,0))))+IF(G213=1,30,IF(G213=2,20,IF(G213=3,10,IF(G213&lt;&gt;"",1,0))))+IF(H213=1,30,IF(H213=2,20,IF(H213=3,10,IF(H213&lt;&gt;"",1,0))))))</f>
        <v/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>
        <f>IF(AND(C214="",OR(E214="",E214=0)),"",(IF(E214=1,30,IF(E214=2,20,IF(E214=3,10,IF(E214&lt;&gt;"",1,0))))+IF(F214=1,30,IF(F214=2,20,IF(F214=3,10,IF(F214&lt;&gt;"",1,0))))+IF(G214=1,30,IF(G214=2,20,IF(G214=3,10,IF(G214&lt;&gt;"",1,0))))+IF(H214=1,30,IF(H214=2,20,IF(H214=3,10,IF(H214&lt;&gt;"",1,0))))))</f>
        <v/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>
        <f>IF(AND(C215="",OR(E215="",E215=0)),"",(IF(E215=1,30,IF(E215=2,20,IF(E215=3,10,IF(E215&lt;&gt;"",1,0))))+IF(F215=1,30,IF(F215=2,20,IF(F215=3,10,IF(F215&lt;&gt;"",1,0))))+IF(G215=1,30,IF(G215=2,20,IF(G215=3,10,IF(G215&lt;&gt;"",1,0))))+IF(H215=1,30,IF(H215=2,20,IF(H215=3,10,IF(H215&lt;&gt;"",1,0)))))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>
        <f>IF(AND(C216="",OR(E216="",E216=0)),"",(IF(E216=1,30,IF(E216=2,20,IF(E216=3,10,IF(E216&lt;&gt;"",1,0))))+IF(F216=1,30,IF(F216=2,20,IF(F216=3,10,IF(F216&lt;&gt;"",1,0))))+IF(G216=1,30,IF(G216=2,20,IF(G216=3,10,IF(G216&lt;&gt;"",1,0))))+IF(H216=1,30,IF(H216=2,20,IF(H216=3,10,IF(H216&lt;&gt;"",1,0)))))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>
        <f>IF(AND(C217="",OR(E217="",E217=0)),"",(IF(E217=1,30,IF(E217=2,20,IF(E217=3,10,IF(E217&lt;&gt;"",1,0))))+IF(F217=1,30,IF(F217=2,20,IF(F217=3,10,IF(F217&lt;&gt;"",1,0))))+IF(G217=1,30,IF(G217=2,20,IF(G217=3,10,IF(G217&lt;&gt;"",1,0))))+IF(H217=1,30,IF(H217=2,20,IF(H217=3,10,IF(H217&lt;&gt;"",1,0))))))</f>
        <v/>
      </c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>
        <f>IF(AND(C218="",OR(E218="",E218=0)),"",(IF(E218=1,30,IF(E218=2,20,IF(E218=3,10,IF(E218&lt;&gt;"",1,0))))+IF(F218=1,30,IF(F218=2,20,IF(F218=3,10,IF(F218&lt;&gt;"",1,0))))+IF(G218=1,30,IF(G218=2,20,IF(G218=3,10,IF(G218&lt;&gt;"",1,0))))+IF(H218=1,30,IF(H218=2,20,IF(H218=3,10,IF(H218&lt;&gt;"",1,0))))))</f>
        <v/>
      </c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>
        <f>IF(AND(C219="",OR(E219="",E219=0)),"",(IF(E219=1,30,IF(E219=2,20,IF(E219=3,10,IF(E219&lt;&gt;"",1,0))))+IF(F219=1,30,IF(F219=2,20,IF(F219=3,10,IF(F219&lt;&gt;"",1,0))))+IF(G219=1,30,IF(G219=2,20,IF(G219=3,10,IF(G219&lt;&gt;"",1,0))))+IF(H219=1,30,IF(H219=2,20,IF(H219=3,10,IF(H219&lt;&gt;"",1,0))))))</f>
        <v/>
      </c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>
        <f>IF(AND(C220="",OR(E220="",E220=0)),"",(IF(E220=1,30,IF(E220=2,20,IF(E220=3,10,IF(E220&lt;&gt;"",1,0))))+IF(F220=1,30,IF(F220=2,20,IF(F220=3,10,IF(F220&lt;&gt;"",1,0))))+IF(G220=1,30,IF(G220=2,20,IF(G220=3,10,IF(G220&lt;&gt;"",1,0))))+IF(H220=1,30,IF(H220=2,20,IF(H220=3,10,IF(H220&lt;&gt;"",1,0)))))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>
        <f>IF(AND(C221="",OR(E221="",E221=0)),"",(IF(E221=1,30,IF(E221=2,20,IF(E221=3,10,IF(E221&lt;&gt;"",1,0))))+IF(F221=1,30,IF(F221=2,20,IF(F221=3,10,IF(F221&lt;&gt;"",1,0))))+IF(G221=1,30,IF(G221=2,20,IF(G221=3,10,IF(G221&lt;&gt;"",1,0))))+IF(H221=1,30,IF(H221=2,20,IF(H221=3,10,IF(H221&lt;&gt;"",1,0))))))</f>
        <v/>
      </c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>
        <f>IF(AND(C222="",OR(E222="",E222=0)),"",(IF(E222=1,30,IF(E222=2,20,IF(E222=3,10,IF(E222&lt;&gt;"",1,0))))+IF(F222=1,30,IF(F222=2,20,IF(F222=3,10,IF(F222&lt;&gt;"",1,0))))+IF(G222=1,30,IF(G222=2,20,IF(G222=3,10,IF(G222&lt;&gt;"",1,0))))+IF(H222=1,30,IF(H222=2,20,IF(H222=3,10,IF(H222&lt;&gt;"",1,0))))))</f>
        <v/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>
        <f>IF(AND(C223="",OR(E223="",E223=0)),"",(IF(E223=1,30,IF(E223=2,20,IF(E223=3,10,IF(E223&lt;&gt;"",1,0))))+IF(F223=1,30,IF(F223=2,20,IF(F223=3,10,IF(F223&lt;&gt;"",1,0))))+IF(G223=1,30,IF(G223=2,20,IF(G223=3,10,IF(G223&lt;&gt;"",1,0))))+IF(H223=1,30,IF(H223=2,20,IF(H223=3,10,IF(H223&lt;&gt;"",1,0))))))</f>
        <v/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4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>
        <f>IF(AND(C224="",OR(E224="",E224=0)),"",(IF(E224=1,30,IF(E224=2,20,IF(E224=3,10,IF(E224&lt;&gt;"",1,0))))+IF(F224=1,30,IF(F224=2,20,IF(F224=3,10,IF(F224&lt;&gt;"",1,0))))+IF(G224=1,30,IF(G224=2,20,IF(G224=3,10,IF(G224&lt;&gt;"",1,0))))+IF(H224=1,30,IF(H224=2,20,IF(H224=3,10,IF(H224&lt;&gt;"",1,0)))))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4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>
        <f>IF(AND(C225="",OR(E225="",E225=0)),"",(IF(E225=1,30,IF(E225=2,20,IF(E225=3,10,IF(E225&lt;&gt;"",1,0))))+IF(F225=1,30,IF(F225=2,20,IF(F225=3,10,IF(F225&lt;&gt;"",1,0))))+IF(G225=1,30,IF(G225=2,20,IF(G225=3,10,IF(G225&lt;&gt;"",1,0))))+IF(H225=1,30,IF(H225=2,20,IF(H225=3,10,IF(H225&lt;&gt;"",1,0))))))</f>
        <v/>
      </c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4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>
        <f>IF(AND(C226="",OR(E226="",E226=0)),"",(IF(E226=1,30,IF(E226=2,20,IF(E226=3,10,IF(E226&lt;&gt;"",1,0))))+IF(F226=1,30,IF(F226=2,20,IF(F226=3,10,IF(F226&lt;&gt;"",1,0))))+IF(G226=1,30,IF(G226=2,20,IF(G226=3,10,IF(G226&lt;&gt;"",1,0))))+IF(H226=1,30,IF(H226=2,20,IF(H226=3,10,IF(H226&lt;&gt;"",1,0))))))</f>
        <v/>
      </c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4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>
        <f>IF(AND(C227="",OR(E227="",E227=0)),"",(IF(E227=1,30,IF(E227=2,20,IF(E227=3,10,IF(E227&lt;&gt;"",1,0))))+IF(F227=1,30,IF(F227=2,20,IF(F227=3,10,IF(F227&lt;&gt;"",1,0))))+IF(G227=1,30,IF(G227=2,20,IF(G227=3,10,IF(G227&lt;&gt;"",1,0))))+IF(H227=1,30,IF(H227=2,20,IF(H227=3,10,IF(H227&lt;&gt;"",1,0))))))</f>
        <v/>
      </c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4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>
        <f>IF(AND(C228="",OR(E228="",E228=0)),"",(IF(E228=1,30,IF(E228=2,20,IF(E228=3,10,IF(E228&lt;&gt;"",1,0))))+IF(F228=1,30,IF(F228=2,20,IF(F228=3,10,IF(F228&lt;&gt;"",1,0))))+IF(G228=1,30,IF(G228=2,20,IF(G228=3,10,IF(G228&lt;&gt;"",1,0))))+IF(H228=1,30,IF(H228=2,20,IF(H228=3,10,IF(H228&lt;&gt;"",1,0))))))</f>
        <v/>
      </c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4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>
        <f>IF(AND(C229="",OR(E229="",E229=0)),"",(IF(E229=1,30,IF(E229=2,20,IF(E229=3,10,IF(E229&lt;&gt;"",1,0))))+IF(F229=1,30,IF(F229=2,20,IF(F229=3,10,IF(F229&lt;&gt;"",1,0))))+IF(G229=1,30,IF(G229=2,20,IF(G229=3,10,IF(G229&lt;&gt;"",1,0))))+IF(H229=1,30,IF(H229=2,20,IF(H229=3,10,IF(H229&lt;&gt;"",1,0)))))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4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>
        <f>IF(AND(C230="",OR(E230="",E230=0)),"",(IF(E230=1,30,IF(E230=2,20,IF(E230=3,10,IF(E230&lt;&gt;"",1,0))))+IF(F230=1,30,IF(F230=2,20,IF(F230=3,10,IF(F230&lt;&gt;"",1,0))))+IF(G230=1,30,IF(G230=2,20,IF(G230=3,10,IF(G230&lt;&gt;"",1,0))))+IF(H230=1,30,IF(H230=2,20,IF(H230=3,10,IF(H230&lt;&gt;"",1,0))))))</f>
        <v/>
      </c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4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>
        <f>IF(AND(C231="",OR(E231="",E231=0)),"",(IF(E231=1,30,IF(E231=2,20,IF(E231=3,10,IF(E231&lt;&gt;"",1,0))))+IF(F231=1,30,IF(F231=2,20,IF(F231=3,10,IF(F231&lt;&gt;"",1,0))))+IF(G231=1,30,IF(G231=2,20,IF(G231=3,10,IF(G231&lt;&gt;"",1,0))))+IF(H231=1,30,IF(H231=2,20,IF(H231=3,10,IF(H231&lt;&gt;"",1,0))))))</f>
        <v/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4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>
        <f>IF(AND(C232="",OR(E232="",E232=0)),"",(IF(E232=1,30,IF(E232=2,20,IF(E232=3,10,IF(E232&lt;&gt;"",1,0))))+IF(F232=1,30,IF(F232=2,20,IF(F232=3,10,IF(F232&lt;&gt;"",1,0))))+IF(G232=1,30,IF(G232=2,20,IF(G232=3,10,IF(G232&lt;&gt;"",1,0))))+IF(H232=1,30,IF(H232=2,20,IF(H232=3,10,IF(H232&lt;&gt;"",1,0))))))</f>
        <v/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4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>
        <f>IF(AND(C233="",OR(E233="",E233=0)),"",(IF(E233=1,30,IF(E233=2,20,IF(E233=3,10,IF(E233&lt;&gt;"",1,0))))+IF(F233=1,30,IF(F233=2,20,IF(F233=3,10,IF(F233&lt;&gt;"",1,0))))+IF(G233=1,30,IF(G233=2,20,IF(G233=3,10,IF(G233&lt;&gt;"",1,0))))+IF(H233=1,30,IF(H233=2,20,IF(H233=3,10,IF(H233&lt;&gt;"",1,0)))))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4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>
        <f>IF(AND(C234="",OR(E234="",E234=0)),"",(IF(E234=1,30,IF(E234=2,20,IF(E234=3,10,IF(E234&lt;&gt;"",1,0))))+IF(F234=1,30,IF(F234=2,20,IF(F234=3,10,IF(F234&lt;&gt;"",1,0))))+IF(G234=1,30,IF(G234=2,20,IF(G234=3,10,IF(G234&lt;&gt;"",1,0))))+IF(H234=1,30,IF(H234=2,20,IF(H234=3,10,IF(H234&lt;&gt;"",1,0))))))</f>
        <v/>
      </c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4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>
        <f>IF(AND(C235="",OR(E235="",E235=0)),"",(IF(E235=1,30,IF(E235=2,20,IF(E235=3,10,IF(E235&lt;&gt;"",1,0))))+IF(F235=1,30,IF(F235=2,20,IF(F235=3,10,IF(F235&lt;&gt;"",1,0))))+IF(G235=1,30,IF(G235=2,20,IF(G235=3,10,IF(G235&lt;&gt;"",1,0))))+IF(H235=1,30,IF(H235=2,20,IF(H235=3,10,IF(H235&lt;&gt;"",1,0))))))</f>
        <v/>
      </c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4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>
        <f>IF(AND(C236="",OR(E236="",E236=0)),"",(IF(E236=1,30,IF(E236=2,20,IF(E236=3,10,IF(E236&lt;&gt;"",1,0))))+IF(F236=1,30,IF(F236=2,20,IF(F236=3,10,IF(F236&lt;&gt;"",1,0))))+IF(G236=1,30,IF(G236=2,20,IF(G236=3,10,IF(G236&lt;&gt;"",1,0))))+IF(H236=1,30,IF(H236=2,20,IF(H236=3,10,IF(H236&lt;&gt;"",1,0))))))</f>
        <v/>
      </c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4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>
        <f>IF(AND(C237="",OR(E237="",E237=0)),"",(IF(E237=1,30,IF(E237=2,20,IF(E237=3,10,IF(E237&lt;&gt;"",1,0))))+IF(F237=1,30,IF(F237=2,20,IF(F237=3,10,IF(F237&lt;&gt;"",1,0))))+IF(G237=1,30,IF(G237=2,20,IF(G237=3,10,IF(G237&lt;&gt;"",1,0))))+IF(H237=1,30,IF(H237=2,20,IF(H237=3,10,IF(H237&lt;&gt;"",1,0))))))</f>
        <v/>
      </c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4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>
        <f>IF(AND(C238="",OR(E238="",E238=0)),"",(IF(E238=1,30,IF(E238=2,20,IF(E238=3,10,IF(E238&lt;&gt;"",1,0))))+IF(F238=1,30,IF(F238=2,20,IF(F238=3,10,IF(F238&lt;&gt;"",1,0))))+IF(G238=1,30,IF(G238=2,20,IF(G238=3,10,IF(G238&lt;&gt;"",1,0))))+IF(H238=1,30,IF(H238=2,20,IF(H238=3,10,IF(H238&lt;&gt;"",1,0)))))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4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>
        <f>IF(AND(C239="",OR(E239="",E239=0)),"",(IF(E239=1,30,IF(E239=2,20,IF(E239=3,10,IF(E239&lt;&gt;"",1,0))))+IF(F239=1,30,IF(F239=2,20,IF(F239=3,10,IF(F239&lt;&gt;"",1,0))))+IF(G239=1,30,IF(G239=2,20,IF(G239=3,10,IF(G239&lt;&gt;"",1,0))))+IF(H239=1,30,IF(H239=2,20,IF(H239=3,10,IF(H239&lt;&gt;"",1,0))))))</f>
        <v/>
      </c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4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>
        <f>IF(AND(C240="",OR(E240="",E240=0)),"",(IF(E240=1,30,IF(E240=2,20,IF(E240=3,10,IF(E240&lt;&gt;"",1,0))))+IF(F240=1,30,IF(F240=2,20,IF(F240=3,10,IF(F240&lt;&gt;"",1,0))))+IF(G240=1,30,IF(G240=2,20,IF(G240=3,10,IF(G240&lt;&gt;"",1,0))))+IF(H240=1,30,IF(H240=2,20,IF(H240=3,10,IF(H240&lt;&gt;"",1,0))))))</f>
        <v/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4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>
        <f>IF(AND(C241="",OR(E241="",E241=0)),"",(IF(E241=1,30,IF(E241=2,20,IF(E241=3,10,IF(E241&lt;&gt;"",1,0))))+IF(F241=1,30,IF(F241=2,20,IF(F241=3,10,IF(F241&lt;&gt;"",1,0))))+IF(G241=1,30,IF(G241=2,20,IF(G241=3,10,IF(G241&lt;&gt;"",1,0))))+IF(H241=1,30,IF(H241=2,20,IF(H241=3,10,IF(H241&lt;&gt;"",1,0))))))</f>
        <v/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4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>
        <f>IF(AND(C242="",OR(E242="",E242=0)),"",(IF(E242=1,30,IF(E242=2,20,IF(E242=3,10,IF(E242&lt;&gt;"",1,0))))+IF(F242=1,30,IF(F242=2,20,IF(F242=3,10,IF(F242&lt;&gt;"",1,0))))+IF(G242=1,30,IF(G242=2,20,IF(G242=3,10,IF(G242&lt;&gt;"",1,0))))+IF(H242=1,30,IF(H242=2,20,IF(H242=3,10,IF(H242&lt;&gt;"",1,0)))))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>
        <f>IF(AND(C243="",OR(E243="",E243=0)),"",(IF(E243=1,30,IF(E243=2,20,IF(E243=3,10,IF(E243&lt;&gt;"",1,0))))+IF(F243=1,30,IF(F243=2,20,IF(F243=3,10,IF(F243&lt;&gt;"",1,0))))+IF(G243=1,30,IF(G243=2,20,IF(G243=3,10,IF(G243&lt;&gt;"",1,0))))+IF(H243=1,30,IF(H243=2,20,IF(H243=3,10,IF(H243&lt;&gt;"",1,0)))))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4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>
        <f>IF(AND(C244="",OR(E244="",E244=0)),"",(IF(E244=1,30,IF(E244=2,20,IF(E244=3,10,IF(E244&lt;&gt;"",1,0))))+IF(F244=1,30,IF(F244=2,20,IF(F244=3,10,IF(F244&lt;&gt;"",1,0))))+IF(G244=1,30,IF(G244=2,20,IF(G244=3,10,IF(G244&lt;&gt;"",1,0))))+IF(H244=1,30,IF(H244=2,20,IF(H244=3,10,IF(H244&lt;&gt;"",1,0)))))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4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>
        <f>IF(AND(C245="",OR(E245="",E245=0)),"",(IF(E245=1,30,IF(E245=2,20,IF(E245=3,10,IF(E245&lt;&gt;"",1,0))))+IF(F245=1,30,IF(F245=2,20,IF(F245=3,10,IF(F245&lt;&gt;"",1,0))))+IF(G245=1,30,IF(G245=2,20,IF(G245=3,10,IF(G245&lt;&gt;"",1,0))))+IF(H245=1,30,IF(H245=2,20,IF(H245=3,10,IF(H245&lt;&gt;"",1,0)))))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4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>
        <f>IF(AND(C246="",OR(E246="",E246=0)),"",(IF(E246=1,30,IF(E246=2,20,IF(E246=3,10,IF(E246&lt;&gt;"",1,0))))+IF(F246=1,30,IF(F246=2,20,IF(F246=3,10,IF(F246&lt;&gt;"",1,0))))+IF(G246=1,30,IF(G246=2,20,IF(G246=3,10,IF(G246&lt;&gt;"",1,0))))+IF(H246=1,30,IF(H246=2,20,IF(H246=3,10,IF(H246&lt;&gt;"",1,0))))))</f>
        <v/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4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>
        <f>IF(AND(C247="",OR(E247="",E247=0)),"",(IF(E247=1,30,IF(E247=2,20,IF(E247=3,10,IF(E247&lt;&gt;"",1,0))))+IF(F247=1,30,IF(F247=2,20,IF(F247=3,10,IF(F247&lt;&gt;"",1,0))))+IF(G247=1,30,IF(G247=2,20,IF(G247=3,10,IF(G247&lt;&gt;"",1,0))))+IF(H247=1,30,IF(H247=2,20,IF(H247=3,10,IF(H247&lt;&gt;"",1,0)))))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4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>
        <f>IF(AND(C248="",OR(E248="",E248=0)),"",(IF(E248=1,30,IF(E248=2,20,IF(E248=3,10,IF(E248&lt;&gt;"",1,0))))+IF(F248=1,30,IF(F248=2,20,IF(F248=3,10,IF(F248&lt;&gt;"",1,0))))+IF(G248=1,30,IF(G248=2,20,IF(G248=3,10,IF(G248&lt;&gt;"",1,0))))+IF(H248=1,30,IF(H248=2,20,IF(H248=3,10,IF(H248&lt;&gt;"",1,0))))))</f>
        <v/>
      </c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4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>
        <f>IF(AND(C249="",OR(E249="",E249=0)),"",(IF(E249=1,30,IF(E249=2,20,IF(E249=3,10,IF(E249&lt;&gt;"",1,0))))+IF(F249=1,30,IF(F249=2,20,IF(F249=3,10,IF(F249&lt;&gt;"",1,0))))+IF(G249=1,30,IF(G249=2,20,IF(G249=3,10,IF(G249&lt;&gt;"",1,0))))+IF(H249=1,30,IF(H249=2,20,IF(H249=3,10,IF(H249&lt;&gt;"",1,0))))))</f>
        <v/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4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>
        <f>IF(AND(C250="",OR(E250="",E250=0)),"",(IF(E250=1,30,IF(E250=2,20,IF(E250=3,10,IF(E250&lt;&gt;"",1,0))))+IF(F250=1,30,IF(F250=2,20,IF(F250=3,10,IF(F250&lt;&gt;"",1,0))))+IF(G250=1,30,IF(G250=2,20,IF(G250=3,10,IF(G250&lt;&gt;"",1,0))))+IF(H250=1,30,IF(H250=2,20,IF(H250=3,10,IF(H250&lt;&gt;"",1,0))))))</f>
        <v/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4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>
        <f>IF(AND(C251="",OR(E251="",E251=0)),"",(IF(E251=1,30,IF(E251=2,20,IF(E251=3,10,IF(E251&lt;&gt;"",1,0))))+IF(F251=1,30,IF(F251=2,20,IF(F251=3,10,IF(F251&lt;&gt;"",1,0))))+IF(G251=1,30,IF(G251=2,20,IF(G251=3,10,IF(G251&lt;&gt;"",1,0))))+IF(H251=1,30,IF(H251=2,20,IF(H251=3,10,IF(H251&lt;&gt;"",1,0)))))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4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>
        <f>IF(AND(C252="",OR(E252="",E252=0)),"",(IF(E252=1,30,IF(E252=2,20,IF(E252=3,10,IF(E252&lt;&gt;"",1,0))))+IF(F252=1,30,IF(F252=2,20,IF(F252=3,10,IF(F252&lt;&gt;"",1,0))))+IF(G252=1,30,IF(G252=2,20,IF(G252=3,10,IF(G252&lt;&gt;"",1,0))))+IF(H252=1,30,IF(H252=2,20,IF(H252=3,10,IF(H252&lt;&gt;"",1,0))))))</f>
        <v/>
      </c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4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>
        <f>IF(AND(C253="",OR(E253="",E253=0)),"",(IF(E253=1,30,IF(E253=2,20,IF(E253=3,10,IF(E253&lt;&gt;"",1,0))))+IF(F253=1,30,IF(F253=2,20,IF(F253=3,10,IF(F253&lt;&gt;"",1,0))))+IF(G253=1,30,IF(G253=2,20,IF(G253=3,10,IF(G253&lt;&gt;"",1,0))))+IF(H253=1,30,IF(H253=2,20,IF(H253=3,10,IF(H253&lt;&gt;"",1,0))))))</f>
        <v/>
      </c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4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>
        <f>IF(AND(C254="",OR(E254="",E254=0)),"",(IF(E254=1,30,IF(E254=2,20,IF(E254=3,10,IF(E254&lt;&gt;"",1,0))))+IF(F254=1,30,IF(F254=2,20,IF(F254=3,10,IF(F254&lt;&gt;"",1,0))))+IF(G254=1,30,IF(G254=2,20,IF(G254=3,10,IF(G254&lt;&gt;"",1,0))))+IF(H254=1,30,IF(H254=2,20,IF(H254=3,10,IF(H254&lt;&gt;"",1,0))))))</f>
        <v/>
      </c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4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>
        <f>IF(AND(C255="",OR(E255="",E255=0)),"",(IF(E255=1,30,IF(E255=2,20,IF(E255=3,10,IF(E255&lt;&gt;"",1,0))))+IF(F255=1,30,IF(F255=2,20,IF(F255=3,10,IF(F255&lt;&gt;"",1,0))))+IF(G255=1,30,IF(G255=2,20,IF(G255=3,10,IF(G255&lt;&gt;"",1,0))))+IF(H255=1,30,IF(H255=2,20,IF(H255=3,10,IF(H255&lt;&gt;"",1,0))))))</f>
        <v/>
      </c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4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>
        <f>IF(AND(C256="",OR(E256="",E256=0)),"",(IF(E256=1,30,IF(E256=2,20,IF(E256=3,10,IF(E256&lt;&gt;"",1,0))))+IF(F256=1,30,IF(F256=2,20,IF(F256=3,10,IF(F256&lt;&gt;"",1,0))))+IF(G256=1,30,IF(G256=2,20,IF(G256=3,10,IF(G256&lt;&gt;"",1,0))))+IF(H256=1,30,IF(H256=2,20,IF(H256=3,10,IF(H256&lt;&gt;"",1,0)))))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4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>
        <f>IF(AND(C257="",OR(E257="",E257=0)),"",(IF(E257=1,30,IF(E257=2,20,IF(E257=3,10,IF(E257&lt;&gt;"",1,0))))+IF(F257=1,30,IF(F257=2,20,IF(F257=3,10,IF(F257&lt;&gt;"",1,0))))+IF(G257=1,30,IF(G257=2,20,IF(G257=3,10,IF(G257&lt;&gt;"",1,0))))+IF(H257=1,30,IF(H257=2,20,IF(H257=3,10,IF(H257&lt;&gt;"",1,0))))))</f>
        <v/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4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>
        <f>IF(AND(C258="",OR(E258="",E258=0)),"",(IF(E258=1,30,IF(E258=2,20,IF(E258=3,10,IF(E258&lt;&gt;"",1,0))))+IF(F258=1,30,IF(F258=2,20,IF(F258=3,10,IF(F258&lt;&gt;"",1,0))))+IF(G258=1,30,IF(G258=2,20,IF(G258=3,10,IF(G258&lt;&gt;"",1,0))))+IF(H258=1,30,IF(H258=2,20,IF(H258=3,10,IF(H258&lt;&gt;"",1,0))))))</f>
        <v/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4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>
        <f>IF(AND(C259="",OR(E259="",E259=0)),"",(IF(E259=1,30,IF(E259=2,20,IF(E259=3,10,IF(E259&lt;&gt;"",1,0))))+IF(F259=1,30,IF(F259=2,20,IF(F259=3,10,IF(F259&lt;&gt;"",1,0))))+IF(G259=1,30,IF(G259=2,20,IF(G259=3,10,IF(G259&lt;&gt;"",1,0))))+IF(H259=1,30,IF(H259=2,20,IF(H259=3,10,IF(H259&lt;&gt;"",1,0))))))</f>
        <v/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4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>
        <f>IF(AND(C260="",OR(E260="",E260=0)),"",(IF(E260=1,30,IF(E260=2,20,IF(E260=3,10,IF(E260&lt;&gt;"",1,0))))+IF(F260=1,30,IF(F260=2,20,IF(F260=3,10,IF(F260&lt;&gt;"",1,0))))+IF(G260=1,30,IF(G260=2,20,IF(G260=3,10,IF(G260&lt;&gt;"",1,0))))+IF(H260=1,30,IF(H260=2,20,IF(H260=3,10,IF(H260&lt;&gt;"",1,0)))))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4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>
        <f>IF(AND(C261="",OR(E261="",E261=0)),"",(IF(E261=1,30,IF(E261=2,20,IF(E261=3,10,IF(E261&lt;&gt;"",1,0))))+IF(F261=1,30,IF(F261=2,20,IF(F261=3,10,IF(F261&lt;&gt;"",1,0))))+IF(G261=1,30,IF(G261=2,20,IF(G261=3,10,IF(G261&lt;&gt;"",1,0))))+IF(H261=1,30,IF(H261=2,20,IF(H261=3,10,IF(H261&lt;&gt;"",1,0))))))</f>
        <v/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4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>
        <f>IF(AND(C262="",OR(E262="",E262=0)),"",(IF(E262=1,30,IF(E262=2,20,IF(E262=3,10,IF(E262&lt;&gt;"",1,0))))+IF(F262=1,30,IF(F262=2,20,IF(F262=3,10,IF(F262&lt;&gt;"",1,0))))+IF(G262=1,30,IF(G262=2,20,IF(G262=3,10,IF(G262&lt;&gt;"",1,0))))+IF(H262=1,30,IF(H262=2,20,IF(H262=3,10,IF(H262&lt;&gt;"",1,0))))))</f>
        <v/>
      </c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4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>
        <f>IF(AND(C263="",OR(E263="",E263=0)),"",(IF(E263=1,30,IF(E263=2,20,IF(E263=3,10,IF(E263&lt;&gt;"",1,0))))+IF(F263=1,30,IF(F263=2,20,IF(F263=3,10,IF(F263&lt;&gt;"",1,0))))+IF(G263=1,30,IF(G263=2,20,IF(G263=3,10,IF(G263&lt;&gt;"",1,0))))+IF(H263=1,30,IF(H263=2,20,IF(H263=3,10,IF(H263&lt;&gt;"",1,0))))))</f>
        <v/>
      </c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4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>
        <f>IF(AND(C264="",OR(E264="",E264=0)),"",(IF(E264=1,30,IF(E264=2,20,IF(E264=3,10,IF(E264&lt;&gt;"",1,0))))+IF(F264=1,30,IF(F264=2,20,IF(F264=3,10,IF(F264&lt;&gt;"",1,0))))+IF(G264=1,30,IF(G264=2,20,IF(G264=3,10,IF(G264&lt;&gt;"",1,0))))+IF(H264=1,30,IF(H264=2,20,IF(H264=3,10,IF(H264&lt;&gt;"",1,0))))))</f>
        <v/>
      </c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4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>
        <f>IF(AND(C265="",OR(E265="",E265=0)),"",(IF(E265=1,30,IF(E265=2,20,IF(E265=3,10,IF(E265&lt;&gt;"",1,0))))+IF(F265=1,30,IF(F265=2,20,IF(F265=3,10,IF(F265&lt;&gt;"",1,0))))+IF(G265=1,30,IF(G265=2,20,IF(G265=3,10,IF(G265&lt;&gt;"",1,0))))+IF(H265=1,30,IF(H265=2,20,IF(H265=3,10,IF(H265&lt;&gt;"",1,0)))))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4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>
        <f>IF(AND(C266="",OR(E266="",E266=0)),"",(IF(E266=1,30,IF(E266=2,20,IF(E266=3,10,IF(E266&lt;&gt;"",1,0))))+IF(F266=1,30,IF(F266=2,20,IF(F266=3,10,IF(F266&lt;&gt;"",1,0))))+IF(G266=1,30,IF(G266=2,20,IF(G266=3,10,IF(G266&lt;&gt;"",1,0))))+IF(H266=1,30,IF(H266=2,20,IF(H266=3,10,IF(H266&lt;&gt;"",1,0))))))</f>
        <v/>
      </c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4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>
        <f>IF(AND(C267="",OR(E267="",E267=0)),"",(IF(E267=1,30,IF(E267=2,20,IF(E267=3,10,IF(E267&lt;&gt;"",1,0))))+IF(F267=1,30,IF(F267=2,20,IF(F267=3,10,IF(F267&lt;&gt;"",1,0))))+IF(G267=1,30,IF(G267=2,20,IF(G267=3,10,IF(G267&lt;&gt;"",1,0))))+IF(H267=1,30,IF(H267=2,20,IF(H267=3,10,IF(H267&lt;&gt;"",1,0))))))</f>
        <v/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4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>
        <f>IF(AND(C268="",OR(E268="",E268=0)),"",(IF(E268=1,30,IF(E268=2,20,IF(E268=3,10,IF(E268&lt;&gt;"",1,0))))+IF(F268=1,30,IF(F268=2,20,IF(F268=3,10,IF(F268&lt;&gt;"",1,0))))+IF(G268=1,30,IF(G268=2,20,IF(G268=3,10,IF(G268&lt;&gt;"",1,0))))+IF(H268=1,30,IF(H268=2,20,IF(H268=3,10,IF(H268&lt;&gt;"",1,0))))))</f>
        <v/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4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>
        <f>IF(AND(C269="",OR(E269="",E269=0)),"",(IF(E269=1,30,IF(E269=2,20,IF(E269=3,10,IF(E269&lt;&gt;"",1,0))))+IF(F269=1,30,IF(F269=2,20,IF(F269=3,10,IF(F269&lt;&gt;"",1,0))))+IF(G269=1,30,IF(G269=2,20,IF(G269=3,10,IF(G269&lt;&gt;"",1,0))))+IF(H269=1,30,IF(H269=2,20,IF(H269=3,10,IF(H269&lt;&gt;"",1,0)))))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4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>
        <f>IF(AND(C270="",OR(E270="",E270=0)),"",(IF(E270=1,30,IF(E270=2,20,IF(E270=3,10,IF(E270&lt;&gt;"",1,0))))+IF(F270=1,30,IF(F270=2,20,IF(F270=3,10,IF(F270&lt;&gt;"",1,0))))+IF(G270=1,30,IF(G270=2,20,IF(G270=3,10,IF(G270&lt;&gt;"",1,0))))+IF(H270=1,30,IF(H270=2,20,IF(H270=3,10,IF(H270&lt;&gt;"",1,0))))))</f>
        <v/>
      </c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4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>
        <f>IF(AND(C271="",OR(E271="",E271=0)),"",(IF(E271=1,30,IF(E271=2,20,IF(E271=3,10,IF(E271&lt;&gt;"",1,0))))+IF(F271=1,30,IF(F271=2,20,IF(F271=3,10,IF(F271&lt;&gt;"",1,0))))+IF(G271=1,30,IF(G271=2,20,IF(G271=3,10,IF(G271&lt;&gt;"",1,0))))+IF(H271=1,30,IF(H271=2,20,IF(H271=3,10,IF(H271&lt;&gt;"",1,0))))))</f>
        <v/>
      </c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4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>
        <f>IF(AND(C272="",OR(E272="",E272=0)),"",(IF(E272=1,30,IF(E272=2,20,IF(E272=3,10,IF(E272&lt;&gt;"",1,0))))+IF(F272=1,30,IF(F272=2,20,IF(F272=3,10,IF(F272&lt;&gt;"",1,0))))+IF(G272=1,30,IF(G272=2,20,IF(G272=3,10,IF(G272&lt;&gt;"",1,0))))+IF(H272=1,30,IF(H272=2,20,IF(H272=3,10,IF(H272&lt;&gt;"",1,0))))))</f>
        <v/>
      </c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4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>
        <f>IF(AND(C273="",OR(E273="",E273=0)),"",(IF(E273=1,30,IF(E273=2,20,IF(E273=3,10,IF(E273&lt;&gt;"",1,0))))+IF(F273=1,30,IF(F273=2,20,IF(F273=3,10,IF(F273&lt;&gt;"",1,0))))+IF(G273=1,30,IF(G273=2,20,IF(G273=3,10,IF(G273&lt;&gt;"",1,0))))+IF(H273=1,30,IF(H273=2,20,IF(H273=3,10,IF(H273&lt;&gt;"",1,0))))))</f>
        <v/>
      </c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4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>
        <f>IF(AND(C274="",OR(E274="",E274=0)),"",(IF(E274=1,30,IF(E274=2,20,IF(E274=3,10,IF(E274&lt;&gt;"",1,0))))+IF(F274=1,30,IF(F274=2,20,IF(F274=3,10,IF(F274&lt;&gt;"",1,0))))+IF(G274=1,30,IF(G274=2,20,IF(G274=3,10,IF(G274&lt;&gt;"",1,0))))+IF(H274=1,30,IF(H274=2,20,IF(H274=3,10,IF(H274&lt;&gt;"",1,0)))))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4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>
        <f>IF(AND(C275="",OR(E275="",E275=0)),"",(IF(E275=1,30,IF(E275=2,20,IF(E275=3,10,IF(E275&lt;&gt;"",1,0))))+IF(F275=1,30,IF(F275=2,20,IF(F275=3,10,IF(F275&lt;&gt;"",1,0))))+IF(G275=1,30,IF(G275=2,20,IF(G275=3,10,IF(G275&lt;&gt;"",1,0))))+IF(H275=1,30,IF(H275=2,20,IF(H275=3,10,IF(H275&lt;&gt;"",1,0))))))</f>
        <v/>
      </c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4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>
        <f>IF(AND(C276="",OR(E276="",E276=0)),"",(IF(E276=1,30,IF(E276=2,20,IF(E276=3,10,IF(E276&lt;&gt;"",1,0))))+IF(F276=1,30,IF(F276=2,20,IF(F276=3,10,IF(F276&lt;&gt;"",1,0))))+IF(G276=1,30,IF(G276=2,20,IF(G276=3,10,IF(G276&lt;&gt;"",1,0))))+IF(H276=1,30,IF(H276=2,20,IF(H276=3,10,IF(H276&lt;&gt;"",1,0))))))</f>
        <v/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4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>
        <f>IF(AND(C277="",OR(E277="",E277=0)),"",(IF(E277=1,30,IF(E277=2,20,IF(E277=3,10,IF(E277&lt;&gt;"",1,0))))+IF(F277=1,30,IF(F277=2,20,IF(F277=3,10,IF(F277&lt;&gt;"",1,0))))+IF(G277=1,30,IF(G277=2,20,IF(G277=3,10,IF(G277&lt;&gt;"",1,0))))+IF(H277=1,30,IF(H277=2,20,IF(H277=3,10,IF(H277&lt;&gt;"",1,0))))))</f>
        <v/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4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>
        <f>IF(AND(C278="",OR(E278="",E278=0)),"",(IF(E278=1,30,IF(E278=2,20,IF(E278=3,10,IF(E278&lt;&gt;"",1,0))))+IF(F278=1,30,IF(F278=2,20,IF(F278=3,10,IF(F278&lt;&gt;"",1,0))))+IF(G278=1,30,IF(G278=2,20,IF(G278=3,10,IF(G278&lt;&gt;"",1,0))))+IF(H278=1,30,IF(H278=2,20,IF(H278=3,10,IF(H278&lt;&gt;"",1,0)))))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4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>
        <f>IF(AND(C279="",OR(E279="",E279=0)),"",(IF(E279=1,30,IF(E279=2,20,IF(E279=3,10,IF(E279&lt;&gt;"",1,0))))+IF(F279=1,30,IF(F279=2,20,IF(F279=3,10,IF(F279&lt;&gt;"",1,0))))+IF(G279=1,30,IF(G279=2,20,IF(G279=3,10,IF(G279&lt;&gt;"",1,0))))+IF(H279=1,30,IF(H279=2,20,IF(H279=3,10,IF(H279&lt;&gt;"",1,0)))))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14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>
        <f>IF(AND(C280="",OR(E280="",E280=0)),"",(IF(E280=1,30,IF(E280=2,20,IF(E280=3,10,IF(E280&lt;&gt;"",1,0))))+IF(F280=1,30,IF(F280=2,20,IF(F280=3,10,IF(F280&lt;&gt;"",1,0))))+IF(G280=1,30,IF(G280=2,20,IF(G280=3,10,IF(G280&lt;&gt;"",1,0))))+IF(H280=1,30,IF(H280=2,20,IF(H280=3,10,IF(H280&lt;&gt;"",1,0)))))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14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>
        <f>IF(AND(C281="",OR(E281="",E281=0)),"",(IF(E281=1,30,IF(E281=2,20,IF(E281=3,10,IF(E281&lt;&gt;"",1,0))))+IF(F281=1,30,IF(F281=2,20,IF(F281=3,10,IF(F281&lt;&gt;"",1,0))))+IF(G281=1,30,IF(G281=2,20,IF(G281=3,10,IF(G281&lt;&gt;"",1,0))))+IF(H281=1,30,IF(H281=2,20,IF(H281=3,10,IF(H281&lt;&gt;"",1,0)))))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14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>
        <f>IF(AND(C282="",OR(E282="",E282=0)),"",(IF(E282=1,30,IF(E282=2,20,IF(E282=3,10,IF(E282&lt;&gt;"",1,0))))+IF(F282=1,30,IF(F282=2,20,IF(F282=3,10,IF(F282&lt;&gt;"",1,0))))+IF(G282=1,30,IF(G282=2,20,IF(G282=3,10,IF(G282&lt;&gt;"",1,0))))+IF(H282=1,30,IF(H282=2,20,IF(H282=3,10,IF(H282&lt;&gt;"",1,0)))))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14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>
        <f>IF(AND(C283="",OR(E283="",E283=0)),"",(IF(E283=1,30,IF(E283=2,20,IF(E283=3,10,IF(E283&lt;&gt;"",1,0))))+IF(F283=1,30,IF(F283=2,20,IF(F283=3,10,IF(F283&lt;&gt;"",1,0))))+IF(G283=1,30,IF(G283=2,20,IF(G283=3,10,IF(G283&lt;&gt;"",1,0))))+IF(H283=1,30,IF(H283=2,20,IF(H283=3,10,IF(H283&lt;&gt;"",1,0)))))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14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>
        <f>IF(AND(C284="",OR(E284="",E284=0)),"",(IF(E284=1,30,IF(E284=2,20,IF(E284=3,10,IF(E284&lt;&gt;"",1,0))))+IF(F284=1,30,IF(F284=2,20,IF(F284=3,10,IF(F284&lt;&gt;"",1,0))))+IF(G284=1,30,IF(G284=2,20,IF(G284=3,10,IF(G284&lt;&gt;"",1,0))))+IF(H284=1,30,IF(H284=2,20,IF(H284=3,10,IF(H284&lt;&gt;"",1,0)))))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14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>
        <f>IF(AND(C285="",OR(E285="",E285=0)),"",(IF(E285=1,30,IF(E285=2,20,IF(E285=3,10,IF(E285&lt;&gt;"",1,0))))+IF(F285=1,30,IF(F285=2,20,IF(F285=3,10,IF(F285&lt;&gt;"",1,0))))+IF(G285=1,30,IF(G285=2,20,IF(G285=3,10,IF(G285&lt;&gt;"",1,0))))+IF(H285=1,30,IF(H285=2,20,IF(H285=3,10,IF(H285&lt;&gt;"",1,0))))))</f>
        <v/>
      </c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14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>
        <f>IF(AND(C286="",OR(E286="",E286=0)),"",(IF(E286=1,30,IF(E286=2,20,IF(E286=3,10,IF(E286&lt;&gt;"",1,0))))+IF(F286=1,30,IF(F286=2,20,IF(F286=3,10,IF(F286&lt;&gt;"",1,0))))+IF(G286=1,30,IF(G286=2,20,IF(G286=3,10,IF(G286&lt;&gt;"",1,0))))+IF(H286=1,30,IF(H286=2,20,IF(H286=3,10,IF(H286&lt;&gt;"",1,0))))))</f>
        <v/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14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>
        <f>IF(AND(C287="",OR(E287="",E287=0)),"",(IF(E287=1,30,IF(E287=2,20,IF(E287=3,10,IF(E287&lt;&gt;"",1,0))))+IF(F287=1,30,IF(F287=2,20,IF(F287=3,10,IF(F287&lt;&gt;"",1,0))))+IF(G287=1,30,IF(G287=2,20,IF(G287=3,10,IF(G287&lt;&gt;"",1,0))))+IF(H287=1,30,IF(H287=2,20,IF(H287=3,10,IF(H287&lt;&gt;"",1,0))))))</f>
        <v/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14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>
        <f>IF(AND(C288="",OR(E288="",E288=0)),"",(IF(E288=1,30,IF(E288=2,20,IF(E288=3,10,IF(E288&lt;&gt;"",1,0))))+IF(F288=1,30,IF(F288=2,20,IF(F288=3,10,IF(F288&lt;&gt;"",1,0))))+IF(G288=1,30,IF(G288=2,20,IF(G288=3,10,IF(G288&lt;&gt;"",1,0))))+IF(H288=1,30,IF(H288=2,20,IF(H288=3,10,IF(H288&lt;&gt;"",1,0)))))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14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>
        <f>IF(AND(C289="",OR(E289="",E289=0)),"",(IF(E289=1,30,IF(E289=2,20,IF(E289=3,10,IF(E289&lt;&gt;"",1,0))))+IF(F289=1,30,IF(F289=2,20,IF(F289=3,10,IF(F289&lt;&gt;"",1,0))))+IF(G289=1,30,IF(G289=2,20,IF(G289=3,10,IF(G289&lt;&gt;"",1,0))))+IF(H289=1,30,IF(H289=2,20,IF(H289=3,10,IF(H289&lt;&gt;"",1,0)))))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14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>
        <f>IF(AND(C290="",OR(E290="",E290=0)),"",(IF(E290=1,30,IF(E290=2,20,IF(E290=3,10,IF(E290&lt;&gt;"",1,0))))+IF(F290=1,30,IF(F290=2,20,IF(F290=3,10,IF(F290&lt;&gt;"",1,0))))+IF(G290=1,30,IF(G290=2,20,IF(G290=3,10,IF(G290&lt;&gt;"",1,0))))+IF(H290=1,30,IF(H290=2,20,IF(H290=3,10,IF(H290&lt;&gt;"",1,0)))))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14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>
        <f>IF(AND(C291="",OR(E291="",E291=0)),"",(IF(E291=1,30,IF(E291=2,20,IF(E291=3,10,IF(E291&lt;&gt;"",1,0))))+IF(F291=1,30,IF(F291=2,20,IF(F291=3,10,IF(F291&lt;&gt;"",1,0))))+IF(G291=1,30,IF(G291=2,20,IF(G291=3,10,IF(G291&lt;&gt;"",1,0))))+IF(H291=1,30,IF(H291=2,20,IF(H291=3,10,IF(H291&lt;&gt;"",1,0)))))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14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>
        <f>IF(AND(C292="",OR(E292="",E292=0)),"",(IF(E292=1,30,IF(E292=2,20,IF(E292=3,10,IF(E292&lt;&gt;"",1,0))))+IF(F292=1,30,IF(F292=2,20,IF(F292=3,10,IF(F292&lt;&gt;"",1,0))))+IF(G292=1,30,IF(G292=2,20,IF(G292=3,10,IF(G292&lt;&gt;"",1,0))))+IF(H292=1,30,IF(H292=2,20,IF(H292=3,10,IF(H292&lt;&gt;"",1,0))))))</f>
        <v/>
      </c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14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>
        <f>IF(AND(C293="",OR(E293="",E293=0)),"",(IF(E293=1,30,IF(E293=2,20,IF(E293=3,10,IF(E293&lt;&gt;"",1,0))))+IF(F293=1,30,IF(F293=2,20,IF(F293=3,10,IF(F293&lt;&gt;"",1,0))))+IF(G293=1,30,IF(G293=2,20,IF(G293=3,10,IF(G293&lt;&gt;"",1,0))))+IF(H293=1,30,IF(H293=2,20,IF(H293=3,10,IF(H293&lt;&gt;"",1,0)))))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14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>
        <f>IF(AND(C294="",OR(E294="",E294=0)),"",(IF(E294=1,30,IF(E294=2,20,IF(E294=3,10,IF(E294&lt;&gt;"",1,0))))+IF(F294=1,30,IF(F294=2,20,IF(F294=3,10,IF(F294&lt;&gt;"",1,0))))+IF(G294=1,30,IF(G294=2,20,IF(G294=3,10,IF(G294&lt;&gt;"",1,0))))+IF(H294=1,30,IF(H294=2,20,IF(H294=3,10,IF(H294&lt;&gt;"",1,0))))))</f>
        <v/>
      </c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14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>
        <f>IF(AND(C295="",OR(E295="",E295=0)),"",(IF(E295=1,30,IF(E295=2,20,IF(E295=3,10,IF(E295&lt;&gt;"",1,0))))+IF(F295=1,30,IF(F295=2,20,IF(F295=3,10,IF(F295&lt;&gt;"",1,0))))+IF(G295=1,30,IF(G295=2,20,IF(G295=3,10,IF(G295&lt;&gt;"",1,0))))+IF(H295=1,30,IF(H295=2,20,IF(H295=3,10,IF(H295&lt;&gt;"",1,0))))))</f>
        <v/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14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>
        <f>IF(AND(C296="",OR(E296="",E296=0)),"",(IF(E296=1,30,IF(E296=2,20,IF(E296=3,10,IF(E296&lt;&gt;"",1,0))))+IF(F296=1,30,IF(F296=2,20,IF(F296=3,10,IF(F296&lt;&gt;"",1,0))))+IF(G296=1,30,IF(G296=2,20,IF(G296=3,10,IF(G296&lt;&gt;"",1,0))))+IF(H296=1,30,IF(H296=2,20,IF(H296=3,10,IF(H296&lt;&gt;"",1,0))))))</f>
        <v/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14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>
        <f>IF(AND(C297="",OR(E297="",E297=0)),"",(IF(E297=1,30,IF(E297=2,20,IF(E297=3,10,IF(E297&lt;&gt;"",1,0))))+IF(F297=1,30,IF(F297=2,20,IF(F297=3,10,IF(F297&lt;&gt;"",1,0))))+IF(G297=1,30,IF(G297=2,20,IF(G297=3,10,IF(G297&lt;&gt;"",1,0))))+IF(H297=1,30,IF(H297=2,20,IF(H297=3,10,IF(H297&lt;&gt;"",1,0)))))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14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>
        <f>IF(AND(C298="",OR(E298="",E298=0)),"",(IF(E298=1,30,IF(E298=2,20,IF(E298=3,10,IF(E298&lt;&gt;"",1,0))))+IF(F298=1,30,IF(F298=2,20,IF(F298=3,10,IF(F298&lt;&gt;"",1,0))))+IF(G298=1,30,IF(G298=2,20,IF(G298=3,10,IF(G298&lt;&gt;"",1,0))))+IF(H298=1,30,IF(H298=2,20,IF(H298=3,10,IF(H298&lt;&gt;"",1,0)))))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14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>
        <f>IF(AND(C299="",OR(E299="",E299=0)),"",(IF(E299=1,30,IF(E299=2,20,IF(E299=3,10,IF(E299&lt;&gt;"",1,0))))+IF(F299=1,30,IF(F299=2,20,IF(F299=3,10,IF(F299&lt;&gt;"",1,0))))+IF(G299=1,30,IF(G299=2,20,IF(G299=3,10,IF(G299&lt;&gt;"",1,0))))+IF(H299=1,30,IF(H299=2,20,IF(H299=3,10,IF(H299&lt;&gt;"",1,0))))))</f>
        <v/>
      </c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14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>
        <f>IF(AND(C300="",OR(E300="",E300=0)),"",(IF(E300=1,30,IF(E300=2,20,IF(E300=3,10,IF(E300&lt;&gt;"",1,0))))+IF(F300=1,30,IF(F300=2,20,IF(F300=3,10,IF(F300&lt;&gt;"",1,0))))+IF(G300=1,30,IF(G300=2,20,IF(G300=3,10,IF(G300&lt;&gt;"",1,0))))+IF(H300=1,30,IF(H300=2,20,IF(H300=3,10,IF(H300&lt;&gt;"",1,0))))))</f>
        <v/>
      </c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14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>
        <f>IF(AND(C301="",OR(E301="",E301=0)),"",(IF(E301=1,30,IF(E301=2,20,IF(E301=3,10,IF(E301&lt;&gt;"",1,0))))+IF(F301=1,30,IF(F301=2,20,IF(F301=3,10,IF(F301&lt;&gt;"",1,0))))+IF(G301=1,30,IF(G301=2,20,IF(G301=3,10,IF(G301&lt;&gt;"",1,0))))+IF(H301=1,30,IF(H301=2,20,IF(H301=3,10,IF(H301&lt;&gt;"",1,0))))))</f>
        <v/>
      </c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14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>
        <f>IF(AND(C302="",OR(E302="",E302=0)),"",(IF(E302=1,30,IF(E302=2,20,IF(E302=3,10,IF(E302&lt;&gt;"",1,0))))+IF(F302=1,30,IF(F302=2,20,IF(F302=3,10,IF(F302&lt;&gt;"",1,0))))+IF(G302=1,30,IF(G302=2,20,IF(G302=3,10,IF(G302&lt;&gt;"",1,0))))+IF(H302=1,30,IF(H302=2,20,IF(H302=3,10,IF(H302&lt;&gt;"",1,0)))))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14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>
        <f>IF(AND(C303="",OR(E303="",E303=0)),"",(IF(E303=1,30,IF(E303=2,20,IF(E303=3,10,IF(E303&lt;&gt;"",1,0))))+IF(F303=1,30,IF(F303=2,20,IF(F303=3,10,IF(F303&lt;&gt;"",1,0))))+IF(G303=1,30,IF(G303=2,20,IF(G303=3,10,IF(G303&lt;&gt;"",1,0))))+IF(H303=1,30,IF(H303=2,20,IF(H303=3,10,IF(H303&lt;&gt;"",1,0))))))</f>
        <v/>
      </c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14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>
        <f>IF(AND(C304="",OR(E304="",E304=0)),"",(IF(E304=1,30,IF(E304=2,20,IF(E304=3,10,IF(E304&lt;&gt;"",1,0))))+IF(F304=1,30,IF(F304=2,20,IF(F304=3,10,IF(F304&lt;&gt;"",1,0))))+IF(G304=1,30,IF(G304=2,20,IF(G304=3,10,IF(G304&lt;&gt;"",1,0))))+IF(H304=1,30,IF(H304=2,20,IF(H304=3,10,IF(H304&lt;&gt;"",1,0))))))</f>
        <v/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14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>
        <f>IF(AND(C305="",OR(E305="",E305=0)),"",(IF(E305=1,30,IF(E305=2,20,IF(E305=3,10,IF(E305&lt;&gt;"",1,0))))+IF(F305=1,30,IF(F305=2,20,IF(F305=3,10,IF(F305&lt;&gt;"",1,0))))+IF(G305=1,30,IF(G305=2,20,IF(G305=3,10,IF(G305&lt;&gt;"",1,0))))+IF(H305=1,30,IF(H305=2,20,IF(H305=3,10,IF(H305&lt;&gt;"",1,0))))))</f>
        <v/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14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>
        <f>IF(AND(C306="",OR(E306="",E306=0)),"",(IF(E306=1,30,IF(E306=2,20,IF(E306=3,10,IF(E306&lt;&gt;"",1,0))))+IF(F306=1,30,IF(F306=2,20,IF(F306=3,10,IF(F306&lt;&gt;"",1,0))))+IF(G306=1,30,IF(G306=2,20,IF(G306=3,10,IF(G306&lt;&gt;"",1,0))))+IF(H306=1,30,IF(H306=2,20,IF(H306=3,10,IF(H306&lt;&gt;"",1,0))))))</f>
        <v/>
      </c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14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>
        <f>IF(AND(C307="",OR(E307="",E307=0)),"",(IF(E307=1,30,IF(E307=2,20,IF(E307=3,10,IF(E307&lt;&gt;"",1,0))))+IF(F307=1,30,IF(F307=2,20,IF(F307=3,10,IF(F307&lt;&gt;"",1,0))))+IF(G307=1,30,IF(G307=2,20,IF(G307=3,10,IF(G307&lt;&gt;"",1,0))))+IF(H307=1,30,IF(H307=2,20,IF(H307=3,10,IF(H307&lt;&gt;"",1,0))))))</f>
        <v/>
      </c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14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>
        <f>IF(AND(C308="",OR(E308="",E308=0)),"",(IF(E308=1,30,IF(E308=2,20,IF(E308=3,10,IF(E308&lt;&gt;"",1,0))))+IF(F308=1,30,IF(F308=2,20,IF(F308=3,10,IF(F308&lt;&gt;"",1,0))))+IF(G308=1,30,IF(G308=2,20,IF(G308=3,10,IF(G308&lt;&gt;"",1,0))))+IF(H308=1,30,IF(H308=2,20,IF(H308=3,10,IF(H308&lt;&gt;"",1,0))))))</f>
        <v/>
      </c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14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>
        <f>IF(AND(C309="",OR(E309="",E309=0)),"",(IF(E309=1,30,IF(E309=2,20,IF(E309=3,10,IF(E309&lt;&gt;"",1,0))))+IF(F309=1,30,IF(F309=2,20,IF(F309=3,10,IF(F309&lt;&gt;"",1,0))))+IF(G309=1,30,IF(G309=2,20,IF(G309=3,10,IF(G309&lt;&gt;"",1,0))))+IF(H309=1,30,IF(H309=2,20,IF(H309=3,10,IF(H309&lt;&gt;"",1,0))))))</f>
        <v/>
      </c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14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>
        <f>IF(AND(C310="",OR(E310="",E310=0)),"",(IF(E310=1,30,IF(E310=2,20,IF(E310=3,10,IF(E310&lt;&gt;"",1,0))))+IF(F310=1,30,IF(F310=2,20,IF(F310=3,10,IF(F310&lt;&gt;"",1,0))))+IF(G310=1,30,IF(G310=2,20,IF(G310=3,10,IF(G310&lt;&gt;"",1,0))))+IF(H310=1,30,IF(H310=2,20,IF(H310=3,10,IF(H310&lt;&gt;"",1,0))))))</f>
        <v/>
      </c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14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>
        <f>IF(AND(C311="",OR(E311="",E311=0)),"",(IF(E311=1,30,IF(E311=2,20,IF(E311=3,10,IF(E311&lt;&gt;"",1,0))))+IF(F311=1,30,IF(F311=2,20,IF(F311=3,10,IF(F311&lt;&gt;"",1,0))))+IF(G311=1,30,IF(G311=2,20,IF(G311=3,10,IF(G311&lt;&gt;"",1,0))))+IF(H311=1,30,IF(H311=2,20,IF(H311=3,10,IF(H311&lt;&gt;"",1,0)))))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14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>
        <f>IF(AND(C312="",OR(E312="",E312=0)),"",(IF(E312=1,30,IF(E312=2,20,IF(E312=3,10,IF(E312&lt;&gt;"",1,0))))+IF(F312=1,30,IF(F312=2,20,IF(F312=3,10,IF(F312&lt;&gt;"",1,0))))+IF(G312=1,30,IF(G312=2,20,IF(G312=3,10,IF(G312&lt;&gt;"",1,0))))+IF(H312=1,30,IF(H312=2,20,IF(H312=3,10,IF(H312&lt;&gt;"",1,0))))))</f>
        <v/>
      </c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14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>
        <f>IF(AND(C313="",OR(E313="",E313=0)),"",(IF(E313=1,30,IF(E313=2,20,IF(E313=3,10,IF(E313&lt;&gt;"",1,0))))+IF(F313=1,30,IF(F313=2,20,IF(F313=3,10,IF(F313&lt;&gt;"",1,0))))+IF(G313=1,30,IF(G313=2,20,IF(G313=3,10,IF(G313&lt;&gt;"",1,0))))+IF(H313=1,30,IF(H313=2,20,IF(H313=3,10,IF(H313&lt;&gt;"",1,0))))))</f>
        <v/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14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>
        <f>IF(AND(C314="",OR(E314="",E314=0)),"",(IF(E314=1,30,IF(E314=2,20,IF(E314=3,10,IF(E314&lt;&gt;"",1,0))))+IF(F314=1,30,IF(F314=2,20,IF(F314=3,10,IF(F314&lt;&gt;"",1,0))))+IF(G314=1,30,IF(G314=2,20,IF(G314=3,10,IF(G314&lt;&gt;"",1,0))))+IF(H314=1,30,IF(H314=2,20,IF(H314=3,10,IF(H314&lt;&gt;"",1,0))))))</f>
        <v/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14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>
        <f>IF(AND(C315="",OR(E315="",E315=0)),"",(IF(E315=1,30,IF(E315=2,20,IF(E315=3,10,IF(E315&lt;&gt;"",1,0))))+IF(F315=1,30,IF(F315=2,20,IF(F315=3,10,IF(F315&lt;&gt;"",1,0))))+IF(G315=1,30,IF(G315=2,20,IF(G315=3,10,IF(G315&lt;&gt;"",1,0))))+IF(H315=1,30,IF(H315=2,20,IF(H315=3,10,IF(H315&lt;&gt;"",1,0)))))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14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>
        <f>IF(AND(C316="",OR(E316="",E316=0)),"",(IF(E316=1,30,IF(E316=2,20,IF(E316=3,10,IF(E316&lt;&gt;"",1,0))))+IF(F316=1,30,IF(F316=2,20,IF(F316=3,10,IF(F316&lt;&gt;"",1,0))))+IF(G316=1,30,IF(G316=2,20,IF(G316=3,10,IF(G316&lt;&gt;"",1,0))))+IF(H316=1,30,IF(H316=2,20,IF(H316=3,10,IF(H316&lt;&gt;"",1,0))))))</f>
        <v/>
      </c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14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>
        <f>IF(AND(C317="",OR(E317="",E317=0)),"",(IF(E317=1,30,IF(E317=2,20,IF(E317=3,10,IF(E317&lt;&gt;"",1,0))))+IF(F317=1,30,IF(F317=2,20,IF(F317=3,10,IF(F317&lt;&gt;"",1,0))))+IF(G317=1,30,IF(G317=2,20,IF(G317=3,10,IF(G317&lt;&gt;"",1,0))))+IF(H317=1,30,IF(H317=2,20,IF(H317=3,10,IF(H317&lt;&gt;"",1,0))))))</f>
        <v/>
      </c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14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>
        <f>IF(AND(C318="",OR(E318="",E318=0)),"",(IF(E318=1,30,IF(E318=2,20,IF(E318=3,10,IF(E318&lt;&gt;"",1,0))))+IF(F318=1,30,IF(F318=2,20,IF(F318=3,10,IF(F318&lt;&gt;"",1,0))))+IF(G318=1,30,IF(G318=2,20,IF(G318=3,10,IF(G318&lt;&gt;"",1,0))))+IF(H318=1,30,IF(H318=2,20,IF(H318=3,10,IF(H318&lt;&gt;"",1,0))))))</f>
        <v/>
      </c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14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>
        <f>IF(AND(C319="",OR(E319="",E319=0)),"",(IF(E319=1,30,IF(E319=2,20,IF(E319=3,10,IF(E319&lt;&gt;"",1,0))))+IF(F319=1,30,IF(F319=2,20,IF(F319=3,10,IF(F319&lt;&gt;"",1,0))))+IF(G319=1,30,IF(G319=2,20,IF(G319=3,10,IF(G319&lt;&gt;"",1,0))))+IF(H319=1,30,IF(H319=2,20,IF(H319=3,10,IF(H319&lt;&gt;"",1,0))))))</f>
        <v/>
      </c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14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>
        <f>IF(AND(C320="",OR(E320="",E320=0)),"",(IF(E320=1,30,IF(E320=2,20,IF(E320=3,10,IF(E320&lt;&gt;"",1,0))))+IF(F320=1,30,IF(F320=2,20,IF(F320=3,10,IF(F320&lt;&gt;"",1,0))))+IF(G320=1,30,IF(G320=2,20,IF(G320=3,10,IF(G320&lt;&gt;"",1,0))))+IF(H320=1,30,IF(H320=2,20,IF(H320=3,10,IF(H320&lt;&gt;"",1,0)))))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14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>
        <f>IF(AND(C321="",OR(E321="",E321=0)),"",(IF(E321=1,30,IF(E321=2,20,IF(E321=3,10,IF(E321&lt;&gt;"",1,0))))+IF(F321=1,30,IF(F321=2,20,IF(F321=3,10,IF(F321&lt;&gt;"",1,0))))+IF(G321=1,30,IF(G321=2,20,IF(G321=3,10,IF(G321&lt;&gt;"",1,0))))+IF(H321=1,30,IF(H321=2,20,IF(H321=3,10,IF(H321&lt;&gt;"",1,0))))))</f>
        <v/>
      </c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14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>
        <f>IF(AND(C322="",OR(E322="",E322=0)),"",(IF(E322=1,30,IF(E322=2,20,IF(E322=3,10,IF(E322&lt;&gt;"",1,0))))+IF(F322=1,30,IF(F322=2,20,IF(F322=3,10,IF(F322&lt;&gt;"",1,0))))+IF(G322=1,30,IF(G322=2,20,IF(G322=3,10,IF(G322&lt;&gt;"",1,0))))+IF(H322=1,30,IF(H322=2,20,IF(H322=3,10,IF(H322&lt;&gt;"",1,0))))))</f>
        <v/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14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>
        <f>IF(AND(C323="",OR(E323="",E323=0)),"",(IF(E323=1,30,IF(E323=2,20,IF(E323=3,10,IF(E323&lt;&gt;"",1,0))))+IF(F323=1,30,IF(F323=2,20,IF(F323=3,10,IF(F323&lt;&gt;"",1,0))))+IF(G323=1,30,IF(G323=2,20,IF(G323=3,10,IF(G323&lt;&gt;"",1,0))))+IF(H323=1,30,IF(H323=2,20,IF(H323=3,10,IF(H323&lt;&gt;"",1,0))))))</f>
        <v/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14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>
        <f>IF(AND(C324="",OR(E324="",E324=0)),"",(IF(E324=1,30,IF(E324=2,20,IF(E324=3,10,IF(E324&lt;&gt;"",1,0))))+IF(F324=1,30,IF(F324=2,20,IF(F324=3,10,IF(F324&lt;&gt;"",1,0))))+IF(G324=1,30,IF(G324=2,20,IF(G324=3,10,IF(G324&lt;&gt;"",1,0))))+IF(H324=1,30,IF(H324=2,20,IF(H324=3,10,IF(H324&lt;&gt;"",1,0)))))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14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>
        <f>IF(AND(C325="",OR(E325="",E325=0)),"",(IF(E325=1,30,IF(E325=2,20,IF(E325=3,10,IF(E325&lt;&gt;"",1,0))))+IF(F325=1,30,IF(F325=2,20,IF(F325=3,10,IF(F325&lt;&gt;"",1,0))))+IF(G325=1,30,IF(G325=2,20,IF(G325=3,10,IF(G325&lt;&gt;"",1,0))))+IF(H325=1,30,IF(H325=2,20,IF(H325=3,10,IF(H325&lt;&gt;"",1,0))))))</f>
        <v/>
      </c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14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>
        <f>IF(AND(C326="",OR(E326="",E326=0)),"",(IF(E326=1,30,IF(E326=2,20,IF(E326=3,10,IF(E326&lt;&gt;"",1,0))))+IF(F326=1,30,IF(F326=2,20,IF(F326=3,10,IF(F326&lt;&gt;"",1,0))))+IF(G326=1,30,IF(G326=2,20,IF(G326=3,10,IF(G326&lt;&gt;"",1,0))))+IF(H326=1,30,IF(H326=2,20,IF(H326=3,10,IF(H326&lt;&gt;"",1,0))))))</f>
        <v/>
      </c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14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>
        <f>IF(AND(C327="",OR(E327="",E327=0)),"",(IF(E327=1,30,IF(E327=2,20,IF(E327=3,10,IF(E327&lt;&gt;"",1,0))))+IF(F327=1,30,IF(F327=2,20,IF(F327=3,10,IF(F327&lt;&gt;"",1,0))))+IF(G327=1,30,IF(G327=2,20,IF(G327=3,10,IF(G327&lt;&gt;"",1,0))))+IF(H327=1,30,IF(H327=2,20,IF(H327=3,10,IF(H327&lt;&gt;"",1,0))))))</f>
        <v/>
      </c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14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>
        <f>IF(AND(C328="",OR(E328="",E328=0)),"",(IF(E328=1,30,IF(E328=2,20,IF(E328=3,10,IF(E328&lt;&gt;"",1,0))))+IF(F328=1,30,IF(F328=2,20,IF(F328=3,10,IF(F328&lt;&gt;"",1,0))))+IF(G328=1,30,IF(G328=2,20,IF(G328=3,10,IF(G328&lt;&gt;"",1,0))))+IF(H328=1,30,IF(H328=2,20,IF(H328=3,10,IF(H328&lt;&gt;"",1,0))))))</f>
        <v/>
      </c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14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>
        <f>IF(AND(C329="",OR(E329="",E329=0)),"",(IF(E329=1,30,IF(E329=2,20,IF(E329=3,10,IF(E329&lt;&gt;"",1,0))))+IF(F329=1,30,IF(F329=2,20,IF(F329=3,10,IF(F329&lt;&gt;"",1,0))))+IF(G329=1,30,IF(G329=2,20,IF(G329=3,10,IF(G329&lt;&gt;"",1,0))))+IF(H329=1,30,IF(H329=2,20,IF(H329=3,10,IF(H329&lt;&gt;"",1,0)))))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14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>
        <f>IF(AND(C330="",OR(E330="",E330=0)),"",(IF(E330=1,30,IF(E330=2,20,IF(E330=3,10,IF(E330&lt;&gt;"",1,0))))+IF(F330=1,30,IF(F330=2,20,IF(F330=3,10,IF(F330&lt;&gt;"",1,0))))+IF(G330=1,30,IF(G330=2,20,IF(G330=3,10,IF(G330&lt;&gt;"",1,0))))+IF(H330=1,30,IF(H330=2,20,IF(H330=3,10,IF(H330&lt;&gt;"",1,0))))))</f>
        <v/>
      </c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14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>
        <f>IF(AND(C331="",OR(E331="",E331=0)),"",(IF(E331=1,30,IF(E331=2,20,IF(E331=3,10,IF(E331&lt;&gt;"",1,0))))+IF(F331=1,30,IF(F331=2,20,IF(F331=3,10,IF(F331&lt;&gt;"",1,0))))+IF(G331=1,30,IF(G331=2,20,IF(G331=3,10,IF(G331&lt;&gt;"",1,0))))+IF(H331=1,30,IF(H331=2,20,IF(H331=3,10,IF(H331&lt;&gt;"",1,0))))))</f>
        <v/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14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>
        <f>IF(AND(C332="",OR(E332="",E332=0)),"",(IF(E332=1,30,IF(E332=2,20,IF(E332=3,10,IF(E332&lt;&gt;"",1,0))))+IF(F332=1,30,IF(F332=2,20,IF(F332=3,10,IF(F332&lt;&gt;"",1,0))))+IF(G332=1,30,IF(G332=2,20,IF(G332=3,10,IF(G332&lt;&gt;"",1,0))))+IF(H332=1,30,IF(H332=2,20,IF(H332=3,10,IF(H332&lt;&gt;"",1,0))))))</f>
        <v/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14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>
        <f>IF(AND(C333="",OR(E333="",E333=0)),"",(IF(E333=1,30,IF(E333=2,20,IF(E333=3,10,IF(E333&lt;&gt;"",1,0))))+IF(F333=1,30,IF(F333=2,20,IF(F333=3,10,IF(F333&lt;&gt;"",1,0))))+IF(G333=1,30,IF(G333=2,20,IF(G333=3,10,IF(G333&lt;&gt;"",1,0))))+IF(H333=1,30,IF(H333=2,20,IF(H333=3,10,IF(H333&lt;&gt;"",1,0)))))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14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>
        <f>IF(AND(C334="",OR(E334="",E334=0)),"",(IF(E334=1,30,IF(E334=2,20,IF(E334=3,10,IF(E334&lt;&gt;"",1,0))))+IF(F334=1,30,IF(F334=2,20,IF(F334=3,10,IF(F334&lt;&gt;"",1,0))))+IF(G334=1,30,IF(G334=2,20,IF(G334=3,10,IF(G334&lt;&gt;"",1,0))))+IF(H334=1,30,IF(H334=2,20,IF(H334=3,10,IF(H334&lt;&gt;"",1,0))))))</f>
        <v/>
      </c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14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>
        <f>IF(AND(C335="",OR(E335="",E335=0)),"",(IF(E335=1,30,IF(E335=2,20,IF(E335=3,10,IF(E335&lt;&gt;"",1,0))))+IF(F335=1,30,IF(F335=2,20,IF(F335=3,10,IF(F335&lt;&gt;"",1,0))))+IF(G335=1,30,IF(G335=2,20,IF(G335=3,10,IF(G335&lt;&gt;"",1,0))))+IF(H335=1,30,IF(H335=2,20,IF(H335=3,10,IF(H335&lt;&gt;"",1,0))))))</f>
        <v/>
      </c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14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>
        <f>IF(AND(C336="",OR(E336="",E336=0)),"",(IF(E336=1,30,IF(E336=2,20,IF(E336=3,10,IF(E336&lt;&gt;"",1,0))))+IF(F336=1,30,IF(F336=2,20,IF(F336=3,10,IF(F336&lt;&gt;"",1,0))))+IF(G336=1,30,IF(G336=2,20,IF(G336=3,10,IF(G336&lt;&gt;"",1,0))))+IF(H336=1,30,IF(H336=2,20,IF(H336=3,10,IF(H336&lt;&gt;"",1,0))))))</f>
        <v/>
      </c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14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>
        <f>IF(AND(C337="",OR(E337="",E337=0)),"",(IF(E337=1,30,IF(E337=2,20,IF(E337=3,10,IF(E337&lt;&gt;"",1,0))))+IF(F337=1,30,IF(F337=2,20,IF(F337=3,10,IF(F337&lt;&gt;"",1,0))))+IF(G337=1,30,IF(G337=2,20,IF(G337=3,10,IF(G337&lt;&gt;"",1,0))))+IF(H337=1,30,IF(H337=2,20,IF(H337=3,10,IF(H337&lt;&gt;"",1,0))))))</f>
        <v/>
      </c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14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>
        <f>IF(AND(C338="",OR(E338="",E338=0)),"",(IF(E338=1,30,IF(E338=2,20,IF(E338=3,10,IF(E338&lt;&gt;"",1,0))))+IF(F338=1,30,IF(F338=2,20,IF(F338=3,10,IF(F338&lt;&gt;"",1,0))))+IF(G338=1,30,IF(G338=2,20,IF(G338=3,10,IF(G338&lt;&gt;"",1,0))))+IF(H338=1,30,IF(H338=2,20,IF(H338=3,10,IF(H338&lt;&gt;"",1,0)))))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14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>
        <f>IF(AND(C339="",OR(E339="",E339=0)),"",(IF(E339=1,30,IF(E339=2,20,IF(E339=3,10,IF(E339&lt;&gt;"",1,0))))+IF(F339=1,30,IF(F339=2,20,IF(F339=3,10,IF(F339&lt;&gt;"",1,0))))+IF(G339=1,30,IF(G339=2,20,IF(G339=3,10,IF(G339&lt;&gt;"",1,0))))+IF(H339=1,30,IF(H339=2,20,IF(H339=3,10,IF(H339&lt;&gt;"",1,0))))))</f>
        <v/>
      </c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14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>
        <f>IF(AND(C340="",OR(E340="",E340=0)),"",(IF(E340=1,30,IF(E340=2,20,IF(E340=3,10,IF(E340&lt;&gt;"",1,0))))+IF(F340=1,30,IF(F340=2,20,IF(F340=3,10,IF(F340&lt;&gt;"",1,0))))+IF(G340=1,30,IF(G340=2,20,IF(G340=3,10,IF(G340&lt;&gt;"",1,0))))+IF(H340=1,30,IF(H340=2,20,IF(H340=3,10,IF(H340&lt;&gt;"",1,0))))))</f>
        <v/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14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>
        <f>IF(AND(C341="",OR(E341="",E341=0)),"",(IF(E341=1,30,IF(E341=2,20,IF(E341=3,10,IF(E341&lt;&gt;"",1,0))))+IF(F341=1,30,IF(F341=2,20,IF(F341=3,10,IF(F341&lt;&gt;"",1,0))))+IF(G341=1,30,IF(G341=2,20,IF(G341=3,10,IF(G341&lt;&gt;"",1,0))))+IF(H341=1,30,IF(H341=2,20,IF(H341=3,10,IF(H341&lt;&gt;"",1,0))))))</f>
        <v/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14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>
        <f>IF(AND(C342="",OR(E342="",E342=0)),"",(IF(E342=1,30,IF(E342=2,20,IF(E342=3,10,IF(E342&lt;&gt;"",1,0))))+IF(F342=1,30,IF(F342=2,20,IF(F342=3,10,IF(F342&lt;&gt;"",1,0))))+IF(G342=1,30,IF(G342=2,20,IF(G342=3,10,IF(G342&lt;&gt;"",1,0))))+IF(H342=1,30,IF(H342=2,20,IF(H342=3,10,IF(H342&lt;&gt;"",1,0)))))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1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>
        <f>IF(AND(C343="",OR(E343="",E343=0)),"",(IF(E343=1,30,IF(E343=2,20,IF(E343=3,10,IF(E343&lt;&gt;"",1,0))))+IF(F343=1,30,IF(F343=2,20,IF(F343=3,10,IF(F343&lt;&gt;"",1,0))))+IF(G343=1,30,IF(G343=2,20,IF(G343=3,10,IF(G343&lt;&gt;"",1,0))))+IF(H343=1,30,IF(H343=2,20,IF(H343=3,10,IF(H343&lt;&gt;"",1,0))))))</f>
        <v/>
      </c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14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>
        <f>IF(AND(C344="",OR(E344="",E344=0)),"",(IF(E344=1,30,IF(E344=2,20,IF(E344=3,10,IF(E344&lt;&gt;"",1,0))))+IF(F344=1,30,IF(F344=2,20,IF(F344=3,10,IF(F344&lt;&gt;"",1,0))))+IF(G344=1,30,IF(G344=2,20,IF(G344=3,10,IF(G344&lt;&gt;"",1,0))))+IF(H344=1,30,IF(H344=2,20,IF(H344=3,10,IF(H344&lt;&gt;"",1,0))))))</f>
        <v/>
      </c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14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>
        <f>IF(AND(C345="",OR(E345="",E345=0)),"",(IF(E345=1,30,IF(E345=2,20,IF(E345=3,10,IF(E345&lt;&gt;"",1,0))))+IF(F345=1,30,IF(F345=2,20,IF(F345=3,10,IF(F345&lt;&gt;"",1,0))))+IF(G345=1,30,IF(G345=2,20,IF(G345=3,10,IF(G345&lt;&gt;"",1,0))))+IF(H345=1,30,IF(H345=2,20,IF(H345=3,10,IF(H345&lt;&gt;"",1,0))))))</f>
        <v/>
      </c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14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>
        <f>IF(AND(C346="",OR(E346="",E346=0)),"",(IF(E346=1,30,IF(E346=2,20,IF(E346=3,10,IF(E346&lt;&gt;"",1,0))))+IF(F346=1,30,IF(F346=2,20,IF(F346=3,10,IF(F346&lt;&gt;"",1,0))))+IF(G346=1,30,IF(G346=2,20,IF(G346=3,10,IF(G346&lt;&gt;"",1,0))))+IF(H346=1,30,IF(H346=2,20,IF(H346=3,10,IF(H346&lt;&gt;"",1,0))))))</f>
        <v/>
      </c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14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>
        <f>IF(AND(C347="",OR(E347="",E347=0)),"",(IF(E347=1,30,IF(E347=2,20,IF(E347=3,10,IF(E347&lt;&gt;"",1,0))))+IF(F347=1,30,IF(F347=2,20,IF(F347=3,10,IF(F347&lt;&gt;"",1,0))))+IF(G347=1,30,IF(G347=2,20,IF(G347=3,10,IF(G347&lt;&gt;"",1,0))))+IF(H347=1,30,IF(H347=2,20,IF(H347=3,10,IF(H347&lt;&gt;"",1,0)))))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14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>
        <f>IF(AND(C348="",OR(E348="",E348=0)),"",(IF(E348=1,30,IF(E348=2,20,IF(E348=3,10,IF(E348&lt;&gt;"",1,0))))+IF(F348=1,30,IF(F348=2,20,IF(F348=3,10,IF(F348&lt;&gt;"",1,0))))+IF(G348=1,30,IF(G348=2,20,IF(G348=3,10,IF(G348&lt;&gt;"",1,0))))+IF(H348=1,30,IF(H348=2,20,IF(H348=3,10,IF(H348&lt;&gt;"",1,0))))))</f>
        <v/>
      </c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14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>
        <f>IF(AND(C349="",OR(E349="",E349=0)),"",(IF(E349=1,30,IF(E349=2,20,IF(E349=3,10,IF(E349&lt;&gt;"",1,0))))+IF(F349=1,30,IF(F349=2,20,IF(F349=3,10,IF(F349&lt;&gt;"",1,0))))+IF(G349=1,30,IF(G349=2,20,IF(G349=3,10,IF(G349&lt;&gt;"",1,0))))+IF(H349=1,30,IF(H349=2,20,IF(H349=3,10,IF(H349&lt;&gt;"",1,0))))))</f>
        <v/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14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>
        <f>IF(AND(C350="",OR(E350="",E350=0)),"",(IF(E350=1,30,IF(E350=2,20,IF(E350=3,10,IF(E350&lt;&gt;"",1,0))))+IF(F350=1,30,IF(F350=2,20,IF(F350=3,10,IF(F350&lt;&gt;"",1,0))))+IF(G350=1,30,IF(G350=2,20,IF(G350=3,10,IF(G350&lt;&gt;"",1,0))))+IF(H350=1,30,IF(H350=2,20,IF(H350=3,10,IF(H350&lt;&gt;"",1,0))))))</f>
        <v/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14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>
        <f>IF(AND(C351="",OR(E351="",E351=0)),"",(IF(E351=1,30,IF(E351=2,20,IF(E351=3,10,IF(E351&lt;&gt;"",1,0))))+IF(F351=1,30,IF(F351=2,20,IF(F351=3,10,IF(F351&lt;&gt;"",1,0))))+IF(G351=1,30,IF(G351=2,20,IF(G351=3,10,IF(G351&lt;&gt;"",1,0))))+IF(H351=1,30,IF(H351=2,20,IF(H351=3,10,IF(H351&lt;&gt;"",1,0))))))</f>
        <v/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14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>
        <f>IF(AND(C352="",OR(E352="",E352=0)),"",(IF(E352=1,30,IF(E352=2,20,IF(E352=3,10,IF(E352&lt;&gt;"",1,0))))+IF(F352=1,30,IF(F352=2,20,IF(F352=3,10,IF(F352&lt;&gt;"",1,0))))+IF(G352=1,30,IF(G352=2,20,IF(G352=3,10,IF(G352&lt;&gt;"",1,0))))+IF(H352=1,30,IF(H352=2,20,IF(H352=3,10,IF(H352&lt;&gt;"",1,0))))))</f>
        <v/>
      </c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14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>
        <f>IF(AND(C353="",OR(E353="",E353=0)),"",(IF(E353=1,30,IF(E353=2,20,IF(E353=3,10,IF(E353&lt;&gt;"",1,0))))+IF(F353=1,30,IF(F353=2,20,IF(F353=3,10,IF(F353&lt;&gt;"",1,0))))+IF(G353=1,30,IF(G353=2,20,IF(G353=3,10,IF(G353&lt;&gt;"",1,0))))+IF(H353=1,30,IF(H353=2,20,IF(H353=3,10,IF(H353&lt;&gt;"",1,0))))))</f>
        <v/>
      </c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14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>
        <f>IF(AND(C354="",OR(E354="",E354=0)),"",(IF(E354=1,30,IF(E354=2,20,IF(E354=3,10,IF(E354&lt;&gt;"",1,0))))+IF(F354=1,30,IF(F354=2,20,IF(F354=3,10,IF(F354&lt;&gt;"",1,0))))+IF(G354=1,30,IF(G354=2,20,IF(G354=3,10,IF(G354&lt;&gt;"",1,0))))+IF(H354=1,30,IF(H354=2,20,IF(H354=3,10,IF(H354&lt;&gt;"",1,0))))))</f>
        <v/>
      </c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14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>
        <f>IF(AND(C355="",OR(E355="",E355=0)),"",(IF(E355=1,30,IF(E355=2,20,IF(E355=3,10,IF(E355&lt;&gt;"",1,0))))+IF(F355=1,30,IF(F355=2,20,IF(F355=3,10,IF(F355&lt;&gt;"",1,0))))+IF(G355=1,30,IF(G355=2,20,IF(G355=3,10,IF(G355&lt;&gt;"",1,0))))+IF(H355=1,30,IF(H355=2,20,IF(H355=3,10,IF(H355&lt;&gt;"",1,0))))))</f>
        <v/>
      </c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14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>
        <f>IF(AND(C356="",OR(E356="",E356=0)),"",(IF(E356=1,30,IF(E356=2,20,IF(E356=3,10,IF(E356&lt;&gt;"",1,0))))+IF(F356=1,30,IF(F356=2,20,IF(F356=3,10,IF(F356&lt;&gt;"",1,0))))+IF(G356=1,30,IF(G356=2,20,IF(G356=3,10,IF(G356&lt;&gt;"",1,0))))+IF(H356=1,30,IF(H356=2,20,IF(H356=3,10,IF(H356&lt;&gt;"",1,0)))))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14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>
        <f>IF(AND(C357="",OR(E357="",E357=0)),"",(IF(E357=1,30,IF(E357=2,20,IF(E357=3,10,IF(E357&lt;&gt;"",1,0))))+IF(F357=1,30,IF(F357=2,20,IF(F357=3,10,IF(F357&lt;&gt;"",1,0))))+IF(G357=1,30,IF(G357=2,20,IF(G357=3,10,IF(G357&lt;&gt;"",1,0))))+IF(H357=1,30,IF(H357=2,20,IF(H357=3,10,IF(H357&lt;&gt;"",1,0))))))</f>
        <v/>
      </c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14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>
        <f>IF(AND(C358="",OR(E358="",E358=0)),"",(IF(E358=1,30,IF(E358=2,20,IF(E358=3,10,IF(E358&lt;&gt;"",1,0))))+IF(F358=1,30,IF(F358=2,20,IF(F358=3,10,IF(F358&lt;&gt;"",1,0))))+IF(G358=1,30,IF(G358=2,20,IF(G358=3,10,IF(G358&lt;&gt;"",1,0))))+IF(H358=1,30,IF(H358=2,20,IF(H358=3,10,IF(H358&lt;&gt;"",1,0))))))</f>
        <v/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14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>
        <f>IF(AND(C359="",OR(E359="",E359=0)),"",(IF(E359=1,30,IF(E359=2,20,IF(E359=3,10,IF(E359&lt;&gt;"",1,0))))+IF(F359=1,30,IF(F359=2,20,IF(F359=3,10,IF(F359&lt;&gt;"",1,0))))+IF(G359=1,30,IF(G359=2,20,IF(G359=3,10,IF(G359&lt;&gt;"",1,0))))+IF(H359=1,30,IF(H359=2,20,IF(H359=3,10,IF(H359&lt;&gt;"",1,0))))))</f>
        <v/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14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>
        <f>IF(AND(C360="",OR(E360="",E360=0)),"",(IF(E360=1,30,IF(E360=2,20,IF(E360=3,10,IF(E360&lt;&gt;"",1,0))))+IF(F360=1,30,IF(F360=2,20,IF(F360=3,10,IF(F360&lt;&gt;"",1,0))))+IF(G360=1,30,IF(G360=2,20,IF(G360=3,10,IF(G360&lt;&gt;"",1,0))))+IF(H360=1,30,IF(H360=2,20,IF(H360=3,10,IF(H360&lt;&gt;"",1,0)))))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14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>
        <f>IF(AND(C361="",OR(E361="",E361=0)),"",(IF(E361=1,30,IF(E361=2,20,IF(E361=3,10,IF(E361&lt;&gt;"",1,0))))+IF(F361=1,30,IF(F361=2,20,IF(F361=3,10,IF(F361&lt;&gt;"",1,0))))+IF(G361=1,30,IF(G361=2,20,IF(G361=3,10,IF(G361&lt;&gt;"",1,0))))+IF(H361=1,30,IF(H361=2,20,IF(H361=3,10,IF(H361&lt;&gt;"",1,0))))))</f>
        <v/>
      </c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14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>
        <f>IF(AND(C362="",OR(E362="",E362=0)),"",(IF(E362=1,30,IF(E362=2,20,IF(E362=3,10,IF(E362&lt;&gt;"",1,0))))+IF(F362=1,30,IF(F362=2,20,IF(F362=3,10,IF(F362&lt;&gt;"",1,0))))+IF(G362=1,30,IF(G362=2,20,IF(G362=3,10,IF(G362&lt;&gt;"",1,0))))+IF(H362=1,30,IF(H362=2,20,IF(H362=3,10,IF(H362&lt;&gt;"",1,0))))))</f>
        <v/>
      </c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14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>
        <f>IF(AND(C363="",OR(E363="",E363=0)),"",(IF(E363=1,30,IF(E363=2,20,IF(E363=3,10,IF(E363&lt;&gt;"",1,0))))+IF(F363=1,30,IF(F363=2,20,IF(F363=3,10,IF(F363&lt;&gt;"",1,0))))+IF(G363=1,30,IF(G363=2,20,IF(G363=3,10,IF(G363&lt;&gt;"",1,0))))+IF(H363=1,30,IF(H363=2,20,IF(H363=3,10,IF(H363&lt;&gt;"",1,0))))))</f>
        <v/>
      </c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14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>
        <f>IF(AND(C364="",OR(E364="",E364=0)),"",(IF(E364=1,30,IF(E364=2,20,IF(E364=3,10,IF(E364&lt;&gt;"",1,0))))+IF(F364=1,30,IF(F364=2,20,IF(F364=3,10,IF(F364&lt;&gt;"",1,0))))+IF(G364=1,30,IF(G364=2,20,IF(G364=3,10,IF(G364&lt;&gt;"",1,0))))+IF(H364=1,30,IF(H364=2,20,IF(H364=3,10,IF(H364&lt;&gt;"",1,0))))))</f>
        <v/>
      </c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14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>
        <f>IF(AND(C365="",OR(E365="",E365=0)),"",(IF(E365=1,30,IF(E365=2,20,IF(E365=3,10,IF(E365&lt;&gt;"",1,0))))+IF(F365=1,30,IF(F365=2,20,IF(F365=3,10,IF(F365&lt;&gt;"",1,0))))+IF(G365=1,30,IF(G365=2,20,IF(G365=3,10,IF(G365&lt;&gt;"",1,0))))+IF(H365=1,30,IF(H365=2,20,IF(H365=3,10,IF(H365&lt;&gt;"",1,0)))))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14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>
        <f>IF(AND(C366="",OR(E366="",E366=0)),"",(IF(E366=1,30,IF(E366=2,20,IF(E366=3,10,IF(E366&lt;&gt;"",1,0))))+IF(F366=1,30,IF(F366=2,20,IF(F366=3,10,IF(F366&lt;&gt;"",1,0))))+IF(G366=1,30,IF(G366=2,20,IF(G366=3,10,IF(G366&lt;&gt;"",1,0))))+IF(H366=1,30,IF(H366=2,20,IF(H366=3,10,IF(H366&lt;&gt;"",1,0))))))</f>
        <v/>
      </c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14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>
        <f>IF(AND(C367="",OR(E367="",E367=0)),"",(IF(E367=1,30,IF(E367=2,20,IF(E367=3,10,IF(E367&lt;&gt;"",1,0))))+IF(F367=1,30,IF(F367=2,20,IF(F367=3,10,IF(F367&lt;&gt;"",1,0))))+IF(G367=1,30,IF(G367=2,20,IF(G367=3,10,IF(G367&lt;&gt;"",1,0))))+IF(H367=1,30,IF(H367=2,20,IF(H367=3,10,IF(H367&lt;&gt;"",1,0))))))</f>
        <v/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14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>
        <f>IF(AND(C368="",OR(E368="",E368=0)),"",(IF(E368=1,30,IF(E368=2,20,IF(E368=3,10,IF(E368&lt;&gt;"",1,0))))+IF(F368=1,30,IF(F368=2,20,IF(F368=3,10,IF(F368&lt;&gt;"",1,0))))+IF(G368=1,30,IF(G368=2,20,IF(G368=3,10,IF(G368&lt;&gt;"",1,0))))+IF(H368=1,30,IF(H368=2,20,IF(H368=3,10,IF(H368&lt;&gt;"",1,0))))))</f>
        <v/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14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>
        <f>IF(AND(C369="",OR(E369="",E369=0)),"",(IF(E369=1,30,IF(E369=2,20,IF(E369=3,10,IF(E369&lt;&gt;"",1,0))))+IF(F369=1,30,IF(F369=2,20,IF(F369=3,10,IF(F369&lt;&gt;"",1,0))))+IF(G369=1,30,IF(G369=2,20,IF(G369=3,10,IF(G369&lt;&gt;"",1,0))))+IF(H369=1,30,IF(H369=2,20,IF(H369=3,10,IF(H369&lt;&gt;"",1,0)))))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14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>
        <f>IF(AND(C370="",OR(E370="",E370=0)),"",(IF(E370=1,30,IF(E370=2,20,IF(E370=3,10,IF(E370&lt;&gt;"",1,0))))+IF(F370=1,30,IF(F370=2,20,IF(F370=3,10,IF(F370&lt;&gt;"",1,0))))+IF(G370=1,30,IF(G370=2,20,IF(G370=3,10,IF(G370&lt;&gt;"",1,0))))+IF(H370=1,30,IF(H370=2,20,IF(H370=3,10,IF(H370&lt;&gt;"",1,0))))))</f>
        <v/>
      </c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14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>
        <f>IF(AND(C371="",OR(E371="",E371=0)),"",(IF(E371=1,30,IF(E371=2,20,IF(E371=3,10,IF(E371&lt;&gt;"",1,0))))+IF(F371=1,30,IF(F371=2,20,IF(F371=3,10,IF(F371&lt;&gt;"",1,0))))+IF(G371=1,30,IF(G371=2,20,IF(G371=3,10,IF(G371&lt;&gt;"",1,0))))+IF(H371=1,30,IF(H371=2,20,IF(H371=3,10,IF(H371&lt;&gt;"",1,0))))))</f>
        <v/>
      </c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14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>
        <f>IF(AND(C372="",OR(E372="",E372=0)),"",(IF(E372=1,30,IF(E372=2,20,IF(E372=3,10,IF(E372&lt;&gt;"",1,0))))+IF(F372=1,30,IF(F372=2,20,IF(F372=3,10,IF(F372&lt;&gt;"",1,0))))+IF(G372=1,30,IF(G372=2,20,IF(G372=3,10,IF(G372&lt;&gt;"",1,0))))+IF(H372=1,30,IF(H372=2,20,IF(H372=3,10,IF(H372&lt;&gt;"",1,0))))))</f>
        <v/>
      </c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14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>
        <f>IF(AND(C373="",OR(E373="",E373=0)),"",(IF(E373=1,30,IF(E373=2,20,IF(E373=3,10,IF(E373&lt;&gt;"",1,0))))+IF(F373=1,30,IF(F373=2,20,IF(F373=3,10,IF(F373&lt;&gt;"",1,0))))+IF(G373=1,30,IF(G373=2,20,IF(G373=3,10,IF(G373&lt;&gt;"",1,0))))+IF(H373=1,30,IF(H373=2,20,IF(H373=3,10,IF(H373&lt;&gt;"",1,0))))))</f>
        <v/>
      </c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14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>
        <f>IF(AND(C374="",OR(E374="",E374=0)),"",(IF(E374=1,30,IF(E374=2,20,IF(E374=3,10,IF(E374&lt;&gt;"",1,0))))+IF(F374=1,30,IF(F374=2,20,IF(F374=3,10,IF(F374&lt;&gt;"",1,0))))+IF(G374=1,30,IF(G374=2,20,IF(G374=3,10,IF(G374&lt;&gt;"",1,0))))+IF(H374=1,30,IF(H374=2,20,IF(H374=3,10,IF(H374&lt;&gt;"",1,0)))))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14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>
        <f>IF(AND(C375="",OR(E375="",E375=0)),"",(IF(E375=1,30,IF(E375=2,20,IF(E375=3,10,IF(E375&lt;&gt;"",1,0))))+IF(F375=1,30,IF(F375=2,20,IF(F375=3,10,IF(F375&lt;&gt;"",1,0))))+IF(G375=1,30,IF(G375=2,20,IF(G375=3,10,IF(G375&lt;&gt;"",1,0))))+IF(H375=1,30,IF(H375=2,20,IF(H375=3,10,IF(H375&lt;&gt;"",1,0))))))</f>
        <v/>
      </c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14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>
        <f>IF(AND(C376="",OR(E376="",E376=0)),"",(IF(E376=1,30,IF(E376=2,20,IF(E376=3,10,IF(E376&lt;&gt;"",1,0))))+IF(F376=1,30,IF(F376=2,20,IF(F376=3,10,IF(F376&lt;&gt;"",1,0))))+IF(G376=1,30,IF(G376=2,20,IF(G376=3,10,IF(G376&lt;&gt;"",1,0))))+IF(H376=1,30,IF(H376=2,20,IF(H376=3,10,IF(H376&lt;&gt;"",1,0))))))</f>
        <v/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14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>
        <f>IF(AND(C377="",OR(E377="",E377=0)),"",(IF(E377=1,30,IF(E377=2,20,IF(E377=3,10,IF(E377&lt;&gt;"",1,0))))+IF(F377=1,30,IF(F377=2,20,IF(F377=3,10,IF(F377&lt;&gt;"",1,0))))+IF(G377=1,30,IF(G377=2,20,IF(G377=3,10,IF(G377&lt;&gt;"",1,0))))+IF(H377=1,30,IF(H377=2,20,IF(H377=3,10,IF(H377&lt;&gt;"",1,0))))))</f>
        <v/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14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>
        <f>IF(AND(C378="",OR(E378="",E378=0)),"",(IF(E378=1,30,IF(E378=2,20,IF(E378=3,10,IF(E378&lt;&gt;"",1,0))))+IF(F378=1,30,IF(F378=2,20,IF(F378=3,10,IF(F378&lt;&gt;"",1,0))))+IF(G378=1,30,IF(G378=2,20,IF(G378=3,10,IF(G378&lt;&gt;"",1,0))))+IF(H378=1,30,IF(H378=2,20,IF(H378=3,10,IF(H378&lt;&gt;"",1,0)))))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14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>
        <f>IF(AND(C379="",OR(E379="",E379=0)),"",(IF(E379=1,30,IF(E379=2,20,IF(E379=3,10,IF(E379&lt;&gt;"",1,0))))+IF(F379=1,30,IF(F379=2,20,IF(F379=3,10,IF(F379&lt;&gt;"",1,0))))+IF(G379=1,30,IF(G379=2,20,IF(G379=3,10,IF(G379&lt;&gt;"",1,0))))+IF(H379=1,30,IF(H379=2,20,IF(H379=3,10,IF(H379&lt;&gt;"",1,0))))))</f>
        <v/>
      </c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14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>
        <f>IF(AND(C380="",OR(E380="",E380=0)),"",(IF(E380=1,30,IF(E380=2,20,IF(E380=3,10,IF(E380&lt;&gt;"",1,0))))+IF(F380=1,30,IF(F380=2,20,IF(F380=3,10,IF(F380&lt;&gt;"",1,0))))+IF(G380=1,30,IF(G380=2,20,IF(G380=3,10,IF(G380&lt;&gt;"",1,0))))+IF(H380=1,30,IF(H380=2,20,IF(H380=3,10,IF(H380&lt;&gt;"",1,0))))))</f>
        <v/>
      </c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14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>
        <f>IF(AND(C381="",OR(E381="",E381=0)),"",(IF(E381=1,30,IF(E381=2,20,IF(E381=3,10,IF(E381&lt;&gt;"",1,0))))+IF(F381=1,30,IF(F381=2,20,IF(F381=3,10,IF(F381&lt;&gt;"",1,0))))+IF(G381=1,30,IF(G381=2,20,IF(G381=3,10,IF(G381&lt;&gt;"",1,0))))+IF(H381=1,30,IF(H381=2,20,IF(H381=3,10,IF(H381&lt;&gt;"",1,0))))))</f>
        <v/>
      </c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14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>
        <f>IF(AND(C382="",OR(E382="",E382=0)),"",(IF(E382=1,30,IF(E382=2,20,IF(E382=3,10,IF(E382&lt;&gt;"",1,0))))+IF(F382=1,30,IF(F382=2,20,IF(F382=3,10,IF(F382&lt;&gt;"",1,0))))+IF(G382=1,30,IF(G382=2,20,IF(G382=3,10,IF(G382&lt;&gt;"",1,0))))+IF(H382=1,30,IF(H382=2,20,IF(H382=3,10,IF(H382&lt;&gt;"",1,0))))))</f>
        <v/>
      </c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14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>
        <f>IF(AND(C383="",OR(E383="",E383=0)),"",(IF(E383=1,30,IF(E383=2,20,IF(E383=3,10,IF(E383&lt;&gt;"",1,0))))+IF(F383=1,30,IF(F383=2,20,IF(F383=3,10,IF(F383&lt;&gt;"",1,0))))+IF(G383=1,30,IF(G383=2,20,IF(G383=3,10,IF(G383&lt;&gt;"",1,0))))+IF(H383=1,30,IF(H383=2,20,IF(H383=3,10,IF(H383&lt;&gt;"",1,0)))))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14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>
        <f>IF(AND(C384="",OR(E384="",E384=0)),"",(IF(E384=1,30,IF(E384=2,20,IF(E384=3,10,IF(E384&lt;&gt;"",1,0))))+IF(F384=1,30,IF(F384=2,20,IF(F384=3,10,IF(F384&lt;&gt;"",1,0))))+IF(G384=1,30,IF(G384=2,20,IF(G384=3,10,IF(G384&lt;&gt;"",1,0))))+IF(H384=1,30,IF(H384=2,20,IF(H384=3,10,IF(H384&lt;&gt;"",1,0))))))</f>
        <v/>
      </c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14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>
        <f>IF(AND(C385="",OR(E385="",E385=0)),"",(IF(E385=1,30,IF(E385=2,20,IF(E385=3,10,IF(E385&lt;&gt;"",1,0))))+IF(F385=1,30,IF(F385=2,20,IF(F385=3,10,IF(F385&lt;&gt;"",1,0))))+IF(G385=1,30,IF(G385=2,20,IF(G385=3,10,IF(G385&lt;&gt;"",1,0))))+IF(H385=1,30,IF(H385=2,20,IF(H385=3,10,IF(H385&lt;&gt;"",1,0))))))</f>
        <v/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14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>
        <f>IF(AND(C386="",OR(E386="",E386=0)),"",(IF(E386=1,30,IF(E386=2,20,IF(E386=3,10,IF(E386&lt;&gt;"",1,0))))+IF(F386=1,30,IF(F386=2,20,IF(F386=3,10,IF(F386&lt;&gt;"",1,0))))+IF(G386=1,30,IF(G386=2,20,IF(G386=3,10,IF(G386&lt;&gt;"",1,0))))+IF(H386=1,30,IF(H386=2,20,IF(H386=3,10,IF(H386&lt;&gt;"",1,0))))))</f>
        <v/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14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>
        <f>IF(AND(C387="",OR(E387="",E387=0)),"",(IF(E387=1,30,IF(E387=2,20,IF(E387=3,10,IF(E387&lt;&gt;"",1,0))))+IF(F387=1,30,IF(F387=2,20,IF(F387=3,10,IF(F387&lt;&gt;"",1,0))))+IF(G387=1,30,IF(G387=2,20,IF(G387=3,10,IF(G387&lt;&gt;"",1,0))))+IF(H387=1,30,IF(H387=2,20,IF(H387=3,10,IF(H387&lt;&gt;"",1,0)))))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14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>
        <f>IF(AND(C388="",OR(E388="",E388=0)),"",(IF(E388=1,30,IF(E388=2,20,IF(E388=3,10,IF(E388&lt;&gt;"",1,0))))+IF(F388=1,30,IF(F388=2,20,IF(F388=3,10,IF(F388&lt;&gt;"",1,0))))+IF(G388=1,30,IF(G388=2,20,IF(G388=3,10,IF(G388&lt;&gt;"",1,0))))+IF(H388=1,30,IF(H388=2,20,IF(H388=3,10,IF(H388&lt;&gt;"",1,0))))))</f>
        <v/>
      </c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14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>
        <f>IF(AND(C389="",OR(E389="",E389=0)),"",(IF(E389=1,30,IF(E389=2,20,IF(E389=3,10,IF(E389&lt;&gt;"",1,0))))+IF(F389=1,30,IF(F389=2,20,IF(F389=3,10,IF(F389&lt;&gt;"",1,0))))+IF(G389=1,30,IF(G389=2,20,IF(G389=3,10,IF(G389&lt;&gt;"",1,0))))+IF(H389=1,30,IF(H389=2,20,IF(H389=3,10,IF(H389&lt;&gt;"",1,0))))))</f>
        <v/>
      </c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14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>
        <f>IF(AND(C390="",OR(E390="",E390=0)),"",(IF(E390=1,30,IF(E390=2,20,IF(E390=3,10,IF(E390&lt;&gt;"",1,0))))+IF(F390=1,30,IF(F390=2,20,IF(F390=3,10,IF(F390&lt;&gt;"",1,0))))+IF(G390=1,30,IF(G390=2,20,IF(G390=3,10,IF(G390&lt;&gt;"",1,0))))+IF(H390=1,30,IF(H390=2,20,IF(H390=3,10,IF(H390&lt;&gt;"",1,0))))))</f>
        <v/>
      </c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14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>
        <f>IF(AND(C391="",OR(E391="",E391=0)),"",(IF(E391=1,30,IF(E391=2,20,IF(E391=3,10,IF(E391&lt;&gt;"",1,0))))+IF(F391=1,30,IF(F391=2,20,IF(F391=3,10,IF(F391&lt;&gt;"",1,0))))+IF(G391=1,30,IF(G391=2,20,IF(G391=3,10,IF(G391&lt;&gt;"",1,0))))+IF(H391=1,30,IF(H391=2,20,IF(H391=3,10,IF(H391&lt;&gt;"",1,0))))))</f>
        <v/>
      </c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14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>
        <f>IF(AND(C392="",OR(E392="",E392=0)),"",(IF(E392=1,30,IF(E392=2,20,IF(E392=3,10,IF(E392&lt;&gt;"",1,0))))+IF(F392=1,30,IF(F392=2,20,IF(F392=3,10,IF(F392&lt;&gt;"",1,0))))+IF(G392=1,30,IF(G392=2,20,IF(G392=3,10,IF(G392&lt;&gt;"",1,0))))+IF(H392=1,30,IF(H392=2,20,IF(H392=3,10,IF(H392&lt;&gt;"",1,0)))))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14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>
        <f>IF(AND(C393="",OR(E393="",E393=0)),"",(IF(E393=1,30,IF(E393=2,20,IF(E393=3,10,IF(E393&lt;&gt;"",1,0))))+IF(F393=1,30,IF(F393=2,20,IF(F393=3,10,IF(F393&lt;&gt;"",1,0))))+IF(G393=1,30,IF(G393=2,20,IF(G393=3,10,IF(G393&lt;&gt;"",1,0))))+IF(H393=1,30,IF(H393=2,20,IF(H393=3,10,IF(H393&lt;&gt;"",1,0))))))</f>
        <v/>
      </c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14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>
        <f>IF(AND(C394="",OR(E394="",E394=0)),"",(IF(E394=1,30,IF(E394=2,20,IF(E394=3,10,IF(E394&lt;&gt;"",1,0))))+IF(F394=1,30,IF(F394=2,20,IF(F394=3,10,IF(F394&lt;&gt;"",1,0))))+IF(G394=1,30,IF(G394=2,20,IF(G394=3,10,IF(G394&lt;&gt;"",1,0))))+IF(H394=1,30,IF(H394=2,20,IF(H394=3,10,IF(H394&lt;&gt;"",1,0))))))</f>
        <v/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14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>
        <f>IF(AND(C395="",OR(E395="",E395=0)),"",(IF(E395=1,30,IF(E395=2,20,IF(E395=3,10,IF(E395&lt;&gt;"",1,0))))+IF(F395=1,30,IF(F395=2,20,IF(F395=3,10,IF(F395&lt;&gt;"",1,0))))+IF(G395=1,30,IF(G395=2,20,IF(G395=3,10,IF(G395&lt;&gt;"",1,0))))+IF(H395=1,30,IF(H395=2,20,IF(H395=3,10,IF(H395&lt;&gt;"",1,0))))))</f>
        <v/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14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>
        <f>IF(AND(C396="",OR(E396="",E396=0)),"",(IF(E396=1,30,IF(E396=2,20,IF(E396=3,10,IF(E396&lt;&gt;"",1,0))))+IF(F396=1,30,IF(F396=2,20,IF(F396=3,10,IF(F396&lt;&gt;"",1,0))))+IF(G396=1,30,IF(G396=2,20,IF(G396=3,10,IF(G396&lt;&gt;"",1,0))))+IF(H396=1,30,IF(H396=2,20,IF(H396=3,10,IF(H396&lt;&gt;"",1,0)))))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14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>
        <f>IF(AND(C397="",OR(E397="",E397=0)),"",(IF(E397=1,30,IF(E397=2,20,IF(E397=3,10,IF(E397&lt;&gt;"",1,0))))+IF(F397=1,30,IF(F397=2,20,IF(F397=3,10,IF(F397&lt;&gt;"",1,0))))+IF(G397=1,30,IF(G397=2,20,IF(G397=3,10,IF(G397&lt;&gt;"",1,0))))+IF(H397=1,30,IF(H397=2,20,IF(H397=3,10,IF(H397&lt;&gt;"",1,0))))))</f>
        <v/>
      </c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14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>
        <f>IF(AND(C398="",OR(E398="",E398=0)),"",(IF(E398=1,30,IF(E398=2,20,IF(E398=3,10,IF(E398&lt;&gt;"",1,0))))+IF(F398=1,30,IF(F398=2,20,IF(F398=3,10,IF(F398&lt;&gt;"",1,0))))+IF(G398=1,30,IF(G398=2,20,IF(G398=3,10,IF(G398&lt;&gt;"",1,0))))+IF(H398=1,30,IF(H398=2,20,IF(H398=3,10,IF(H398&lt;&gt;"",1,0))))))</f>
        <v/>
      </c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14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>
        <f>IF(AND(C399="",OR(E399="",E399=0)),"",(IF(E399=1,30,IF(E399=2,20,IF(E399=3,10,IF(E399&lt;&gt;"",1,0))))+IF(F399=1,30,IF(F399=2,20,IF(F399=3,10,IF(F399&lt;&gt;"",1,0))))+IF(G399=1,30,IF(G399=2,20,IF(G399=3,10,IF(G399&lt;&gt;"",1,0))))+IF(H399=1,30,IF(H399=2,20,IF(H399=3,10,IF(H399&lt;&gt;"",1,0))))))</f>
        <v/>
      </c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14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>
        <f>IF(AND(C400="",OR(E400="",E400=0)),"",(IF(E400=1,30,IF(E400=2,20,IF(E400=3,10,IF(E400&lt;&gt;"",1,0))))+IF(F400=1,30,IF(F400=2,20,IF(F400=3,10,IF(F400&lt;&gt;"",1,0))))+IF(G400=1,30,IF(G400=2,20,IF(G400=3,10,IF(G400&lt;&gt;"",1,0))))+IF(H400=1,30,IF(H400=2,20,IF(H400=3,10,IF(H400&lt;&gt;"",1,0))))))</f>
        <v/>
      </c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14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>
        <f>IF(AND(C401="",OR(E401="",E401=0)),"",(IF(E401=1,30,IF(E401=2,20,IF(E401=3,10,IF(E401&lt;&gt;"",1,0))))+IF(F401=1,30,IF(F401=2,20,IF(F401=3,10,IF(F401&lt;&gt;"",1,0))))+IF(G401=1,30,IF(G401=2,20,IF(G401=3,10,IF(G401&lt;&gt;"",1,0))))+IF(H401=1,30,IF(H401=2,20,IF(H401=3,10,IF(H401&lt;&gt;"",1,0)))))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14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>
        <f>IF(AND(C402="",OR(E402="",E402=0)),"",(IF(E402=1,30,IF(E402=2,20,IF(E402=3,10,IF(E402&lt;&gt;"",1,0))))+IF(F402=1,30,IF(F402=2,20,IF(F402=3,10,IF(F402&lt;&gt;"",1,0))))+IF(G402=1,30,IF(G402=2,20,IF(G402=3,10,IF(G402&lt;&gt;"",1,0))))+IF(H402=1,30,IF(H402=2,20,IF(H402=3,10,IF(H402&lt;&gt;"",1,0))))))</f>
        <v/>
      </c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14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>
        <f>IF(AND(C403="",OR(E403="",E403=0)),"",(IF(E403=1,30,IF(E403=2,20,IF(E403=3,10,IF(E403&lt;&gt;"",1,0))))+IF(F403=1,30,IF(F403=2,20,IF(F403=3,10,IF(F403&lt;&gt;"",1,0))))+IF(G403=1,30,IF(G403=2,20,IF(G403=3,10,IF(G403&lt;&gt;"",1,0))))+IF(H403=1,30,IF(H403=2,20,IF(H403=3,10,IF(H403&lt;&gt;"",1,0))))))</f>
        <v/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14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>
        <f>IF(AND(C404="",OR(E404="",E404=0)),"",(IF(E404=1,30,IF(E404=2,20,IF(E404=3,10,IF(E404&lt;&gt;"",1,0))))+IF(F404=1,30,IF(F404=2,20,IF(F404=3,10,IF(F404&lt;&gt;"",1,0))))+IF(G404=1,30,IF(G404=2,20,IF(G404=3,10,IF(G404&lt;&gt;"",1,0))))+IF(H404=1,30,IF(H404=2,20,IF(H404=3,10,IF(H404&lt;&gt;"",1,0))))))</f>
        <v/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14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>
        <f>IF(AND(C405="",OR(E405="",E405=0)),"",(IF(E405=1,30,IF(E405=2,20,IF(E405=3,10,IF(E405&lt;&gt;"",1,0))))+IF(F405=1,30,IF(F405=2,20,IF(F405=3,10,IF(F405&lt;&gt;"",1,0))))+IF(G405=1,30,IF(G405=2,20,IF(G405=3,10,IF(G405&lt;&gt;"",1,0))))+IF(H405=1,30,IF(H405=2,20,IF(H405=3,10,IF(H405&lt;&gt;"",1,0)))))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14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>
        <f>IF(AND(C406="",OR(E406="",E406=0)),"",(IF(E406=1,30,IF(E406=2,20,IF(E406=3,10,IF(E406&lt;&gt;"",1,0))))+IF(F406=1,30,IF(F406=2,20,IF(F406=3,10,IF(F406&lt;&gt;"",1,0))))+IF(G406=1,30,IF(G406=2,20,IF(G406=3,10,IF(G406&lt;&gt;"",1,0))))+IF(H406=1,30,IF(H406=2,20,IF(H406=3,10,IF(H406&lt;&gt;"",1,0)))))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14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>
        <f>IF(AND(C407="",OR(E407="",E407=0)),"",(IF(E407=1,30,IF(E407=2,20,IF(E407=3,10,IF(E407&lt;&gt;"",1,0))))+IF(F407=1,30,IF(F407=2,20,IF(F407=3,10,IF(F407&lt;&gt;"",1,0))))+IF(G407=1,30,IF(G407=2,20,IF(G407=3,10,IF(G407&lt;&gt;"",1,0))))+IF(H407=1,30,IF(H407=2,20,IF(H407=3,10,IF(H407&lt;&gt;"",1,0))))))</f>
        <v/>
      </c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14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>
        <f>IF(AND(C408="",OR(E408="",E408=0)),"",(IF(E408=1,30,IF(E408=2,20,IF(E408=3,10,IF(E408&lt;&gt;"",1,0))))+IF(F408=1,30,IF(F408=2,20,IF(F408=3,10,IF(F408&lt;&gt;"",1,0))))+IF(G408=1,30,IF(G408=2,20,IF(G408=3,10,IF(G408&lt;&gt;"",1,0))))+IF(H408=1,30,IF(H408=2,20,IF(H408=3,10,IF(H408&lt;&gt;"",1,0))))))</f>
        <v/>
      </c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14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>
        <f>IF(AND(C409="",OR(E409="",E409=0)),"",(IF(E409=1,30,IF(E409=2,20,IF(E409=3,10,IF(E409&lt;&gt;"",1,0))))+IF(F409=1,30,IF(F409=2,20,IF(F409=3,10,IF(F409&lt;&gt;"",1,0))))+IF(G409=1,30,IF(G409=2,20,IF(G409=3,10,IF(G409&lt;&gt;"",1,0))))+IF(H409=1,30,IF(H409=2,20,IF(H409=3,10,IF(H409&lt;&gt;"",1,0))))))</f>
        <v/>
      </c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14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>
        <f>IF(AND(C410="",OR(E410="",E410=0)),"",(IF(E410=1,30,IF(E410=2,20,IF(E410=3,10,IF(E410&lt;&gt;"",1,0))))+IF(F410=1,30,IF(F410=2,20,IF(F410=3,10,IF(F410&lt;&gt;"",1,0))))+IF(G410=1,30,IF(G410=2,20,IF(G410=3,10,IF(G410&lt;&gt;"",1,0))))+IF(H410=1,30,IF(H410=2,20,IF(H410=3,10,IF(H410&lt;&gt;"",1,0)))))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14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>
        <f>IF(AND(C411="",OR(E411="",E411=0)),"",(IF(E411=1,30,IF(E411=2,20,IF(E411=3,10,IF(E411&lt;&gt;"",1,0))))+IF(F411=1,30,IF(F411=2,20,IF(F411=3,10,IF(F411&lt;&gt;"",1,0))))+IF(G411=1,30,IF(G411=2,20,IF(G411=3,10,IF(G411&lt;&gt;"",1,0))))+IF(H411=1,30,IF(H411=2,20,IF(H411=3,10,IF(H411&lt;&gt;"",1,0))))))</f>
        <v/>
      </c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14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>
        <f>IF(AND(C412="",OR(E412="",E412=0)),"",(IF(E412=1,30,IF(E412=2,20,IF(E412=3,10,IF(E412&lt;&gt;"",1,0))))+IF(F412=1,30,IF(F412=2,20,IF(F412=3,10,IF(F412&lt;&gt;"",1,0))))+IF(G412=1,30,IF(G412=2,20,IF(G412=3,10,IF(G412&lt;&gt;"",1,0))))+IF(H412=1,30,IF(H412=2,20,IF(H412=3,10,IF(H412&lt;&gt;"",1,0))))))</f>
        <v/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14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>
        <f>IF(AND(C413="",OR(E413="",E413=0)),"",(IF(E413=1,30,IF(E413=2,20,IF(E413=3,10,IF(E413&lt;&gt;"",1,0))))+IF(F413=1,30,IF(F413=2,20,IF(F413=3,10,IF(F413&lt;&gt;"",1,0))))+IF(G413=1,30,IF(G413=2,20,IF(G413=3,10,IF(G413&lt;&gt;"",1,0))))+IF(H413=1,30,IF(H413=2,20,IF(H413=3,10,IF(H413&lt;&gt;"",1,0))))))</f>
        <v/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14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>
        <f>IF(AND(C414="",OR(E414="",E414=0)),"",(IF(E414=1,30,IF(E414=2,20,IF(E414=3,10,IF(E414&lt;&gt;"",1,0))))+IF(F414=1,30,IF(F414=2,20,IF(F414=3,10,IF(F414&lt;&gt;"",1,0))))+IF(G414=1,30,IF(G414=2,20,IF(G414=3,10,IF(G414&lt;&gt;"",1,0))))+IF(H414=1,30,IF(H414=2,20,IF(H414=3,10,IF(H414&lt;&gt;"",1,0)))))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14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>
        <f>IF(AND(C415="",OR(E415="",E415=0)),"",(IF(E415=1,30,IF(E415=2,20,IF(E415=3,10,IF(E415&lt;&gt;"",1,0))))+IF(F415=1,30,IF(F415=2,20,IF(F415=3,10,IF(F415&lt;&gt;"",1,0))))+IF(G415=1,30,IF(G415=2,20,IF(G415=3,10,IF(G415&lt;&gt;"",1,0))))+IF(H415=1,30,IF(H415=2,20,IF(H415=3,10,IF(H415&lt;&gt;"",1,0))))))</f>
        <v/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14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>
        <f>IF(AND(C416="",OR(E416="",E416=0)),"",(IF(E416=1,30,IF(E416=2,20,IF(E416=3,10,IF(E416&lt;&gt;"",1,0))))+IF(F416=1,30,IF(F416=2,20,IF(F416=3,10,IF(F416&lt;&gt;"",1,0))))+IF(G416=1,30,IF(G416=2,20,IF(G416=3,10,IF(G416&lt;&gt;"",1,0))))+IF(H416=1,30,IF(H416=2,20,IF(H416=3,10,IF(H416&lt;&gt;"",1,0))))))</f>
        <v/>
      </c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14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>
        <f>IF(AND(C417="",OR(E417="",E417=0)),"",(IF(E417=1,30,IF(E417=2,20,IF(E417=3,10,IF(E417&lt;&gt;"",1,0))))+IF(F417=1,30,IF(F417=2,20,IF(F417=3,10,IF(F417&lt;&gt;"",1,0))))+IF(G417=1,30,IF(G417=2,20,IF(G417=3,10,IF(G417&lt;&gt;"",1,0))))+IF(H417=1,30,IF(H417=2,20,IF(H417=3,10,IF(H417&lt;&gt;"",1,0))))))</f>
        <v/>
      </c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14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>
        <f>IF(AND(C418="",OR(E418="",E418=0)),"",(IF(E418=1,30,IF(E418=2,20,IF(E418=3,10,IF(E418&lt;&gt;"",1,0))))+IF(F418=1,30,IF(F418=2,20,IF(F418=3,10,IF(F418&lt;&gt;"",1,0))))+IF(G418=1,30,IF(G418=2,20,IF(G418=3,10,IF(G418&lt;&gt;"",1,0))))+IF(H418=1,30,IF(H418=2,20,IF(H418=3,10,IF(H418&lt;&gt;"",1,0))))))</f>
        <v/>
      </c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14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>
        <f>IF(AND(C419="",OR(E419="",E419=0)),"",(IF(E419=1,30,IF(E419=2,20,IF(E419=3,10,IF(E419&lt;&gt;"",1,0))))+IF(F419=1,30,IF(F419=2,20,IF(F419=3,10,IF(F419&lt;&gt;"",1,0))))+IF(G419=1,30,IF(G419=2,20,IF(G419=3,10,IF(G419&lt;&gt;"",1,0))))+IF(H419=1,30,IF(H419=2,20,IF(H419=3,10,IF(H419&lt;&gt;"",1,0)))))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14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>
        <f>IF(AND(C420="",OR(E420="",E420=0)),"",(IF(E420=1,30,IF(E420=2,20,IF(E420=3,10,IF(E420&lt;&gt;"",1,0))))+IF(F420=1,30,IF(F420=2,20,IF(F420=3,10,IF(F420&lt;&gt;"",1,0))))+IF(G420=1,30,IF(G420=2,20,IF(G420=3,10,IF(G420&lt;&gt;"",1,0))))+IF(H420=1,30,IF(H420=2,20,IF(H420=3,10,IF(H420&lt;&gt;"",1,0))))))</f>
        <v/>
      </c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14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>
        <f>IF(AND(C421="",OR(E421="",E421=0)),"",(IF(E421=1,30,IF(E421=2,20,IF(E421=3,10,IF(E421&lt;&gt;"",1,0))))+IF(F421=1,30,IF(F421=2,20,IF(F421=3,10,IF(F421&lt;&gt;"",1,0))))+IF(G421=1,30,IF(G421=2,20,IF(G421=3,10,IF(G421&lt;&gt;"",1,0))))+IF(H421=1,30,IF(H421=2,20,IF(H421=3,10,IF(H421&lt;&gt;"",1,0))))))</f>
        <v/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14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>
        <f>IF(AND(C422="",OR(E422="",E422=0)),"",(IF(E422=1,30,IF(E422=2,20,IF(E422=3,10,IF(E422&lt;&gt;"",1,0))))+IF(F422=1,30,IF(F422=2,20,IF(F422=3,10,IF(F422&lt;&gt;"",1,0))))+IF(G422=1,30,IF(G422=2,20,IF(G422=3,10,IF(G422&lt;&gt;"",1,0))))+IF(H422=1,30,IF(H422=2,20,IF(H422=3,10,IF(H422&lt;&gt;"",1,0))))))</f>
        <v/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14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>
        <f>IF(AND(C423="",OR(E423="",E423=0)),"",(IF(E423=1,30,IF(E423=2,20,IF(E423=3,10,IF(E423&lt;&gt;"",1,0))))+IF(F423=1,30,IF(F423=2,20,IF(F423=3,10,IF(F423&lt;&gt;"",1,0))))+IF(G423=1,30,IF(G423=2,20,IF(G423=3,10,IF(G423&lt;&gt;"",1,0))))+IF(H423=1,30,IF(H423=2,20,IF(H423=3,10,IF(H423&lt;&gt;"",1,0)))))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14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>
        <f>IF(AND(C424="",OR(E424="",E424=0)),"",(IF(E424=1,30,IF(E424=2,20,IF(E424=3,10,IF(E424&lt;&gt;"",1,0))))+IF(F424=1,30,IF(F424=2,20,IF(F424=3,10,IF(F424&lt;&gt;"",1,0))))+IF(G424=1,30,IF(G424=2,20,IF(G424=3,10,IF(G424&lt;&gt;"",1,0))))+IF(H424=1,30,IF(H424=2,20,IF(H424=3,10,IF(H424&lt;&gt;"",1,0))))))</f>
        <v/>
      </c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14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>
        <f>IF(AND(C425="",OR(E425="",E425=0)),"",(IF(E425=1,30,IF(E425=2,20,IF(E425=3,10,IF(E425&lt;&gt;"",1,0))))+IF(F425=1,30,IF(F425=2,20,IF(F425=3,10,IF(F425&lt;&gt;"",1,0))))+IF(G425=1,30,IF(G425=2,20,IF(G425=3,10,IF(G425&lt;&gt;"",1,0))))+IF(H425=1,30,IF(H425=2,20,IF(H425=3,10,IF(H425&lt;&gt;"",1,0))))))</f>
        <v/>
      </c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14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>
        <f>IF(AND(C426="",OR(E426="",E426=0)),"",(IF(E426=1,30,IF(E426=2,20,IF(E426=3,10,IF(E426&lt;&gt;"",1,0))))+IF(F426=1,30,IF(F426=2,20,IF(F426=3,10,IF(F426&lt;&gt;"",1,0))))+IF(G426=1,30,IF(G426=2,20,IF(G426=3,10,IF(G426&lt;&gt;"",1,0))))+IF(H426=1,30,IF(H426=2,20,IF(H426=3,10,IF(H426&lt;&gt;"",1,0))))))</f>
        <v/>
      </c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14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>
        <f>IF(AND(C427="",OR(E427="",E427=0)),"",(IF(E427=1,30,IF(E427=2,20,IF(E427=3,10,IF(E427&lt;&gt;"",1,0))))+IF(F427=1,30,IF(F427=2,20,IF(F427=3,10,IF(F427&lt;&gt;"",1,0))))+IF(G427=1,30,IF(G427=2,20,IF(G427=3,10,IF(G427&lt;&gt;"",1,0))))+IF(H427=1,30,IF(H427=2,20,IF(H427=3,10,IF(H427&lt;&gt;"",1,0))))))</f>
        <v/>
      </c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14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>
        <f>IF(AND(C428="",OR(E428="",E428=0)),"",(IF(E428=1,30,IF(E428=2,20,IF(E428=3,10,IF(E428&lt;&gt;"",1,0))))+IF(F428=1,30,IF(F428=2,20,IF(F428=3,10,IF(F428&lt;&gt;"",1,0))))+IF(G428=1,30,IF(G428=2,20,IF(G428=3,10,IF(G428&lt;&gt;"",1,0))))+IF(H428=1,30,IF(H428=2,20,IF(H428=3,10,IF(H428&lt;&gt;"",1,0)))))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14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>
        <f>IF(AND(C429="",OR(E429="",E429=0)),"",(IF(E429=1,30,IF(E429=2,20,IF(E429=3,10,IF(E429&lt;&gt;"",1,0))))+IF(F429=1,30,IF(F429=2,20,IF(F429=3,10,IF(F429&lt;&gt;"",1,0))))+IF(G429=1,30,IF(G429=2,20,IF(G429=3,10,IF(G429&lt;&gt;"",1,0))))+IF(H429=1,30,IF(H429=2,20,IF(H429=3,10,IF(H429&lt;&gt;"",1,0))))))</f>
        <v/>
      </c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14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>
        <f>IF(AND(C430="",OR(E430="",E430=0)),"",(IF(E430=1,30,IF(E430=2,20,IF(E430=3,10,IF(E430&lt;&gt;"",1,0))))+IF(F430=1,30,IF(F430=2,20,IF(F430=3,10,IF(F430&lt;&gt;"",1,0))))+IF(G430=1,30,IF(G430=2,20,IF(G430=3,10,IF(G430&lt;&gt;"",1,0))))+IF(H430=1,30,IF(H430=2,20,IF(H430=3,10,IF(H430&lt;&gt;"",1,0))))))</f>
        <v/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14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>
        <f>IF(AND(C431="",OR(E431="",E431=0)),"",(IF(E431=1,30,IF(E431=2,20,IF(E431=3,10,IF(E431&lt;&gt;"",1,0))))+IF(F431=1,30,IF(F431=2,20,IF(F431=3,10,IF(F431&lt;&gt;"",1,0))))+IF(G431=1,30,IF(G431=2,20,IF(G431=3,10,IF(G431&lt;&gt;"",1,0))))+IF(H431=1,30,IF(H431=2,20,IF(H431=3,10,IF(H431&lt;&gt;"",1,0))))))</f>
        <v/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14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>
        <f>IF(AND(C432="",OR(E432="",E432=0)),"",(IF(E432=1,30,IF(E432=2,20,IF(E432=3,10,IF(E432&lt;&gt;"",1,0))))+IF(F432=1,30,IF(F432=2,20,IF(F432=3,10,IF(F432&lt;&gt;"",1,0))))+IF(G432=1,30,IF(G432=2,20,IF(G432=3,10,IF(G432&lt;&gt;"",1,0))))+IF(H432=1,30,IF(H432=2,20,IF(H432=3,10,IF(H432&lt;&gt;"",1,0)))))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14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>
        <f>IF(AND(C433="",OR(E433="",E433=0)),"",(IF(E433=1,30,IF(E433=2,20,IF(E433=3,10,IF(E433&lt;&gt;"",1,0))))+IF(F433=1,30,IF(F433=2,20,IF(F433=3,10,IF(F433&lt;&gt;"",1,0))))+IF(G433=1,30,IF(G433=2,20,IF(G433=3,10,IF(G433&lt;&gt;"",1,0))))+IF(H433=1,30,IF(H433=2,20,IF(H433=3,10,IF(H433&lt;&gt;"",1,0))))))</f>
        <v/>
      </c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14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>
        <f>IF(AND(C434="",OR(E434="",E434=0)),"",(IF(E434=1,30,IF(E434=2,20,IF(E434=3,10,IF(E434&lt;&gt;"",1,0))))+IF(F434=1,30,IF(F434=2,20,IF(F434=3,10,IF(F434&lt;&gt;"",1,0))))+IF(G434=1,30,IF(G434=2,20,IF(G434=3,10,IF(G434&lt;&gt;"",1,0))))+IF(H434=1,30,IF(H434=2,20,IF(H434=3,10,IF(H434&lt;&gt;"",1,0))))))</f>
        <v/>
      </c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14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>
        <f>IF(AND(C435="",OR(E435="",E435=0)),"",(IF(E435=1,30,IF(E435=2,20,IF(E435=3,10,IF(E435&lt;&gt;"",1,0))))+IF(F435=1,30,IF(F435=2,20,IF(F435=3,10,IF(F435&lt;&gt;"",1,0))))+IF(G435=1,30,IF(G435=2,20,IF(G435=3,10,IF(G435&lt;&gt;"",1,0))))+IF(H435=1,30,IF(H435=2,20,IF(H435=3,10,IF(H435&lt;&gt;"",1,0))))))</f>
        <v/>
      </c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14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>
        <f>IF(AND(C436="",OR(E436="",E436=0)),"",(IF(E436=1,30,IF(E436=2,20,IF(E436=3,10,IF(E436&lt;&gt;"",1,0))))+IF(F436=1,30,IF(F436=2,20,IF(F436=3,10,IF(F436&lt;&gt;"",1,0))))+IF(G436=1,30,IF(G436=2,20,IF(G436=3,10,IF(G436&lt;&gt;"",1,0))))+IF(H436=1,30,IF(H436=2,20,IF(H436=3,10,IF(H436&lt;&gt;"",1,0))))))</f>
        <v/>
      </c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14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>
        <f>IF(AND(C437="",OR(E437="",E437=0)),"",(IF(E437=1,30,IF(E437=2,20,IF(E437=3,10,IF(E437&lt;&gt;"",1,0))))+IF(F437=1,30,IF(F437=2,20,IF(F437=3,10,IF(F437&lt;&gt;"",1,0))))+IF(G437=1,30,IF(G437=2,20,IF(G437=3,10,IF(G437&lt;&gt;"",1,0))))+IF(H437=1,30,IF(H437=2,20,IF(H437=3,10,IF(H437&lt;&gt;"",1,0)))))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14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>
        <f>IF(AND(C438="",OR(E438="",E438=0)),"",(IF(E438=1,30,IF(E438=2,20,IF(E438=3,10,IF(E438&lt;&gt;"",1,0))))+IF(F438=1,30,IF(F438=2,20,IF(F438=3,10,IF(F438&lt;&gt;"",1,0))))+IF(G438=1,30,IF(G438=2,20,IF(G438=3,10,IF(G438&lt;&gt;"",1,0))))+IF(H438=1,30,IF(H438=2,20,IF(H438=3,10,IF(H438&lt;&gt;"",1,0))))))</f>
        <v/>
      </c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14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>
        <f>IF(AND(C439="",OR(E439="",E439=0)),"",(IF(E439=1,30,IF(E439=2,20,IF(E439=3,10,IF(E439&lt;&gt;"",1,0))))+IF(F439=1,30,IF(F439=2,20,IF(F439=3,10,IF(F439&lt;&gt;"",1,0))))+IF(G439=1,30,IF(G439=2,20,IF(G439=3,10,IF(G439&lt;&gt;"",1,0))))+IF(H439=1,30,IF(H439=2,20,IF(H439=3,10,IF(H439&lt;&gt;"",1,0))))))</f>
        <v/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14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>
        <f>IF(AND(C440="",OR(E440="",E440=0)),"",(IF(E440=1,30,IF(E440=2,20,IF(E440=3,10,IF(E440&lt;&gt;"",1,0))))+IF(F440=1,30,IF(F440=2,20,IF(F440=3,10,IF(F440&lt;&gt;"",1,0))))+IF(G440=1,30,IF(G440=2,20,IF(G440=3,10,IF(G440&lt;&gt;"",1,0))))+IF(H440=1,30,IF(H440=2,20,IF(H440=3,10,IF(H440&lt;&gt;"",1,0))))))</f>
        <v/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14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>
        <f>IF(AND(C441="",OR(E441="",E441=0)),"",(IF(E441=1,30,IF(E441=2,20,IF(E441=3,10,IF(E441&lt;&gt;"",1,0))))+IF(F441=1,30,IF(F441=2,20,IF(F441=3,10,IF(F441&lt;&gt;"",1,0))))+IF(G441=1,30,IF(G441=2,20,IF(G441=3,10,IF(G441&lt;&gt;"",1,0))))+IF(H441=1,30,IF(H441=2,20,IF(H441=3,10,IF(H441&lt;&gt;"",1,0)))))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14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>
        <f>IF(AND(C442="",OR(E442="",E442=0)),"",(IF(E442=1,30,IF(E442=2,20,IF(E442=3,10,IF(E442&lt;&gt;"",1,0))))+IF(F442=1,30,IF(F442=2,20,IF(F442=3,10,IF(F442&lt;&gt;"",1,0))))+IF(G442=1,30,IF(G442=2,20,IF(G442=3,10,IF(G442&lt;&gt;"",1,0))))+IF(H442=1,30,IF(H442=2,20,IF(H442=3,10,IF(H442&lt;&gt;"",1,0))))))</f>
        <v/>
      </c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1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>
        <f>IF(AND(C443="",OR(E443="",E443=0)),"",(IF(E443=1,30,IF(E443=2,20,IF(E443=3,10,IF(E443&lt;&gt;"",1,0))))+IF(F443=1,30,IF(F443=2,20,IF(F443=3,10,IF(F443&lt;&gt;"",1,0))))+IF(G443=1,30,IF(G443=2,20,IF(G443=3,10,IF(G443&lt;&gt;"",1,0))))+IF(H443=1,30,IF(H443=2,20,IF(H443=3,10,IF(H443&lt;&gt;"",1,0))))))</f>
        <v/>
      </c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14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>
        <f>IF(AND(C444="",OR(E444="",E444=0)),"",(IF(E444=1,30,IF(E444=2,20,IF(E444=3,10,IF(E444&lt;&gt;"",1,0))))+IF(F444=1,30,IF(F444=2,20,IF(F444=3,10,IF(F444&lt;&gt;"",1,0))))+IF(G444=1,30,IF(G444=2,20,IF(G444=3,10,IF(G444&lt;&gt;"",1,0))))+IF(H444=1,30,IF(H444=2,20,IF(H444=3,10,IF(H444&lt;&gt;"",1,0))))))</f>
        <v/>
      </c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14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>
        <f>IF(AND(C445="",OR(E445="",E445=0)),"",(IF(E445=1,30,IF(E445=2,20,IF(E445=3,10,IF(E445&lt;&gt;"",1,0))))+IF(F445=1,30,IF(F445=2,20,IF(F445=3,10,IF(F445&lt;&gt;"",1,0))))+IF(G445=1,30,IF(G445=2,20,IF(G445=3,10,IF(G445&lt;&gt;"",1,0))))+IF(H445=1,30,IF(H445=2,20,IF(H445=3,10,IF(H445&lt;&gt;"",1,0))))))</f>
        <v/>
      </c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14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>
        <f>IF(AND(C446="",OR(E446="",E446=0)),"",(IF(E446=1,30,IF(E446=2,20,IF(E446=3,10,IF(E446&lt;&gt;"",1,0))))+IF(F446=1,30,IF(F446=2,20,IF(F446=3,10,IF(F446&lt;&gt;"",1,0))))+IF(G446=1,30,IF(G446=2,20,IF(G446=3,10,IF(G446&lt;&gt;"",1,0))))+IF(H446=1,30,IF(H446=2,20,IF(H446=3,10,IF(H446&lt;&gt;"",1,0)))))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14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>
        <f>IF(AND(C447="",OR(E447="",E447=0)),"",(IF(E447=1,30,IF(E447=2,20,IF(E447=3,10,IF(E447&lt;&gt;"",1,0))))+IF(F447=1,30,IF(F447=2,20,IF(F447=3,10,IF(F447&lt;&gt;"",1,0))))+IF(G447=1,30,IF(G447=2,20,IF(G447=3,10,IF(G447&lt;&gt;"",1,0))))+IF(H447=1,30,IF(H447=2,20,IF(H447=3,10,IF(H447&lt;&gt;"",1,0))))))</f>
        <v/>
      </c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14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>
        <f>IF(AND(C448="",OR(E448="",E448=0)),"",(IF(E448=1,30,IF(E448=2,20,IF(E448=3,10,IF(E448&lt;&gt;"",1,0))))+IF(F448=1,30,IF(F448=2,20,IF(F448=3,10,IF(F448&lt;&gt;"",1,0))))+IF(G448=1,30,IF(G448=2,20,IF(G448=3,10,IF(G448&lt;&gt;"",1,0))))+IF(H448=1,30,IF(H448=2,20,IF(H448=3,10,IF(H448&lt;&gt;"",1,0))))))</f>
        <v/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14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>
        <f>IF(AND(C449="",OR(E449="",E449=0)),"",(IF(E449=1,30,IF(E449=2,20,IF(E449=3,10,IF(E449&lt;&gt;"",1,0))))+IF(F449=1,30,IF(F449=2,20,IF(F449=3,10,IF(F449&lt;&gt;"",1,0))))+IF(G449=1,30,IF(G449=2,20,IF(G449=3,10,IF(G449&lt;&gt;"",1,0))))+IF(H449=1,30,IF(H449=2,20,IF(H449=3,10,IF(H449&lt;&gt;"",1,0))))))</f>
        <v/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14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>
        <f>IF(AND(C450="",OR(E450="",E450=0)),"",(IF(E450=1,30,IF(E450=2,20,IF(E450=3,10,IF(E450&lt;&gt;"",1,0))))+IF(F450=1,30,IF(F450=2,20,IF(F450=3,10,IF(F450&lt;&gt;"",1,0))))+IF(G450=1,30,IF(G450=2,20,IF(G450=3,10,IF(G450&lt;&gt;"",1,0))))+IF(H450=1,30,IF(H450=2,20,IF(H450=3,10,IF(H450&lt;&gt;"",1,0)))))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14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>
        <f>IF(AND(C451="",OR(E451="",E451=0)),"",(IF(E451=1,30,IF(E451=2,20,IF(E451=3,10,IF(E451&lt;&gt;"",1,0))))+IF(F451=1,30,IF(F451=2,20,IF(F451=3,10,IF(F451&lt;&gt;"",1,0))))+IF(G451=1,30,IF(G451=2,20,IF(G451=3,10,IF(G451&lt;&gt;"",1,0))))+IF(H451=1,30,IF(H451=2,20,IF(H451=3,10,IF(H451&lt;&gt;"",1,0))))))</f>
        <v/>
      </c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14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>
        <f>IF(AND(C452="",OR(E452="",E452=0)),"",(IF(E452=1,30,IF(E452=2,20,IF(E452=3,10,IF(E452&lt;&gt;"",1,0))))+IF(F452=1,30,IF(F452=2,20,IF(F452=3,10,IF(F452&lt;&gt;"",1,0))))+IF(G452=1,30,IF(G452=2,20,IF(G452=3,10,IF(G452&lt;&gt;"",1,0))))+IF(H452=1,30,IF(H452=2,20,IF(H452=3,10,IF(H452&lt;&gt;"",1,0))))))</f>
        <v/>
      </c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14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>
        <f>IF(AND(C453="",OR(E453="",E453=0)),"",(IF(E453=1,30,IF(E453=2,20,IF(E453=3,10,IF(E453&lt;&gt;"",1,0))))+IF(F453=1,30,IF(F453=2,20,IF(F453=3,10,IF(F453&lt;&gt;"",1,0))))+IF(G453=1,30,IF(G453=2,20,IF(G453=3,10,IF(G453&lt;&gt;"",1,0))))+IF(H453=1,30,IF(H453=2,20,IF(H453=3,10,IF(H453&lt;&gt;"",1,0))))))</f>
        <v/>
      </c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14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>
        <f>IF(AND(C454="",OR(E454="",E454=0)),"",(IF(E454=1,30,IF(E454=2,20,IF(E454=3,10,IF(E454&lt;&gt;"",1,0))))+IF(F454=1,30,IF(F454=2,20,IF(F454=3,10,IF(F454&lt;&gt;"",1,0))))+IF(G454=1,30,IF(G454=2,20,IF(G454=3,10,IF(G454&lt;&gt;"",1,0))))+IF(H454=1,30,IF(H454=2,20,IF(H454=3,10,IF(H454&lt;&gt;"",1,0))))))</f>
        <v/>
      </c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14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>
        <f>IF(AND(C455="",OR(E455="",E455=0)),"",(IF(E455=1,30,IF(E455=2,20,IF(E455=3,10,IF(E455&lt;&gt;"",1,0))))+IF(F455=1,30,IF(F455=2,20,IF(F455=3,10,IF(F455&lt;&gt;"",1,0))))+IF(G455=1,30,IF(G455=2,20,IF(G455=3,10,IF(G455&lt;&gt;"",1,0))))+IF(H455=1,30,IF(H455=2,20,IF(H455=3,10,IF(H455&lt;&gt;"",1,0)))))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14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>
        <f>IF(AND(C456="",OR(E456="",E456=0)),"",(IF(E456=1,30,IF(E456=2,20,IF(E456=3,10,IF(E456&lt;&gt;"",1,0))))+IF(F456=1,30,IF(F456=2,20,IF(F456=3,10,IF(F456&lt;&gt;"",1,0))))+IF(G456=1,30,IF(G456=2,20,IF(G456=3,10,IF(G456&lt;&gt;"",1,0))))+IF(H456=1,30,IF(H456=2,20,IF(H456=3,10,IF(H456&lt;&gt;"",1,0))))))</f>
        <v/>
      </c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14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>
        <f>IF(AND(C457="",OR(E457="",E457=0)),"",(IF(E457=1,30,IF(E457=2,20,IF(E457=3,10,IF(E457&lt;&gt;"",1,0))))+IF(F457=1,30,IF(F457=2,20,IF(F457=3,10,IF(F457&lt;&gt;"",1,0))))+IF(G457=1,30,IF(G457=2,20,IF(G457=3,10,IF(G457&lt;&gt;"",1,0))))+IF(H457=1,30,IF(H457=2,20,IF(H457=3,10,IF(H457&lt;&gt;"",1,0))))))</f>
        <v/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14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>
        <f>IF(AND(C458="",OR(E458="",E458=0)),"",(IF(E458=1,30,IF(E458=2,20,IF(E458=3,10,IF(E458&lt;&gt;"",1,0))))+IF(F458=1,30,IF(F458=2,20,IF(F458=3,10,IF(F458&lt;&gt;"",1,0))))+IF(G458=1,30,IF(G458=2,20,IF(G458=3,10,IF(G458&lt;&gt;"",1,0))))+IF(H458=1,30,IF(H458=2,20,IF(H458=3,10,IF(H458&lt;&gt;"",1,0))))))</f>
        <v/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14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>
        <f>IF(AND(C459="",OR(E459="",E459=0)),"",(IF(E459=1,30,IF(E459=2,20,IF(E459=3,10,IF(E459&lt;&gt;"",1,0))))+IF(F459=1,30,IF(F459=2,20,IF(F459=3,10,IF(F459&lt;&gt;"",1,0))))+IF(G459=1,30,IF(G459=2,20,IF(G459=3,10,IF(G459&lt;&gt;"",1,0))))+IF(H459=1,30,IF(H459=2,20,IF(H459=3,10,IF(H459&lt;&gt;"",1,0)))))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14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>
        <f>IF(AND(C460="",OR(E460="",E460=0)),"",(IF(E460=1,30,IF(E460=2,20,IF(E460=3,10,IF(E460&lt;&gt;"",1,0))))+IF(F460=1,30,IF(F460=2,20,IF(F460=3,10,IF(F460&lt;&gt;"",1,0))))+IF(G460=1,30,IF(G460=2,20,IF(G460=3,10,IF(G460&lt;&gt;"",1,0))))+IF(H460=1,30,IF(H460=2,20,IF(H460=3,10,IF(H460&lt;&gt;"",1,0))))))</f>
        <v/>
      </c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14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>
        <f>IF(AND(C461="",OR(E461="",E461=0)),"",(IF(E461=1,30,IF(E461=2,20,IF(E461=3,10,IF(E461&lt;&gt;"",1,0))))+IF(F461=1,30,IF(F461=2,20,IF(F461=3,10,IF(F461&lt;&gt;"",1,0))))+IF(G461=1,30,IF(G461=2,20,IF(G461=3,10,IF(G461&lt;&gt;"",1,0))))+IF(H461=1,30,IF(H461=2,20,IF(H461=3,10,IF(H461&lt;&gt;"",1,0))))))</f>
        <v/>
      </c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14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>
        <f>IF(AND(C462="",OR(E462="",E462=0)),"",(IF(E462=1,30,IF(E462=2,20,IF(E462=3,10,IF(E462&lt;&gt;"",1,0))))+IF(F462=1,30,IF(F462=2,20,IF(F462=3,10,IF(F462&lt;&gt;"",1,0))))+IF(G462=1,30,IF(G462=2,20,IF(G462=3,10,IF(G462&lt;&gt;"",1,0))))+IF(H462=1,30,IF(H462=2,20,IF(H462=3,10,IF(H462&lt;&gt;"",1,0))))))</f>
        <v/>
      </c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14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>
        <f>IF(AND(C463="",OR(E463="",E463=0)),"",(IF(E463=1,30,IF(E463=2,20,IF(E463=3,10,IF(E463&lt;&gt;"",1,0))))+IF(F463=1,30,IF(F463=2,20,IF(F463=3,10,IF(F463&lt;&gt;"",1,0))))+IF(G463=1,30,IF(G463=2,20,IF(G463=3,10,IF(G463&lt;&gt;"",1,0))))+IF(H463=1,30,IF(H463=2,20,IF(H463=3,10,IF(H463&lt;&gt;"",1,0))))))</f>
        <v/>
      </c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14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>
        <f>IF(AND(C464="",OR(E464="",E464=0)),"",(IF(E464=1,30,IF(E464=2,20,IF(E464=3,10,IF(E464&lt;&gt;"",1,0))))+IF(F464=1,30,IF(F464=2,20,IF(F464=3,10,IF(F464&lt;&gt;"",1,0))))+IF(G464=1,30,IF(G464=2,20,IF(G464=3,10,IF(G464&lt;&gt;"",1,0))))+IF(H464=1,30,IF(H464=2,20,IF(H464=3,10,IF(H464&lt;&gt;"",1,0)))))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14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>
        <f>IF(AND(C465="",OR(E465="",E465=0)),"",(IF(E465=1,30,IF(E465=2,20,IF(E465=3,10,IF(E465&lt;&gt;"",1,0))))+IF(F465=1,30,IF(F465=2,20,IF(F465=3,10,IF(F465&lt;&gt;"",1,0))))+IF(G465=1,30,IF(G465=2,20,IF(G465=3,10,IF(G465&lt;&gt;"",1,0))))+IF(H465=1,30,IF(H465=2,20,IF(H465=3,10,IF(H465&lt;&gt;"",1,0))))))</f>
        <v/>
      </c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14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>
        <f>IF(AND(C466="",OR(E466="",E466=0)),"",(IF(E466=1,30,IF(E466=2,20,IF(E466=3,10,IF(E466&lt;&gt;"",1,0))))+IF(F466=1,30,IF(F466=2,20,IF(F466=3,10,IF(F466&lt;&gt;"",1,0))))+IF(G466=1,30,IF(G466=2,20,IF(G466=3,10,IF(G466&lt;&gt;"",1,0))))+IF(H466=1,30,IF(H466=2,20,IF(H466=3,10,IF(H466&lt;&gt;"",1,0))))))</f>
        <v/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14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>
        <f>IF(AND(C467="",OR(E467="",E467=0)),"",(IF(E467=1,30,IF(E467=2,20,IF(E467=3,10,IF(E467&lt;&gt;"",1,0))))+IF(F467=1,30,IF(F467=2,20,IF(F467=3,10,IF(F467&lt;&gt;"",1,0))))+IF(G467=1,30,IF(G467=2,20,IF(G467=3,10,IF(G467&lt;&gt;"",1,0))))+IF(H467=1,30,IF(H467=2,20,IF(H467=3,10,IF(H467&lt;&gt;"",1,0))))))</f>
        <v/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14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>
        <f>IF(AND(C468="",OR(E468="",E468=0)),"",(IF(E468=1,30,IF(E468=2,20,IF(E468=3,10,IF(E468&lt;&gt;"",1,0))))+IF(F468=1,30,IF(F468=2,20,IF(F468=3,10,IF(F468&lt;&gt;"",1,0))))+IF(G468=1,30,IF(G468=2,20,IF(G468=3,10,IF(G468&lt;&gt;"",1,0))))+IF(H468=1,30,IF(H468=2,20,IF(H468=3,10,IF(H468&lt;&gt;"",1,0)))))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14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>
        <f>IF(AND(C469="",OR(E469="",E469=0)),"",(IF(E469=1,30,IF(E469=2,20,IF(E469=3,10,IF(E469&lt;&gt;"",1,0))))+IF(F469=1,30,IF(F469=2,20,IF(F469=3,10,IF(F469&lt;&gt;"",1,0))))+IF(G469=1,30,IF(G469=2,20,IF(G469=3,10,IF(G469&lt;&gt;"",1,0))))+IF(H469=1,30,IF(H469=2,20,IF(H469=3,10,IF(H469&lt;&gt;"",1,0))))))</f>
        <v/>
      </c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14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>
        <f>IF(AND(C470="",OR(E470="",E470=0)),"",(IF(E470=1,30,IF(E470=2,20,IF(E470=3,10,IF(E470&lt;&gt;"",1,0))))+IF(F470=1,30,IF(F470=2,20,IF(F470=3,10,IF(F470&lt;&gt;"",1,0))))+IF(G470=1,30,IF(G470=2,20,IF(G470=3,10,IF(G470&lt;&gt;"",1,0))))+IF(H470=1,30,IF(H470=2,20,IF(H470=3,10,IF(H470&lt;&gt;"",1,0))))))</f>
        <v/>
      </c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14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>
        <f>IF(AND(C471="",OR(E471="",E471=0)),"",(IF(E471=1,30,IF(E471=2,20,IF(E471=3,10,IF(E471&lt;&gt;"",1,0))))+IF(F471=1,30,IF(F471=2,20,IF(F471=3,10,IF(F471&lt;&gt;"",1,0))))+IF(G471=1,30,IF(G471=2,20,IF(G471=3,10,IF(G471&lt;&gt;"",1,0))))+IF(H471=1,30,IF(H471=2,20,IF(H471=3,10,IF(H471&lt;&gt;"",1,0))))))</f>
        <v/>
      </c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14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>
        <f>IF(AND(C472="",OR(E472="",E472=0)),"",(IF(E472=1,30,IF(E472=2,20,IF(E472=3,10,IF(E472&lt;&gt;"",1,0))))+IF(F472=1,30,IF(F472=2,20,IF(F472=3,10,IF(F472&lt;&gt;"",1,0))))+IF(G472=1,30,IF(G472=2,20,IF(G472=3,10,IF(G472&lt;&gt;"",1,0))))+IF(H472=1,30,IF(H472=2,20,IF(H472=3,10,IF(H472&lt;&gt;"",1,0))))))</f>
        <v/>
      </c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14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>
        <f>IF(AND(C473="",OR(E473="",E473=0)),"",(IF(E473=1,30,IF(E473=2,20,IF(E473=3,10,IF(E473&lt;&gt;"",1,0))))+IF(F473=1,30,IF(F473=2,20,IF(F473=3,10,IF(F473&lt;&gt;"",1,0))))+IF(G473=1,30,IF(G473=2,20,IF(G473=3,10,IF(G473&lt;&gt;"",1,0))))+IF(H473=1,30,IF(H473=2,20,IF(H473=3,10,IF(H473&lt;&gt;"",1,0)))))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14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>
        <f>IF(AND(C474="",OR(E474="",E474=0)),"",(IF(E474=1,30,IF(E474=2,20,IF(E474=3,10,IF(E474&lt;&gt;"",1,0))))+IF(F474=1,30,IF(F474=2,20,IF(F474=3,10,IF(F474&lt;&gt;"",1,0))))+IF(G474=1,30,IF(G474=2,20,IF(G474=3,10,IF(G474&lt;&gt;"",1,0))))+IF(H474=1,30,IF(H474=2,20,IF(H474=3,10,IF(H474&lt;&gt;"",1,0))))))</f>
        <v/>
      </c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14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>
        <f>IF(AND(C475="",OR(E475="",E475=0)),"",(IF(E475=1,30,IF(E475=2,20,IF(E475=3,10,IF(E475&lt;&gt;"",1,0))))+IF(F475=1,30,IF(F475=2,20,IF(F475=3,10,IF(F475&lt;&gt;"",1,0))))+IF(G475=1,30,IF(G475=2,20,IF(G475=3,10,IF(G475&lt;&gt;"",1,0))))+IF(H475=1,30,IF(H475=2,20,IF(H475=3,10,IF(H475&lt;&gt;"",1,0))))))</f>
        <v/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14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>
        <f>IF(AND(C476="",OR(E476="",E476=0)),"",(IF(E476=1,30,IF(E476=2,20,IF(E476=3,10,IF(E476&lt;&gt;"",1,0))))+IF(F476=1,30,IF(F476=2,20,IF(F476=3,10,IF(F476&lt;&gt;"",1,0))))+IF(G476=1,30,IF(G476=2,20,IF(G476=3,10,IF(G476&lt;&gt;"",1,0))))+IF(H476=1,30,IF(H476=2,20,IF(H476=3,10,IF(H476&lt;&gt;"",1,0))))))</f>
        <v/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14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>
        <f>IF(AND(C477="",OR(E477="",E477=0)),"",(IF(E477=1,30,IF(E477=2,20,IF(E477=3,10,IF(E477&lt;&gt;"",1,0))))+IF(F477=1,30,IF(F477=2,20,IF(F477=3,10,IF(F477&lt;&gt;"",1,0))))+IF(G477=1,30,IF(G477=2,20,IF(G477=3,10,IF(G477&lt;&gt;"",1,0))))+IF(H477=1,30,IF(H477=2,20,IF(H477=3,10,IF(H477&lt;&gt;"",1,0)))))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14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>
        <f>IF(AND(C478="",OR(E478="",E478=0)),"",(IF(E478=1,30,IF(E478=2,20,IF(E478=3,10,IF(E478&lt;&gt;"",1,0))))+IF(F478=1,30,IF(F478=2,20,IF(F478=3,10,IF(F478&lt;&gt;"",1,0))))+IF(G478=1,30,IF(G478=2,20,IF(G478=3,10,IF(G478&lt;&gt;"",1,0))))+IF(H478=1,30,IF(H478=2,20,IF(H478=3,10,IF(H478&lt;&gt;"",1,0))))))</f>
        <v/>
      </c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14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>
        <f>IF(AND(C479="",OR(E479="",E479=0)),"",(IF(E479=1,30,IF(E479=2,20,IF(E479=3,10,IF(E479&lt;&gt;"",1,0))))+IF(F479=1,30,IF(F479=2,20,IF(F479=3,10,IF(F479&lt;&gt;"",1,0))))+IF(G479=1,30,IF(G479=2,20,IF(G479=3,10,IF(G479&lt;&gt;"",1,0))))+IF(H479=1,30,IF(H479=2,20,IF(H479=3,10,IF(H479&lt;&gt;"",1,0))))))</f>
        <v/>
      </c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14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>
        <f>IF(AND(C480="",OR(E480="",E480=0)),"",(IF(E480=1,30,IF(E480=2,20,IF(E480=3,10,IF(E480&lt;&gt;"",1,0))))+IF(F480=1,30,IF(F480=2,20,IF(F480=3,10,IF(F480&lt;&gt;"",1,0))))+IF(G480=1,30,IF(G480=2,20,IF(G480=3,10,IF(G480&lt;&gt;"",1,0))))+IF(H480=1,30,IF(H480=2,20,IF(H480=3,10,IF(H480&lt;&gt;"",1,0))))))</f>
        <v/>
      </c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14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>
        <f>IF(AND(C481="",OR(E481="",E481=0)),"",(IF(E481=1,30,IF(E481=2,20,IF(E481=3,10,IF(E481&lt;&gt;"",1,0))))+IF(F481=1,30,IF(F481=2,20,IF(F481=3,10,IF(F481&lt;&gt;"",1,0))))+IF(G481=1,30,IF(G481=2,20,IF(G481=3,10,IF(G481&lt;&gt;"",1,0))))+IF(H481=1,30,IF(H481=2,20,IF(H481=3,10,IF(H481&lt;&gt;"",1,0))))))</f>
        <v/>
      </c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14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>
        <f>IF(AND(C482="",OR(E482="",E482=0)),"",(IF(E482=1,30,IF(E482=2,20,IF(E482=3,10,IF(E482&lt;&gt;"",1,0))))+IF(F482=1,30,IF(F482=2,20,IF(F482=3,10,IF(F482&lt;&gt;"",1,0))))+IF(G482=1,30,IF(G482=2,20,IF(G482=3,10,IF(G482&lt;&gt;"",1,0))))+IF(H482=1,30,IF(H482=2,20,IF(H482=3,10,IF(H482&lt;&gt;"",1,0)))))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14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>
        <f>IF(AND(C483="",OR(E483="",E483=0)),"",(IF(E483=1,30,IF(E483=2,20,IF(E483=3,10,IF(E483&lt;&gt;"",1,0))))+IF(F483=1,30,IF(F483=2,20,IF(F483=3,10,IF(F483&lt;&gt;"",1,0))))+IF(G483=1,30,IF(G483=2,20,IF(G483=3,10,IF(G483&lt;&gt;"",1,0))))+IF(H483=1,30,IF(H483=2,20,IF(H483=3,10,IF(H483&lt;&gt;"",1,0))))))</f>
        <v/>
      </c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14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>
        <f>IF(AND(C484="",OR(E484="",E484=0)),"",(IF(E484=1,30,IF(E484=2,20,IF(E484=3,10,IF(E484&lt;&gt;"",1,0))))+IF(F484=1,30,IF(F484=2,20,IF(F484=3,10,IF(F484&lt;&gt;"",1,0))))+IF(G484=1,30,IF(G484=2,20,IF(G484=3,10,IF(G484&lt;&gt;"",1,0))))+IF(H484=1,30,IF(H484=2,20,IF(H484=3,10,IF(H484&lt;&gt;"",1,0))))))</f>
        <v/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14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>
        <f>IF(AND(C485="",OR(E485="",E485=0)),"",(IF(E485=1,30,IF(E485=2,20,IF(E485=3,10,IF(E485&lt;&gt;"",1,0))))+IF(F485=1,30,IF(F485=2,20,IF(F485=3,10,IF(F485&lt;&gt;"",1,0))))+IF(G485=1,30,IF(G485=2,20,IF(G485=3,10,IF(G485&lt;&gt;"",1,0))))+IF(H485=1,30,IF(H485=2,20,IF(H485=3,10,IF(H485&lt;&gt;"",1,0))))))</f>
        <v/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14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>
        <f>IF(AND(C486="",OR(E486="",E486=0)),"",(IF(E486=1,30,IF(E486=2,20,IF(E486=3,10,IF(E486&lt;&gt;"",1,0))))+IF(F486=1,30,IF(F486=2,20,IF(F486=3,10,IF(F486&lt;&gt;"",1,0))))+IF(G486=1,30,IF(G486=2,20,IF(G486=3,10,IF(G486&lt;&gt;"",1,0))))+IF(H486=1,30,IF(H486=2,20,IF(H486=3,10,IF(H486&lt;&gt;"",1,0)))))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14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>
        <f>IF(AND(C487="",OR(E487="",E487=0)),"",(IF(E487=1,30,IF(E487=2,20,IF(E487=3,10,IF(E487&lt;&gt;"",1,0))))+IF(F487=1,30,IF(F487=2,20,IF(F487=3,10,IF(F487&lt;&gt;"",1,0))))+IF(G487=1,30,IF(G487=2,20,IF(G487=3,10,IF(G487&lt;&gt;"",1,0))))+IF(H487=1,30,IF(H487=2,20,IF(H487=3,10,IF(H487&lt;&gt;"",1,0))))))</f>
        <v/>
      </c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14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>
        <f>IF(AND(C488="",OR(E488="",E488=0)),"",(IF(E488=1,30,IF(E488=2,20,IF(E488=3,10,IF(E488&lt;&gt;"",1,0))))+IF(F488=1,30,IF(F488=2,20,IF(F488=3,10,IF(F488&lt;&gt;"",1,0))))+IF(G488=1,30,IF(G488=2,20,IF(G488=3,10,IF(G488&lt;&gt;"",1,0))))+IF(H488=1,30,IF(H488=2,20,IF(H488=3,10,IF(H488&lt;&gt;"",1,0))))))</f>
        <v/>
      </c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14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>
        <f>IF(AND(C489="",OR(E489="",E489=0)),"",(IF(E489=1,30,IF(E489=2,20,IF(E489=3,10,IF(E489&lt;&gt;"",1,0))))+IF(F489=1,30,IF(F489=2,20,IF(F489=3,10,IF(F489&lt;&gt;"",1,0))))+IF(G489=1,30,IF(G489=2,20,IF(G489=3,10,IF(G489&lt;&gt;"",1,0))))+IF(H489=1,30,IF(H489=2,20,IF(H489=3,10,IF(H489&lt;&gt;"",1,0))))))</f>
        <v/>
      </c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14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>
        <f>IF(AND(C490="",OR(E490="",E490=0)),"",(IF(E490=1,30,IF(E490=2,20,IF(E490=3,10,IF(E490&lt;&gt;"",1,0))))+IF(F490=1,30,IF(F490=2,20,IF(F490=3,10,IF(F490&lt;&gt;"",1,0))))+IF(G490=1,30,IF(G490=2,20,IF(G490=3,10,IF(G490&lt;&gt;"",1,0))))+IF(H490=1,30,IF(H490=2,20,IF(H490=3,10,IF(H490&lt;&gt;"",1,0))))))</f>
        <v/>
      </c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14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>
        <f>IF(AND(C491="",OR(E491="",E491=0)),"",(IF(E491=1,30,IF(E491=2,20,IF(E491=3,10,IF(E491&lt;&gt;"",1,0))))+IF(F491=1,30,IF(F491=2,20,IF(F491=3,10,IF(F491&lt;&gt;"",1,0))))+IF(G491=1,30,IF(G491=2,20,IF(G491=3,10,IF(G491&lt;&gt;"",1,0))))+IF(H491=1,30,IF(H491=2,20,IF(H491=3,10,IF(H491&lt;&gt;"",1,0)))))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14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>
        <f>IF(AND(C492="",OR(E492="",E492=0)),"",(IF(E492=1,30,IF(E492=2,20,IF(E492=3,10,IF(E492&lt;&gt;"",1,0))))+IF(F492=1,30,IF(F492=2,20,IF(F492=3,10,IF(F492&lt;&gt;"",1,0))))+IF(G492=1,30,IF(G492=2,20,IF(G492=3,10,IF(G492&lt;&gt;"",1,0))))+IF(H492=1,30,IF(H492=2,20,IF(H492=3,10,IF(H492&lt;&gt;"",1,0))))))</f>
        <v/>
      </c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14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>
        <f>IF(AND(C493="",OR(E493="",E493=0)),"",(IF(E493=1,30,IF(E493=2,20,IF(E493=3,10,IF(E493&lt;&gt;"",1,0))))+IF(F493=1,30,IF(F493=2,20,IF(F493=3,10,IF(F493&lt;&gt;"",1,0))))+IF(G493=1,30,IF(G493=2,20,IF(G493=3,10,IF(G493&lt;&gt;"",1,0))))+IF(H493=1,30,IF(H493=2,20,IF(H493=3,10,IF(H493&lt;&gt;"",1,0))))))</f>
        <v/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14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>
        <f>IF(AND(C494="",OR(E494="",E494=0)),"",(IF(E494=1,30,IF(E494=2,20,IF(E494=3,10,IF(E494&lt;&gt;"",1,0))))+IF(F494=1,30,IF(F494=2,20,IF(F494=3,10,IF(F494&lt;&gt;"",1,0))))+IF(G494=1,30,IF(G494=2,20,IF(G494=3,10,IF(G494&lt;&gt;"",1,0))))+IF(H494=1,30,IF(H494=2,20,IF(H494=3,10,IF(H494&lt;&gt;"",1,0))))))</f>
        <v/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14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>
        <f>IF(AND(C495="",OR(E495="",E495=0)),"",(IF(E495=1,30,IF(E495=2,20,IF(E495=3,10,IF(E495&lt;&gt;"",1,0))))+IF(F495=1,30,IF(F495=2,20,IF(F495=3,10,IF(F495&lt;&gt;"",1,0))))+IF(G495=1,30,IF(G495=2,20,IF(G495=3,10,IF(G495&lt;&gt;"",1,0))))+IF(H495=1,30,IF(H495=2,20,IF(H495=3,10,IF(H495&lt;&gt;"",1,0)))))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14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>
        <f>IF(AND(C496="",OR(E496="",E496=0)),"",(IF(E496=1,30,IF(E496=2,20,IF(E496=3,10,IF(E496&lt;&gt;"",1,0))))+IF(F496=1,30,IF(F496=2,20,IF(F496=3,10,IF(F496&lt;&gt;"",1,0))))+IF(G496=1,30,IF(G496=2,20,IF(G496=3,10,IF(G496&lt;&gt;"",1,0))))+IF(H496=1,30,IF(H496=2,20,IF(H496=3,10,IF(H496&lt;&gt;"",1,0)))))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14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>
        <f>IF(AND(C497="",OR(E497="",E497=0)),"",(IF(E497=1,30,IF(E497=2,20,IF(E497=3,10,IF(E497&lt;&gt;"",1,0))))+IF(F497=1,30,IF(F497=2,20,IF(F497=3,10,IF(F497&lt;&gt;"",1,0))))+IF(G497=1,30,IF(G497=2,20,IF(G497=3,10,IF(G497&lt;&gt;"",1,0))))+IF(H497=1,30,IF(H497=2,20,IF(H497=3,10,IF(H497&lt;&gt;"",1,0)))))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14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>
        <f>IF(AND(C498="",OR(E498="",E498=0)),"",(IF(E498=1,30,IF(E498=2,20,IF(E498=3,10,IF(E498&lt;&gt;"",1,0))))+IF(F498=1,30,IF(F498=2,20,IF(F498=3,10,IF(F498&lt;&gt;"",1,0))))+IF(G498=1,30,IF(G498=2,20,IF(G498=3,10,IF(G498&lt;&gt;"",1,0))))+IF(H498=1,30,IF(H498=2,20,IF(H498=3,10,IF(H498&lt;&gt;"",1,0)))))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14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>
        <f>IF(AND(C499="",OR(E499="",E499=0)),"",(IF(E499=1,30,IF(E499=2,20,IF(E499=3,10,IF(E499&lt;&gt;"",1,0))))+IF(F499=1,30,IF(F499=2,20,IF(F499=3,10,IF(F499&lt;&gt;"",1,0))))+IF(G499=1,30,IF(G499=2,20,IF(G499=3,10,IF(G499&lt;&gt;"",1,0))))+IF(H499=1,30,IF(H499=2,20,IF(H499=3,10,IF(H499&lt;&gt;"",1,0))))))</f>
        <v/>
      </c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14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>
        <f>IF(AND(C500="",OR(E500="",E500=0)),"",(IF(E500=1,30,IF(E500=2,20,IF(E500=3,10,IF(E500&lt;&gt;"",1,0))))+IF(F500=1,30,IF(F500=2,20,IF(F500=3,10,IF(F500&lt;&gt;"",1,0))))+IF(G500=1,30,IF(G500=2,20,IF(G500=3,10,IF(G500&lt;&gt;"",1,0))))+IF(H500=1,30,IF(H500=2,20,IF(H500=3,10,IF(H500&lt;&gt;"",1,0)))))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14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>
        <f>IF(AND(C501="",OR(E501="",E501=0)),"",(IF(E501=1,30,IF(E501=2,20,IF(E501=3,10,IF(E501&lt;&gt;"",1,0))))+IF(F501=1,30,IF(F501=2,20,IF(F501=3,10,IF(F501&lt;&gt;"",1,0))))+IF(G501=1,30,IF(G501=2,20,IF(G501=3,10,IF(G501&lt;&gt;"",1,0))))+IF(H501=1,30,IF(H501=2,20,IF(H501=3,10,IF(H501&lt;&gt;"",1,0))))))</f>
        <v/>
      </c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14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>
        <f>IF(AND(C502="",OR(E502="",E502=0)),"",(IF(E502=1,30,IF(E502=2,20,IF(E502=3,10,IF(E502&lt;&gt;"",1,0))))+IF(F502=1,30,IF(F502=2,20,IF(F502=3,10,IF(F502&lt;&gt;"",1,0))))+IF(G502=1,30,IF(G502=2,20,IF(G502=3,10,IF(G502&lt;&gt;"",1,0))))+IF(H502=1,30,IF(H502=2,20,IF(H502=3,10,IF(H502&lt;&gt;"",1,0))))))</f>
        <v/>
      </c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14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>
        <f>IF(AND(C503="",OR(E503="",E503=0)),"",(IF(E503=1,30,IF(E503=2,20,IF(E503=3,10,IF(E503&lt;&gt;"",1,0))))+IF(F503=1,30,IF(F503=2,20,IF(F503=3,10,IF(F503&lt;&gt;"",1,0))))+IF(G503=1,30,IF(G503=2,20,IF(G503=3,10,IF(G503&lt;&gt;"",1,0))))+IF(H503=1,30,IF(H503=2,20,IF(H503=3,10,IF(H503&lt;&gt;"",1,0))))))</f>
        <v/>
      </c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14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>
        <f>IF(AND(C504="",OR(E504="",E504=0)),"",(IF(E504=1,30,IF(E504=2,20,IF(E504=3,10,IF(E504&lt;&gt;"",1,0))))+IF(F504=1,30,IF(F504=2,20,IF(F504=3,10,IF(F504&lt;&gt;"",1,0))))+IF(G504=1,30,IF(G504=2,20,IF(G504=3,10,IF(G504&lt;&gt;"",1,0))))+IF(H504=1,30,IF(H504=2,20,IF(H504=3,10,IF(H504&lt;&gt;"",1,0))))))</f>
        <v/>
      </c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14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>
        <f>IF(AND(C505="",OR(E505="",E505=0)),"",(IF(E505=1,30,IF(E505=2,20,IF(E505=3,10,IF(E505&lt;&gt;"",1,0))))+IF(F505=1,30,IF(F505=2,20,IF(F505=3,10,IF(F505&lt;&gt;"",1,0))))+IF(G505=1,30,IF(G505=2,20,IF(G505=3,10,IF(G505&lt;&gt;"",1,0))))+IF(H505=1,30,IF(H505=2,20,IF(H505=3,10,IF(H505&lt;&gt;"",1,0))))))</f>
        <v/>
      </c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14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>
        <f>IF(AND(C506="",OR(E506="",E506=0)),"",(IF(E506=1,30,IF(E506=2,20,IF(E506=3,10,IF(E506&lt;&gt;"",1,0))))+IF(F506=1,30,IF(F506=2,20,IF(F506=3,10,IF(F506&lt;&gt;"",1,0))))+IF(G506=1,30,IF(G506=2,20,IF(G506=3,10,IF(G506&lt;&gt;"",1,0))))+IF(H506=1,30,IF(H506=2,20,IF(H506=3,10,IF(H506&lt;&gt;"",1,0))))))</f>
        <v/>
      </c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14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>
        <f>IF(AND(C507="",OR(E507="",E507=0)),"",(IF(E507=1,30,IF(E507=2,20,IF(E507=3,10,IF(E507&lt;&gt;"",1,0))))+IF(F507=1,30,IF(F507=2,20,IF(F507=3,10,IF(F507&lt;&gt;"",1,0))))+IF(G507=1,30,IF(G507=2,20,IF(G507=3,10,IF(G507&lt;&gt;"",1,0))))+IF(H507=1,30,IF(H507=2,20,IF(H507=3,10,IF(H507&lt;&gt;"",1,0))))))</f>
        <v/>
      </c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14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>
        <f>IF(AND(C508="",OR(E508="",E508=0)),"",(IF(E508=1,30,IF(E508=2,20,IF(E508=3,10,IF(E508&lt;&gt;"",1,0))))+IF(F508=1,30,IF(F508=2,20,IF(F508=3,10,IF(F508&lt;&gt;"",1,0))))+IF(G508=1,30,IF(G508=2,20,IF(G508=3,10,IF(G508&lt;&gt;"",1,0))))+IF(H508=1,30,IF(H508=2,20,IF(H508=3,10,IF(H508&lt;&gt;"",1,0))))))</f>
        <v/>
      </c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14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>
        <f>IF(AND(C509="",OR(E509="",E509=0)),"",(IF(E509=1,30,IF(E509=2,20,IF(E509=3,10,IF(E509&lt;&gt;"",1,0))))+IF(F509=1,30,IF(F509=2,20,IF(F509=3,10,IF(F509&lt;&gt;"",1,0))))+IF(G509=1,30,IF(G509=2,20,IF(G509=3,10,IF(G509&lt;&gt;"",1,0))))+IF(H509=1,30,IF(H509=2,20,IF(H509=3,10,IF(H509&lt;&gt;"",1,0))))))</f>
        <v/>
      </c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14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>
        <f>IF(AND(C510="",OR(E510="",E510=0)),"",(IF(E510=1,30,IF(E510=2,20,IF(E510=3,10,IF(E510&lt;&gt;"",1,0))))+IF(F510=1,30,IF(F510=2,20,IF(F510=3,10,IF(F510&lt;&gt;"",1,0))))+IF(G510=1,30,IF(G510=2,20,IF(G510=3,10,IF(G510&lt;&gt;"",1,0))))+IF(H510=1,30,IF(H510=2,20,IF(H510=3,10,IF(H510&lt;&gt;"",1,0))))))</f>
        <v/>
      </c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14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>
        <f>IF(AND(C511="",OR(E511="",E511=0)),"",(IF(E511=1,30,IF(E511=2,20,IF(E511=3,10,IF(E511&lt;&gt;"",1,0))))+IF(F511=1,30,IF(F511=2,20,IF(F511=3,10,IF(F511&lt;&gt;"",1,0))))+IF(G511=1,30,IF(G511=2,20,IF(G511=3,10,IF(G511&lt;&gt;"",1,0))))+IF(H511=1,30,IF(H511=2,20,IF(H511=3,10,IF(H511&lt;&gt;"",1,0))))))</f>
        <v/>
      </c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14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>
        <f>IF(AND(C512="",OR(E512="",E512=0)),"",(IF(E512=1,30,IF(E512=2,20,IF(E512=3,10,IF(E512&lt;&gt;"",1,0))))+IF(F512=1,30,IF(F512=2,20,IF(F512=3,10,IF(F512&lt;&gt;"",1,0))))+IF(G512=1,30,IF(G512=2,20,IF(G512=3,10,IF(G512&lt;&gt;"",1,0))))+IF(H512=1,30,IF(H512=2,20,IF(H512=3,10,IF(H512&lt;&gt;"",1,0))))))</f>
        <v/>
      </c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14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>
        <f>IF(AND(C513="",OR(E513="",E513=0)),"",(IF(E513=1,30,IF(E513=2,20,IF(E513=3,10,IF(E513&lt;&gt;"",1,0))))+IF(F513=1,30,IF(F513=2,20,IF(F513=3,10,IF(F513&lt;&gt;"",1,0))))+IF(G513=1,30,IF(G513=2,20,IF(G513=3,10,IF(G513&lt;&gt;"",1,0))))+IF(H513=1,30,IF(H513=2,20,IF(H513=3,10,IF(H513&lt;&gt;"",1,0))))))</f>
        <v/>
      </c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14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>
        <f>IF(AND(C514="",OR(E514="",E514=0)),"",(IF(E514=1,30,IF(E514=2,20,IF(E514=3,10,IF(E514&lt;&gt;"",1,0))))+IF(F514=1,30,IF(F514=2,20,IF(F514=3,10,IF(F514&lt;&gt;"",1,0))))+IF(G514=1,30,IF(G514=2,20,IF(G514=3,10,IF(G514&lt;&gt;"",1,0))))+IF(H514=1,30,IF(H514=2,20,IF(H514=3,10,IF(H514&lt;&gt;"",1,0))))))</f>
        <v/>
      </c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14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>
        <f>IF(AND(C515="",OR(E515="",E515=0)),"",(IF(E515=1,30,IF(E515=2,20,IF(E515=3,10,IF(E515&lt;&gt;"",1,0))))+IF(F515=1,30,IF(F515=2,20,IF(F515=3,10,IF(F515&lt;&gt;"",1,0))))+IF(G515=1,30,IF(G515=2,20,IF(G515=3,10,IF(G515&lt;&gt;"",1,0))))+IF(H515=1,30,IF(H515=2,20,IF(H515=3,10,IF(H515&lt;&gt;"",1,0))))))</f>
        <v/>
      </c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14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>
        <f>IF(AND(C516="",OR(E516="",E516=0)),"",(IF(E516=1,30,IF(E516=2,20,IF(E516=3,10,IF(E516&lt;&gt;"",1,0))))+IF(F516=1,30,IF(F516=2,20,IF(F516=3,10,IF(F516&lt;&gt;"",1,0))))+IF(G516=1,30,IF(G516=2,20,IF(G516=3,10,IF(G516&lt;&gt;"",1,0))))+IF(H516=1,30,IF(H516=2,20,IF(H516=3,10,IF(H516&lt;&gt;"",1,0))))))</f>
        <v/>
      </c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14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>
        <f>IF(AND(C517="",OR(E517="",E517=0)),"",(IF(E517=1,30,IF(E517=2,20,IF(E517=3,10,IF(E517&lt;&gt;"",1,0))))+IF(F517=1,30,IF(F517=2,20,IF(F517=3,10,IF(F517&lt;&gt;"",1,0))))+IF(G517=1,30,IF(G517=2,20,IF(G517=3,10,IF(G517&lt;&gt;"",1,0))))+IF(H517=1,30,IF(H517=2,20,IF(H517=3,10,IF(H517&lt;&gt;"",1,0))))))</f>
        <v/>
      </c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14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>
        <f>IF(AND(C518="",OR(E518="",E518=0)),"",(IF(E518=1,30,IF(E518=2,20,IF(E518=3,10,IF(E518&lt;&gt;"",1,0))))+IF(F518=1,30,IF(F518=2,20,IF(F518=3,10,IF(F518&lt;&gt;"",1,0))))+IF(G518=1,30,IF(G518=2,20,IF(G518=3,10,IF(G518&lt;&gt;"",1,0))))+IF(H518=1,30,IF(H518=2,20,IF(H518=3,10,IF(H518&lt;&gt;"",1,0))))))</f>
        <v/>
      </c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14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>
        <f>IF(AND(C519="",OR(E519="",E519=0)),"",(IF(E519=1,30,IF(E519=2,20,IF(E519=3,10,IF(E519&lt;&gt;"",1,0))))+IF(F519=1,30,IF(F519=2,20,IF(F519=3,10,IF(F519&lt;&gt;"",1,0))))+IF(G519=1,30,IF(G519=2,20,IF(G519=3,10,IF(G519&lt;&gt;"",1,0))))+IF(H519=1,30,IF(H519=2,20,IF(H519=3,10,IF(H519&lt;&gt;"",1,0))))))</f>
        <v/>
      </c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14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>
        <f>IF(AND(C520="",OR(E520="",E520=0)),"",(IF(E520=1,30,IF(E520=2,20,IF(E520=3,10,IF(E520&lt;&gt;"",1,0))))+IF(F520=1,30,IF(F520=2,20,IF(F520=3,10,IF(F520&lt;&gt;"",1,0))))+IF(G520=1,30,IF(G520=2,20,IF(G520=3,10,IF(G520&lt;&gt;"",1,0))))+IF(H520=1,30,IF(H520=2,20,IF(H520=3,10,IF(H520&lt;&gt;"",1,0))))))</f>
        <v/>
      </c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14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>
        <f>IF(AND(C521="",OR(E521="",E521=0)),"",(IF(E521=1,30,IF(E521=2,20,IF(E521=3,10,IF(E521&lt;&gt;"",1,0))))+IF(F521=1,30,IF(F521=2,20,IF(F521=3,10,IF(F521&lt;&gt;"",1,0))))+IF(G521=1,30,IF(G521=2,20,IF(G521=3,10,IF(G521&lt;&gt;"",1,0))))+IF(H521=1,30,IF(H521=2,20,IF(H521=3,10,IF(H521&lt;&gt;"",1,0))))))</f>
        <v/>
      </c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14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>
        <f>IF(AND(C522="",OR(E522="",E522=0)),"",(IF(E522=1,30,IF(E522=2,20,IF(E522=3,10,IF(E522&lt;&gt;"",1,0))))+IF(F522=1,30,IF(F522=2,20,IF(F522=3,10,IF(F522&lt;&gt;"",1,0))))+IF(G522=1,30,IF(G522=2,20,IF(G522=3,10,IF(G522&lt;&gt;"",1,0))))+IF(H522=1,30,IF(H522=2,20,IF(H522=3,10,IF(H522&lt;&gt;"",1,0))))))</f>
        <v/>
      </c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14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>
        <f>IF(AND(C523="",OR(E523="",E523=0)),"",(IF(E523=1,30,IF(E523=2,20,IF(E523=3,10,IF(E523&lt;&gt;"",1,0))))+IF(F523=1,30,IF(F523=2,20,IF(F523=3,10,IF(F523&lt;&gt;"",1,0))))+IF(G523=1,30,IF(G523=2,20,IF(G523=3,10,IF(G523&lt;&gt;"",1,0))))+IF(H523=1,30,IF(H523=2,20,IF(H523=3,10,IF(H523&lt;&gt;"",1,0))))))</f>
        <v/>
      </c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14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>
        <f>IF(AND(C524="",OR(E524="",E524=0)),"",(IF(E524=1,30,IF(E524=2,20,IF(E524=3,10,IF(E524&lt;&gt;"",1,0))))+IF(F524=1,30,IF(F524=2,20,IF(F524=3,10,IF(F524&lt;&gt;"",1,0))))+IF(G524=1,30,IF(G524=2,20,IF(G524=3,10,IF(G524&lt;&gt;"",1,0))))+IF(H524=1,30,IF(H524=2,20,IF(H524=3,10,IF(H524&lt;&gt;"",1,0))))))</f>
        <v/>
      </c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14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>
        <f>IF(AND(C525="",OR(E525="",E525=0)),"",(IF(E525=1,30,IF(E525=2,20,IF(E525=3,10,IF(E525&lt;&gt;"",1,0))))+IF(F525=1,30,IF(F525=2,20,IF(F525=3,10,IF(F525&lt;&gt;"",1,0))))+IF(G525=1,30,IF(G525=2,20,IF(G525=3,10,IF(G525&lt;&gt;"",1,0))))+IF(H525=1,30,IF(H525=2,20,IF(H525=3,10,IF(H525&lt;&gt;"",1,0))))))</f>
        <v/>
      </c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14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>
        <f>IF(AND(C526="",OR(E526="",E526=0)),"",(IF(E526=1,30,IF(E526=2,20,IF(E526=3,10,IF(E526&lt;&gt;"",1,0))))+IF(F526=1,30,IF(F526=2,20,IF(F526=3,10,IF(F526&lt;&gt;"",1,0))))+IF(G526=1,30,IF(G526=2,20,IF(G526=3,10,IF(G526&lt;&gt;"",1,0))))+IF(H526=1,30,IF(H526=2,20,IF(H526=3,10,IF(H526&lt;&gt;"",1,0))))))</f>
        <v/>
      </c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14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>
        <f>IF(AND(C527="",OR(E527="",E527=0)),"",(IF(E527=1,30,IF(E527=2,20,IF(E527=3,10,IF(E527&lt;&gt;"",1,0))))+IF(F527=1,30,IF(F527=2,20,IF(F527=3,10,IF(F527&lt;&gt;"",1,0))))+IF(G527=1,30,IF(G527=2,20,IF(G527=3,10,IF(G527&lt;&gt;"",1,0))))+IF(H527=1,30,IF(H527=2,20,IF(H527=3,10,IF(H527&lt;&gt;"",1,0))))))</f>
        <v/>
      </c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14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>
        <f>IF(AND(C528="",OR(E528="",E528=0)),"",(IF(E528=1,30,IF(E528=2,20,IF(E528=3,10,IF(E528&lt;&gt;"",1,0))))+IF(F528=1,30,IF(F528=2,20,IF(F528=3,10,IF(F528&lt;&gt;"",1,0))))+IF(G528=1,30,IF(G528=2,20,IF(G528=3,10,IF(G528&lt;&gt;"",1,0))))+IF(H528=1,30,IF(H528=2,20,IF(H528=3,10,IF(H528&lt;&gt;"",1,0))))))</f>
        <v/>
      </c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14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>
        <f>IF(AND(C529="",OR(E529="",E529=0)),"",(IF(E529=1,30,IF(E529=2,20,IF(E529=3,10,IF(E529&lt;&gt;"",1,0))))+IF(F529=1,30,IF(F529=2,20,IF(F529=3,10,IF(F529&lt;&gt;"",1,0))))+IF(G529=1,30,IF(G529=2,20,IF(G529=3,10,IF(G529&lt;&gt;"",1,0))))+IF(H529=1,30,IF(H529=2,20,IF(H529=3,10,IF(H529&lt;&gt;"",1,0))))))</f>
        <v/>
      </c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14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>
        <f>IF(AND(C530="",OR(E530="",E530=0)),"",(IF(E530=1,30,IF(E530=2,20,IF(E530=3,10,IF(E530&lt;&gt;"",1,0))))+IF(F530=1,30,IF(F530=2,20,IF(F530=3,10,IF(F530&lt;&gt;"",1,0))))+IF(G530=1,30,IF(G530=2,20,IF(G530=3,10,IF(G530&lt;&gt;"",1,0))))+IF(H530=1,30,IF(H530=2,20,IF(H530=3,10,IF(H530&lt;&gt;"",1,0))))))</f>
        <v/>
      </c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14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>
        <f>IF(AND(C531="",OR(E531="",E531=0)),"",(IF(E531=1,30,IF(E531=2,20,IF(E531=3,10,IF(E531&lt;&gt;"",1,0))))+IF(F531=1,30,IF(F531=2,20,IF(F531=3,10,IF(F531&lt;&gt;"",1,0))))+IF(G531=1,30,IF(G531=2,20,IF(G531=3,10,IF(G531&lt;&gt;"",1,0))))+IF(H531=1,30,IF(H531=2,20,IF(H531=3,10,IF(H531&lt;&gt;"",1,0))))))</f>
        <v/>
      </c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14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>
        <f>IF(AND(C532="",OR(E532="",E532=0)),"",(IF(E532=1,30,IF(E532=2,20,IF(E532=3,10,IF(E532&lt;&gt;"",1,0))))+IF(F532=1,30,IF(F532=2,20,IF(F532=3,10,IF(F532&lt;&gt;"",1,0))))+IF(G532=1,30,IF(G532=2,20,IF(G532=3,10,IF(G532&lt;&gt;"",1,0))))+IF(H532=1,30,IF(H532=2,20,IF(H532=3,10,IF(H532&lt;&gt;"",1,0))))))</f>
        <v/>
      </c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14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>
        <f>IF(AND(C533="",OR(E533="",E533=0)),"",(IF(E533=1,30,IF(E533=2,20,IF(E533=3,10,IF(E533&lt;&gt;"",1,0))))+IF(F533=1,30,IF(F533=2,20,IF(F533=3,10,IF(F533&lt;&gt;"",1,0))))+IF(G533=1,30,IF(G533=2,20,IF(G533=3,10,IF(G533&lt;&gt;"",1,0))))+IF(H533=1,30,IF(H533=2,20,IF(H533=3,10,IF(H533&lt;&gt;"",1,0))))))</f>
        <v/>
      </c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14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>
        <f>IF(AND(C534="",OR(E534="",E534=0)),"",(IF(E534=1,30,IF(E534=2,20,IF(E534=3,10,IF(E534&lt;&gt;"",1,0))))+IF(F534=1,30,IF(F534=2,20,IF(F534=3,10,IF(F534&lt;&gt;"",1,0))))+IF(G534=1,30,IF(G534=2,20,IF(G534=3,10,IF(G534&lt;&gt;"",1,0))))+IF(H534=1,30,IF(H534=2,20,IF(H534=3,10,IF(H534&lt;&gt;"",1,0))))))</f>
        <v/>
      </c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14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>
        <f>IF(AND(C535="",OR(E535="",E535=0)),"",(IF(E535=1,30,IF(E535=2,20,IF(E535=3,10,IF(E535&lt;&gt;"",1,0))))+IF(F535=1,30,IF(F535=2,20,IF(F535=3,10,IF(F535&lt;&gt;"",1,0))))+IF(G535=1,30,IF(G535=2,20,IF(G535=3,10,IF(G535&lt;&gt;"",1,0))))+IF(H535=1,30,IF(H535=2,20,IF(H535=3,10,IF(H535&lt;&gt;"",1,0))))))</f>
        <v/>
      </c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14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>
        <f>IF(AND(C536="",OR(E536="",E536=0)),"",(IF(E536=1,30,IF(E536=2,20,IF(E536=3,10,IF(E536&lt;&gt;"",1,0))))+IF(F536=1,30,IF(F536=2,20,IF(F536=3,10,IF(F536&lt;&gt;"",1,0))))+IF(G536=1,30,IF(G536=2,20,IF(G536=3,10,IF(G536&lt;&gt;"",1,0))))+IF(H536=1,30,IF(H536=2,20,IF(H536=3,10,IF(H536&lt;&gt;"",1,0))))))</f>
        <v/>
      </c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14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>
        <f>IF(AND(C537="",OR(E537="",E537=0)),"",(IF(E537=1,30,IF(E537=2,20,IF(E537=3,10,IF(E537&lt;&gt;"",1,0))))+IF(F537=1,30,IF(F537=2,20,IF(F537=3,10,IF(F537&lt;&gt;"",1,0))))+IF(G537=1,30,IF(G537=2,20,IF(G537=3,10,IF(G537&lt;&gt;"",1,0))))+IF(H537=1,30,IF(H537=2,20,IF(H537=3,10,IF(H537&lt;&gt;"",1,0))))))</f>
        <v/>
      </c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14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>
        <f>IF(AND(C538="",OR(E538="",E538=0)),"",(IF(E538=1,30,IF(E538=2,20,IF(E538=3,10,IF(E538&lt;&gt;"",1,0))))+IF(F538=1,30,IF(F538=2,20,IF(F538=3,10,IF(F538&lt;&gt;"",1,0))))+IF(G538=1,30,IF(G538=2,20,IF(G538=3,10,IF(G538&lt;&gt;"",1,0))))+IF(H538=1,30,IF(H538=2,20,IF(H538=3,10,IF(H538&lt;&gt;"",1,0))))))</f>
        <v/>
      </c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14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>
        <f>IF(AND(C539="",OR(E539="",E539=0)),"",(IF(E539=1,30,IF(E539=2,20,IF(E539=3,10,IF(E539&lt;&gt;"",1,0))))+IF(F539=1,30,IF(F539=2,20,IF(F539=3,10,IF(F539&lt;&gt;"",1,0))))+IF(G539=1,30,IF(G539=2,20,IF(G539=3,10,IF(G539&lt;&gt;"",1,0))))+IF(H539=1,30,IF(H539=2,20,IF(H539=3,10,IF(H539&lt;&gt;"",1,0))))))</f>
        <v/>
      </c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14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>
        <f>IF(AND(C540="",OR(E540="",E540=0)),"",(IF(E540=1,30,IF(E540=2,20,IF(E540=3,10,IF(E540&lt;&gt;"",1,0))))+IF(F540=1,30,IF(F540=2,20,IF(F540=3,10,IF(F540&lt;&gt;"",1,0))))+IF(G540=1,30,IF(G540=2,20,IF(G540=3,10,IF(G540&lt;&gt;"",1,0))))+IF(H540=1,30,IF(H540=2,20,IF(H540=3,10,IF(H540&lt;&gt;"",1,0))))))</f>
        <v/>
      </c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14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>
        <f>IF(AND(C541="",OR(E541="",E541=0)),"",(IF(E541=1,30,IF(E541=2,20,IF(E541=3,10,IF(E541&lt;&gt;"",1,0))))+IF(F541=1,30,IF(F541=2,20,IF(F541=3,10,IF(F541&lt;&gt;"",1,0))))+IF(G541=1,30,IF(G541=2,20,IF(G541=3,10,IF(G541&lt;&gt;"",1,0))))+IF(H541=1,30,IF(H541=2,20,IF(H541=3,10,IF(H541&lt;&gt;"",1,0))))))</f>
        <v/>
      </c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14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>
        <f>IF(AND(C542="",OR(E542="",E542=0)),"",(IF(E542=1,30,IF(E542=2,20,IF(E542=3,10,IF(E542&lt;&gt;"",1,0))))+IF(F542=1,30,IF(F542=2,20,IF(F542=3,10,IF(F542&lt;&gt;"",1,0))))+IF(G542=1,30,IF(G542=2,20,IF(G542=3,10,IF(G542&lt;&gt;"",1,0))))+IF(H542=1,30,IF(H542=2,20,IF(H542=3,10,IF(H542&lt;&gt;"",1,0))))))</f>
        <v/>
      </c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1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>
        <f>IF(AND(C543="",OR(E543="",E543=0)),"",(IF(E543=1,30,IF(E543=2,20,IF(E543=3,10,IF(E543&lt;&gt;"",1,0))))+IF(F543=1,30,IF(F543=2,20,IF(F543=3,10,IF(F543&lt;&gt;"",1,0))))+IF(G543=1,30,IF(G543=2,20,IF(G543=3,10,IF(G543&lt;&gt;"",1,0))))+IF(H543=1,30,IF(H543=2,20,IF(H543=3,10,IF(H543&lt;&gt;"",1,0))))))</f>
        <v/>
      </c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14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>
        <f>IF(AND(C544="",OR(E544="",E544=0)),"",(IF(E544=1,30,IF(E544=2,20,IF(E544=3,10,IF(E544&lt;&gt;"",1,0))))+IF(F544=1,30,IF(F544=2,20,IF(F544=3,10,IF(F544&lt;&gt;"",1,0))))+IF(G544=1,30,IF(G544=2,20,IF(G544=3,10,IF(G544&lt;&gt;"",1,0))))+IF(H544=1,30,IF(H544=2,20,IF(H544=3,10,IF(H544&lt;&gt;"",1,0))))))</f>
        <v/>
      </c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14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>
        <f>IF(AND(C545="",OR(E545="",E545=0)),"",(IF(E545=1,30,IF(E545=2,20,IF(E545=3,10,IF(E545&lt;&gt;"",1,0))))+IF(F545=1,30,IF(F545=2,20,IF(F545=3,10,IF(F545&lt;&gt;"",1,0))))+IF(G545=1,30,IF(G545=2,20,IF(G545=3,10,IF(G545&lt;&gt;"",1,0))))+IF(H545=1,30,IF(H545=2,20,IF(H545=3,10,IF(H545&lt;&gt;"",1,0))))))</f>
        <v/>
      </c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14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>
        <f>IF(AND(C546="",OR(E546="",E546=0)),"",(IF(E546=1,30,IF(E546=2,20,IF(E546=3,10,IF(E546&lt;&gt;"",1,0))))+IF(F546=1,30,IF(F546=2,20,IF(F546=3,10,IF(F546&lt;&gt;"",1,0))))+IF(G546=1,30,IF(G546=2,20,IF(G546=3,10,IF(G546&lt;&gt;"",1,0))))+IF(H546=1,30,IF(H546=2,20,IF(H546=3,10,IF(H546&lt;&gt;"",1,0))))))</f>
        <v/>
      </c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14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>
        <f>IF(AND(C547="",OR(E547="",E547=0)),"",(IF(E547=1,30,IF(E547=2,20,IF(E547=3,10,IF(E547&lt;&gt;"",1,0))))+IF(F547=1,30,IF(F547=2,20,IF(F547=3,10,IF(F547&lt;&gt;"",1,0))))+IF(G547=1,30,IF(G547=2,20,IF(G547=3,10,IF(G547&lt;&gt;"",1,0))))+IF(H547=1,30,IF(H547=2,20,IF(H547=3,10,IF(H547&lt;&gt;"",1,0))))))</f>
        <v/>
      </c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14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>
        <f>IF(AND(C548="",OR(E548="",E548=0)),"",(IF(E548=1,30,IF(E548=2,20,IF(E548=3,10,IF(E548&lt;&gt;"",1,0))))+IF(F548=1,30,IF(F548=2,20,IF(F548=3,10,IF(F548&lt;&gt;"",1,0))))+IF(G548=1,30,IF(G548=2,20,IF(G548=3,10,IF(G548&lt;&gt;"",1,0))))+IF(H548=1,30,IF(H548=2,20,IF(H548=3,10,IF(H548&lt;&gt;"",1,0))))))</f>
        <v/>
      </c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14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>
        <f>IF(AND(C549="",OR(E549="",E549=0)),"",(IF(E549=1,30,IF(E549=2,20,IF(E549=3,10,IF(E549&lt;&gt;"",1,0))))+IF(F549=1,30,IF(F549=2,20,IF(F549=3,10,IF(F549&lt;&gt;"",1,0))))+IF(G549=1,30,IF(G549=2,20,IF(G549=3,10,IF(G549&lt;&gt;"",1,0))))+IF(H549=1,30,IF(H549=2,20,IF(H549=3,10,IF(H549&lt;&gt;"",1,0))))))</f>
        <v/>
      </c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14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>
        <f>IF(AND(C550="",OR(E550="",E550=0)),"",(IF(E550=1,30,IF(E550=2,20,IF(E550=3,10,IF(E550&lt;&gt;"",1,0))))+IF(F550=1,30,IF(F550=2,20,IF(F550=3,10,IF(F550&lt;&gt;"",1,0))))+IF(G550=1,30,IF(G550=2,20,IF(G550=3,10,IF(G550&lt;&gt;"",1,0))))+IF(H550=1,30,IF(H550=2,20,IF(H550=3,10,IF(H550&lt;&gt;"",1,0))))))</f>
        <v/>
      </c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14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>
        <f>IF(AND(C551="",OR(E551="",E551=0)),"",(IF(E551=1,30,IF(E551=2,20,IF(E551=3,10,IF(E551&lt;&gt;"",1,0))))+IF(F551=1,30,IF(F551=2,20,IF(F551=3,10,IF(F551&lt;&gt;"",1,0))))+IF(G551=1,30,IF(G551=2,20,IF(G551=3,10,IF(G551&lt;&gt;"",1,0))))+IF(H551=1,30,IF(H551=2,20,IF(H551=3,10,IF(H551&lt;&gt;"",1,0))))))</f>
        <v/>
      </c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14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>
        <f>IF(AND(C552="",OR(E552="",E552=0)),"",(IF(E552=1,30,IF(E552=2,20,IF(E552=3,10,IF(E552&lt;&gt;"",1,0))))+IF(F552=1,30,IF(F552=2,20,IF(F552=3,10,IF(F552&lt;&gt;"",1,0))))+IF(G552=1,30,IF(G552=2,20,IF(G552=3,10,IF(G552&lt;&gt;"",1,0))))+IF(H552=1,30,IF(H552=2,20,IF(H552=3,10,IF(H552&lt;&gt;"",1,0))))))</f>
        <v/>
      </c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14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>
        <f>IF(AND(C553="",OR(E553="",E553=0)),"",(IF(E553=1,30,IF(E553=2,20,IF(E553=3,10,IF(E553&lt;&gt;"",1,0))))+IF(F553=1,30,IF(F553=2,20,IF(F553=3,10,IF(F553&lt;&gt;"",1,0))))+IF(G553=1,30,IF(G553=2,20,IF(G553=3,10,IF(G553&lt;&gt;"",1,0))))+IF(H553=1,30,IF(H553=2,20,IF(H553=3,10,IF(H553&lt;&gt;"",1,0))))))</f>
        <v/>
      </c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14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>
        <f>IF(AND(C554="",OR(E554="",E554=0)),"",(IF(E554=1,30,IF(E554=2,20,IF(E554=3,10,IF(E554&lt;&gt;"",1,0))))+IF(F554=1,30,IF(F554=2,20,IF(F554=3,10,IF(F554&lt;&gt;"",1,0))))+IF(G554=1,30,IF(G554=2,20,IF(G554=3,10,IF(G554&lt;&gt;"",1,0))))+IF(H554=1,30,IF(H554=2,20,IF(H554=3,10,IF(H554&lt;&gt;"",1,0))))))</f>
        <v/>
      </c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14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>
        <f>IF(AND(C555="",OR(E555="",E555=0)),"",(IF(E555=1,30,IF(E555=2,20,IF(E555=3,10,IF(E555&lt;&gt;"",1,0))))+IF(F555=1,30,IF(F555=2,20,IF(F555=3,10,IF(F555&lt;&gt;"",1,0))))+IF(G555=1,30,IF(G555=2,20,IF(G555=3,10,IF(G555&lt;&gt;"",1,0))))+IF(H555=1,30,IF(H555=2,20,IF(H555=3,10,IF(H555&lt;&gt;"",1,0))))))</f>
        <v/>
      </c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14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>
        <f>IF(AND(C556="",OR(E556="",E556=0)),"",(IF(E556=1,30,IF(E556=2,20,IF(E556=3,10,IF(E556&lt;&gt;"",1,0))))+IF(F556=1,30,IF(F556=2,20,IF(F556=3,10,IF(F556&lt;&gt;"",1,0))))+IF(G556=1,30,IF(G556=2,20,IF(G556=3,10,IF(G556&lt;&gt;"",1,0))))+IF(H556=1,30,IF(H556=2,20,IF(H556=3,10,IF(H556&lt;&gt;"",1,0))))))</f>
        <v/>
      </c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14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>
        <f>IF(AND(C557="",OR(E557="",E557=0)),"",(IF(E557=1,30,IF(E557=2,20,IF(E557=3,10,IF(E557&lt;&gt;"",1,0))))+IF(F557=1,30,IF(F557=2,20,IF(F557=3,10,IF(F557&lt;&gt;"",1,0))))+IF(G557=1,30,IF(G557=2,20,IF(G557=3,10,IF(G557&lt;&gt;"",1,0))))+IF(H557=1,30,IF(H557=2,20,IF(H557=3,10,IF(H557&lt;&gt;"",1,0))))))</f>
        <v/>
      </c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14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>
        <f>IF(AND(C558="",OR(E558="",E558=0)),"",(IF(E558=1,30,IF(E558=2,20,IF(E558=3,10,IF(E558&lt;&gt;"",1,0))))+IF(F558=1,30,IF(F558=2,20,IF(F558=3,10,IF(F558&lt;&gt;"",1,0))))+IF(G558=1,30,IF(G558=2,20,IF(G558=3,10,IF(G558&lt;&gt;"",1,0))))+IF(H558=1,30,IF(H558=2,20,IF(H558=3,10,IF(H558&lt;&gt;"",1,0))))))</f>
        <v/>
      </c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14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>
        <f>IF(AND(C559="",OR(E559="",E559=0)),"",(IF(E559=1,30,IF(E559=2,20,IF(E559=3,10,IF(E559&lt;&gt;"",1,0))))+IF(F559=1,30,IF(F559=2,20,IF(F559=3,10,IF(F559&lt;&gt;"",1,0))))+IF(G559=1,30,IF(G559=2,20,IF(G559=3,10,IF(G559&lt;&gt;"",1,0))))+IF(H559=1,30,IF(H559=2,20,IF(H559=3,10,IF(H559&lt;&gt;"",1,0))))))</f>
        <v/>
      </c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14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>
        <f>IF(AND(C560="",OR(E560="",E560=0)),"",(IF(E560=1,30,IF(E560=2,20,IF(E560=3,10,IF(E560&lt;&gt;"",1,0))))+IF(F560=1,30,IF(F560=2,20,IF(F560=3,10,IF(F560&lt;&gt;"",1,0))))+IF(G560=1,30,IF(G560=2,20,IF(G560=3,10,IF(G560&lt;&gt;"",1,0))))+IF(H560=1,30,IF(H560=2,20,IF(H560=3,10,IF(H560&lt;&gt;"",1,0))))))</f>
        <v/>
      </c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14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>
        <f>IF(AND(C561="",OR(E561="",E561=0)),"",(IF(E561=1,30,IF(E561=2,20,IF(E561=3,10,IF(E561&lt;&gt;"",1,0))))+IF(F561=1,30,IF(F561=2,20,IF(F561=3,10,IF(F561&lt;&gt;"",1,0))))+IF(G561=1,30,IF(G561=2,20,IF(G561=3,10,IF(G561&lt;&gt;"",1,0))))+IF(H561=1,30,IF(H561=2,20,IF(H561=3,10,IF(H561&lt;&gt;"",1,0))))))</f>
        <v/>
      </c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14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>
        <f>IF(AND(C562="",OR(E562="",E562=0)),"",(IF(E562=1,30,IF(E562=2,20,IF(E562=3,10,IF(E562&lt;&gt;"",1,0))))+IF(F562=1,30,IF(F562=2,20,IF(F562=3,10,IF(F562&lt;&gt;"",1,0))))+IF(G562=1,30,IF(G562=2,20,IF(G562=3,10,IF(G562&lt;&gt;"",1,0))))+IF(H562=1,30,IF(H562=2,20,IF(H562=3,10,IF(H562&lt;&gt;"",1,0))))))</f>
        <v/>
      </c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14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>
        <f>IF(AND(C563="",OR(E563="",E563=0)),"",(IF(E563=1,30,IF(E563=2,20,IF(E563=3,10,IF(E563&lt;&gt;"",1,0))))+IF(F563=1,30,IF(F563=2,20,IF(F563=3,10,IF(F563&lt;&gt;"",1,0))))+IF(G563=1,30,IF(G563=2,20,IF(G563=3,10,IF(G563&lt;&gt;"",1,0))))+IF(H563=1,30,IF(H563=2,20,IF(H563=3,10,IF(H563&lt;&gt;"",1,0))))))</f>
        <v/>
      </c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14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>
        <f>IF(AND(C564="",OR(E564="",E564=0)),"",(IF(E564=1,30,IF(E564=2,20,IF(E564=3,10,IF(E564&lt;&gt;"",1,0))))+IF(F564=1,30,IF(F564=2,20,IF(F564=3,10,IF(F564&lt;&gt;"",1,0))))+IF(G564=1,30,IF(G564=2,20,IF(G564=3,10,IF(G564&lt;&gt;"",1,0))))+IF(H564=1,30,IF(H564=2,20,IF(H564=3,10,IF(H564&lt;&gt;"",1,0))))))</f>
        <v/>
      </c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14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>
        <f>IF(AND(C565="",OR(E565="",E565=0)),"",(IF(E565=1,30,IF(E565=2,20,IF(E565=3,10,IF(E565&lt;&gt;"",1,0))))+IF(F565=1,30,IF(F565=2,20,IF(F565=3,10,IF(F565&lt;&gt;"",1,0))))+IF(G565=1,30,IF(G565=2,20,IF(G565=3,10,IF(G565&lt;&gt;"",1,0))))+IF(H565=1,30,IF(H565=2,20,IF(H565=3,10,IF(H565&lt;&gt;"",1,0))))))</f>
        <v/>
      </c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14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>
        <f>IF(AND(C566="",OR(E566="",E566=0)),"",(IF(E566=1,30,IF(E566=2,20,IF(E566=3,10,IF(E566&lt;&gt;"",1,0))))+IF(F566=1,30,IF(F566=2,20,IF(F566=3,10,IF(F566&lt;&gt;"",1,0))))+IF(G566=1,30,IF(G566=2,20,IF(G566=3,10,IF(G566&lt;&gt;"",1,0))))+IF(H566=1,30,IF(H566=2,20,IF(H566=3,10,IF(H566&lt;&gt;"",1,0))))))</f>
        <v/>
      </c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14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>
        <f>IF(AND(C567="",OR(E567="",E567=0)),"",(IF(E567=1,30,IF(E567=2,20,IF(E567=3,10,IF(E567&lt;&gt;"",1,0))))+IF(F567=1,30,IF(F567=2,20,IF(F567=3,10,IF(F567&lt;&gt;"",1,0))))+IF(G567=1,30,IF(G567=2,20,IF(G567=3,10,IF(G567&lt;&gt;"",1,0))))+IF(H567=1,30,IF(H567=2,20,IF(H567=3,10,IF(H567&lt;&gt;"",1,0))))))</f>
        <v/>
      </c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14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>
        <f>IF(AND(C568="",OR(E568="",E568=0)),"",(IF(E568=1,30,IF(E568=2,20,IF(E568=3,10,IF(E568&lt;&gt;"",1,0))))+IF(F568=1,30,IF(F568=2,20,IF(F568=3,10,IF(F568&lt;&gt;"",1,0))))+IF(G568=1,30,IF(G568=2,20,IF(G568=3,10,IF(G568&lt;&gt;"",1,0))))+IF(H568=1,30,IF(H568=2,20,IF(H568=3,10,IF(H568&lt;&gt;"",1,0))))))</f>
        <v/>
      </c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14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>
        <f>IF(AND(C569="",OR(E569="",E569=0)),"",(IF(E569=1,30,IF(E569=2,20,IF(E569=3,10,IF(E569&lt;&gt;"",1,0))))+IF(F569=1,30,IF(F569=2,20,IF(F569=3,10,IF(F569&lt;&gt;"",1,0))))+IF(G569=1,30,IF(G569=2,20,IF(G569=3,10,IF(G569&lt;&gt;"",1,0))))+IF(H569=1,30,IF(H569=2,20,IF(H569=3,10,IF(H569&lt;&gt;"",1,0))))))</f>
        <v/>
      </c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14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>
        <f>IF(AND(C570="",OR(E570="",E570=0)),"",(IF(E570=1,30,IF(E570=2,20,IF(E570=3,10,IF(E570&lt;&gt;"",1,0))))+IF(F570=1,30,IF(F570=2,20,IF(F570=3,10,IF(F570&lt;&gt;"",1,0))))+IF(G570=1,30,IF(G570=2,20,IF(G570=3,10,IF(G570&lt;&gt;"",1,0))))+IF(H570=1,30,IF(H570=2,20,IF(H570=3,10,IF(H570&lt;&gt;"",1,0))))))</f>
        <v/>
      </c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14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>
        <f>IF(AND(C571="",OR(E571="",E571=0)),"",(IF(E571=1,30,IF(E571=2,20,IF(E571=3,10,IF(E571&lt;&gt;"",1,0))))+IF(F571=1,30,IF(F571=2,20,IF(F571=3,10,IF(F571&lt;&gt;"",1,0))))+IF(G571=1,30,IF(G571=2,20,IF(G571=3,10,IF(G571&lt;&gt;"",1,0))))+IF(H571=1,30,IF(H571=2,20,IF(H571=3,10,IF(H571&lt;&gt;"",1,0))))))</f>
        <v/>
      </c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14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>
        <f>IF(AND(C572="",OR(E572="",E572=0)),"",(IF(E572=1,30,IF(E572=2,20,IF(E572=3,10,IF(E572&lt;&gt;"",1,0))))+IF(F572=1,30,IF(F572=2,20,IF(F572=3,10,IF(F572&lt;&gt;"",1,0))))+IF(G572=1,30,IF(G572=2,20,IF(G572=3,10,IF(G572&lt;&gt;"",1,0))))+IF(H572=1,30,IF(H572=2,20,IF(H572=3,10,IF(H572&lt;&gt;"",1,0))))))</f>
        <v/>
      </c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14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>
        <f>IF(AND(C573="",OR(E573="",E573=0)),"",(IF(E573=1,30,IF(E573=2,20,IF(E573=3,10,IF(E573&lt;&gt;"",1,0))))+IF(F573=1,30,IF(F573=2,20,IF(F573=3,10,IF(F573&lt;&gt;"",1,0))))+IF(G573=1,30,IF(G573=2,20,IF(G573=3,10,IF(G573&lt;&gt;"",1,0))))+IF(H573=1,30,IF(H573=2,20,IF(H573=3,10,IF(H573&lt;&gt;"",1,0))))))</f>
        <v/>
      </c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14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>
        <f>IF(AND(C574="",OR(E574="",E574=0)),"",(IF(E574=1,30,IF(E574=2,20,IF(E574=3,10,IF(E574&lt;&gt;"",1,0))))+IF(F574=1,30,IF(F574=2,20,IF(F574=3,10,IF(F574&lt;&gt;"",1,0))))+IF(G574=1,30,IF(G574=2,20,IF(G574=3,10,IF(G574&lt;&gt;"",1,0))))+IF(H574=1,30,IF(H574=2,20,IF(H574=3,10,IF(H574&lt;&gt;"",1,0))))))</f>
        <v/>
      </c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14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>
        <f>IF(AND(C575="",OR(E575="",E575=0)),"",(IF(E575=1,30,IF(E575=2,20,IF(E575=3,10,IF(E575&lt;&gt;"",1,0))))+IF(F575=1,30,IF(F575=2,20,IF(F575=3,10,IF(F575&lt;&gt;"",1,0))))+IF(G575=1,30,IF(G575=2,20,IF(G575=3,10,IF(G575&lt;&gt;"",1,0))))+IF(H575=1,30,IF(H575=2,20,IF(H575=3,10,IF(H575&lt;&gt;"",1,0))))))</f>
        <v/>
      </c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14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>
        <f>IF(AND(C576="",OR(E576="",E576=0)),"",(IF(E576=1,30,IF(E576=2,20,IF(E576=3,10,IF(E576&lt;&gt;"",1,0))))+IF(F576=1,30,IF(F576=2,20,IF(F576=3,10,IF(F576&lt;&gt;"",1,0))))+IF(G576=1,30,IF(G576=2,20,IF(G576=3,10,IF(G576&lt;&gt;"",1,0))))+IF(H576=1,30,IF(H576=2,20,IF(H576=3,10,IF(H576&lt;&gt;"",1,0))))))</f>
        <v/>
      </c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14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>
        <f>IF(AND(C577="",OR(E577="",E577=0)),"",(IF(E577=1,30,IF(E577=2,20,IF(E577=3,10,IF(E577&lt;&gt;"",1,0))))+IF(F577=1,30,IF(F577=2,20,IF(F577=3,10,IF(F577&lt;&gt;"",1,0))))+IF(G577=1,30,IF(G577=2,20,IF(G577=3,10,IF(G577&lt;&gt;"",1,0))))+IF(H577=1,30,IF(H577=2,20,IF(H577=3,10,IF(H577&lt;&gt;"",1,0))))))</f>
        <v/>
      </c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14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>
        <f>IF(AND(C578="",OR(E578="",E578=0)),"",(IF(E578=1,30,IF(E578=2,20,IF(E578=3,10,IF(E578&lt;&gt;"",1,0))))+IF(F578=1,30,IF(F578=2,20,IF(F578=3,10,IF(F578&lt;&gt;"",1,0))))+IF(G578=1,30,IF(G578=2,20,IF(G578=3,10,IF(G578&lt;&gt;"",1,0))))+IF(H578=1,30,IF(H578=2,20,IF(H578=3,10,IF(H578&lt;&gt;"",1,0))))))</f>
        <v/>
      </c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14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>
        <f>IF(AND(C579="",OR(E579="",E579=0)),"",(IF(E579=1,30,IF(E579=2,20,IF(E579=3,10,IF(E579&lt;&gt;"",1,0))))+IF(F579=1,30,IF(F579=2,20,IF(F579=3,10,IF(F579&lt;&gt;"",1,0))))+IF(G579=1,30,IF(G579=2,20,IF(G579=3,10,IF(G579&lt;&gt;"",1,0))))+IF(H579=1,30,IF(H579=2,20,IF(H579=3,10,IF(H579&lt;&gt;"",1,0))))))</f>
        <v/>
      </c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14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>
        <f>IF(AND(C580="",OR(E580="",E580=0)),"",(IF(E580=1,30,IF(E580=2,20,IF(E580=3,10,IF(E580&lt;&gt;"",1,0))))+IF(F580=1,30,IF(F580=2,20,IF(F580=3,10,IF(F580&lt;&gt;"",1,0))))+IF(G580=1,30,IF(G580=2,20,IF(G580=3,10,IF(G580&lt;&gt;"",1,0))))+IF(H580=1,30,IF(H580=2,20,IF(H580=3,10,IF(H580&lt;&gt;"",1,0))))))</f>
        <v/>
      </c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14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>
        <f>IF(AND(C581="",OR(E581="",E581=0)),"",(IF(E581=1,30,IF(E581=2,20,IF(E581=3,10,IF(E581&lt;&gt;"",1,0))))+IF(F581=1,30,IF(F581=2,20,IF(F581=3,10,IF(F581&lt;&gt;"",1,0))))+IF(G581=1,30,IF(G581=2,20,IF(G581=3,10,IF(G581&lt;&gt;"",1,0))))+IF(H581=1,30,IF(H581=2,20,IF(H581=3,10,IF(H581&lt;&gt;"",1,0))))))</f>
        <v/>
      </c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14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>
        <f>IF(AND(C582="",OR(E582="",E582=0)),"",(IF(E582=1,30,IF(E582=2,20,IF(E582=3,10,IF(E582&lt;&gt;"",1,0))))+IF(F582=1,30,IF(F582=2,20,IF(F582=3,10,IF(F582&lt;&gt;"",1,0))))+IF(G582=1,30,IF(G582=2,20,IF(G582=3,10,IF(G582&lt;&gt;"",1,0))))+IF(H582=1,30,IF(H582=2,20,IF(H582=3,10,IF(H582&lt;&gt;"",1,0))))))</f>
        <v/>
      </c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14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>
        <f>IF(AND(C583="",OR(E583="",E583=0)),"",(IF(E583=1,30,IF(E583=2,20,IF(E583=3,10,IF(E583&lt;&gt;"",1,0))))+IF(F583=1,30,IF(F583=2,20,IF(F583=3,10,IF(F583&lt;&gt;"",1,0))))+IF(G583=1,30,IF(G583=2,20,IF(G583=3,10,IF(G583&lt;&gt;"",1,0))))+IF(H583=1,30,IF(H583=2,20,IF(H583=3,10,IF(H583&lt;&gt;"",1,0))))))</f>
        <v/>
      </c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14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>
        <f>IF(AND(C584="",OR(E584="",E584=0)),"",(IF(E584=1,30,IF(E584=2,20,IF(E584=3,10,IF(E584&lt;&gt;"",1,0))))+IF(F584=1,30,IF(F584=2,20,IF(F584=3,10,IF(F584&lt;&gt;"",1,0))))+IF(G584=1,30,IF(G584=2,20,IF(G584=3,10,IF(G584&lt;&gt;"",1,0))))+IF(H584=1,30,IF(H584=2,20,IF(H584=3,10,IF(H584&lt;&gt;"",1,0))))))</f>
        <v/>
      </c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14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>
        <f>IF(AND(C585="",OR(E585="",E585=0)),"",(IF(E585=1,30,IF(E585=2,20,IF(E585=3,10,IF(E585&lt;&gt;"",1,0))))+IF(F585=1,30,IF(F585=2,20,IF(F585=3,10,IF(F585&lt;&gt;"",1,0))))+IF(G585=1,30,IF(G585=2,20,IF(G585=3,10,IF(G585&lt;&gt;"",1,0))))+IF(H585=1,30,IF(H585=2,20,IF(H585=3,10,IF(H585&lt;&gt;"",1,0))))))</f>
        <v/>
      </c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14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>
        <f>IF(AND(C586="",OR(E586="",E586=0)),"",(IF(E586=1,30,IF(E586=2,20,IF(E586=3,10,IF(E586&lt;&gt;"",1,0))))+IF(F586=1,30,IF(F586=2,20,IF(F586=3,10,IF(F586&lt;&gt;"",1,0))))+IF(G586=1,30,IF(G586=2,20,IF(G586=3,10,IF(G586&lt;&gt;"",1,0))))+IF(H586=1,30,IF(H586=2,20,IF(H586=3,10,IF(H586&lt;&gt;"",1,0))))))</f>
        <v/>
      </c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14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>
        <f>IF(AND(C587="",OR(E587="",E587=0)),"",(IF(E587=1,30,IF(E587=2,20,IF(E587=3,10,IF(E587&lt;&gt;"",1,0))))+IF(F587=1,30,IF(F587=2,20,IF(F587=3,10,IF(F587&lt;&gt;"",1,0))))+IF(G587=1,30,IF(G587=2,20,IF(G587=3,10,IF(G587&lt;&gt;"",1,0))))+IF(H587=1,30,IF(H587=2,20,IF(H587=3,10,IF(H587&lt;&gt;"",1,0))))))</f>
        <v/>
      </c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14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>
        <f>IF(AND(C588="",OR(E588="",E588=0)),"",(IF(E588=1,30,IF(E588=2,20,IF(E588=3,10,IF(E588&lt;&gt;"",1,0))))+IF(F588=1,30,IF(F588=2,20,IF(F588=3,10,IF(F588&lt;&gt;"",1,0))))+IF(G588=1,30,IF(G588=2,20,IF(G588=3,10,IF(G588&lt;&gt;"",1,0))))+IF(H588=1,30,IF(H588=2,20,IF(H588=3,10,IF(H588&lt;&gt;"",1,0))))))</f>
        <v/>
      </c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14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>
        <f>IF(AND(C589="",OR(E589="",E589=0)),"",(IF(E589=1,30,IF(E589=2,20,IF(E589=3,10,IF(E589&lt;&gt;"",1,0))))+IF(F589=1,30,IF(F589=2,20,IF(F589=3,10,IF(F589&lt;&gt;"",1,0))))+IF(G589=1,30,IF(G589=2,20,IF(G589=3,10,IF(G589&lt;&gt;"",1,0))))+IF(H589=1,30,IF(H589=2,20,IF(H589=3,10,IF(H589&lt;&gt;"",1,0))))))</f>
        <v/>
      </c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14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>
        <f>IF(AND(C590="",OR(E590="",E590=0)),"",(IF(E590=1,30,IF(E590=2,20,IF(E590=3,10,IF(E590&lt;&gt;"",1,0))))+IF(F590=1,30,IF(F590=2,20,IF(F590=3,10,IF(F590&lt;&gt;"",1,0))))+IF(G590=1,30,IF(G590=2,20,IF(G590=3,10,IF(G590&lt;&gt;"",1,0))))+IF(H590=1,30,IF(H590=2,20,IF(H590=3,10,IF(H590&lt;&gt;"",1,0))))))</f>
        <v/>
      </c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14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>
        <f>IF(AND(C591="",OR(E591="",E591=0)),"",(IF(E591=1,30,IF(E591=2,20,IF(E591=3,10,IF(E591&lt;&gt;"",1,0))))+IF(F591=1,30,IF(F591=2,20,IF(F591=3,10,IF(F591&lt;&gt;"",1,0))))+IF(G591=1,30,IF(G591=2,20,IF(G591=3,10,IF(G591&lt;&gt;"",1,0))))+IF(H591=1,30,IF(H591=2,20,IF(H591=3,10,IF(H591&lt;&gt;"",1,0))))))</f>
        <v/>
      </c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14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>
        <f>IF(AND(C592="",OR(E592="",E592=0)),"",(IF(E592=1,30,IF(E592=2,20,IF(E592=3,10,IF(E592&lt;&gt;"",1,0))))+IF(F592=1,30,IF(F592=2,20,IF(F592=3,10,IF(F592&lt;&gt;"",1,0))))+IF(G592=1,30,IF(G592=2,20,IF(G592=3,10,IF(G592&lt;&gt;"",1,0))))+IF(H592=1,30,IF(H592=2,20,IF(H592=3,10,IF(H592&lt;&gt;"",1,0))))))</f>
        <v/>
      </c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14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>
        <f>IF(AND(C593="",OR(E593="",E593=0)),"",(IF(E593=1,30,IF(E593=2,20,IF(E593=3,10,IF(E593&lt;&gt;"",1,0))))+IF(F593=1,30,IF(F593=2,20,IF(F593=3,10,IF(F593&lt;&gt;"",1,0))))+IF(G593=1,30,IF(G593=2,20,IF(G593=3,10,IF(G593&lt;&gt;"",1,0))))+IF(H593=1,30,IF(H593=2,20,IF(H593=3,10,IF(H593&lt;&gt;"",1,0))))))</f>
        <v/>
      </c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14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>
        <f>IF(AND(C594="",OR(E594="",E594=0)),"",(IF(E594=1,30,IF(E594=2,20,IF(E594=3,10,IF(E594&lt;&gt;"",1,0))))+IF(F594=1,30,IF(F594=2,20,IF(F594=3,10,IF(F594&lt;&gt;"",1,0))))+IF(G594=1,30,IF(G594=2,20,IF(G594=3,10,IF(G594&lt;&gt;"",1,0))))+IF(H594=1,30,IF(H594=2,20,IF(H594=3,10,IF(H594&lt;&gt;"",1,0))))))</f>
        <v/>
      </c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14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>
        <f>IF(AND(C595="",OR(E595="",E595=0)),"",(IF(E595=1,30,IF(E595=2,20,IF(E595=3,10,IF(E595&lt;&gt;"",1,0))))+IF(F595=1,30,IF(F595=2,20,IF(F595=3,10,IF(F595&lt;&gt;"",1,0))))+IF(G595=1,30,IF(G595=2,20,IF(G595=3,10,IF(G595&lt;&gt;"",1,0))))+IF(H595=1,30,IF(H595=2,20,IF(H595=3,10,IF(H595&lt;&gt;"",1,0))))))</f>
        <v/>
      </c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14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>
        <f>IF(AND(C596="",OR(E596="",E596=0)),"",(IF(E596=1,30,IF(E596=2,20,IF(E596=3,10,IF(E596&lt;&gt;"",1,0))))+IF(F596=1,30,IF(F596=2,20,IF(F596=3,10,IF(F596&lt;&gt;"",1,0))))+IF(G596=1,30,IF(G596=2,20,IF(G596=3,10,IF(G596&lt;&gt;"",1,0))))+IF(H596=1,30,IF(H596=2,20,IF(H596=3,10,IF(H596&lt;&gt;"",1,0))))))</f>
        <v/>
      </c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14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>
        <f>IF(AND(C597="",OR(E597="",E597=0)),"",(IF(E597=1,30,IF(E597=2,20,IF(E597=3,10,IF(E597&lt;&gt;"",1,0))))+IF(F597=1,30,IF(F597=2,20,IF(F597=3,10,IF(F597&lt;&gt;"",1,0))))+IF(G597=1,30,IF(G597=2,20,IF(G597=3,10,IF(G597&lt;&gt;"",1,0))))+IF(H597=1,30,IF(H597=2,20,IF(H597=3,10,IF(H597&lt;&gt;"",1,0))))))</f>
        <v/>
      </c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14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>
        <f>IF(AND(C598="",OR(E598="",E598=0)),"",(IF(E598=1,30,IF(E598=2,20,IF(E598=3,10,IF(E598&lt;&gt;"",1,0))))+IF(F598=1,30,IF(F598=2,20,IF(F598=3,10,IF(F598&lt;&gt;"",1,0))))+IF(G598=1,30,IF(G598=2,20,IF(G598=3,10,IF(G598&lt;&gt;"",1,0))))+IF(H598=1,30,IF(H598=2,20,IF(H598=3,10,IF(H598&lt;&gt;"",1,0))))))</f>
        <v/>
      </c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14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>
        <f>IF(AND(C599="",OR(E599="",E599=0)),"",(IF(E599=1,30,IF(E599=2,20,IF(E599=3,10,IF(E599&lt;&gt;"",1,0))))+IF(F599=1,30,IF(F599=2,20,IF(F599=3,10,IF(F599&lt;&gt;"",1,0))))+IF(G599=1,30,IF(G599=2,20,IF(G599=3,10,IF(G599&lt;&gt;"",1,0))))+IF(H599=1,30,IF(H599=2,20,IF(H599=3,10,IF(H599&lt;&gt;"",1,0))))))</f>
        <v/>
      </c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14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>
        <f>IF(AND(C600="",OR(E600="",E600=0)),"",(IF(E600=1,30,IF(E600=2,20,IF(E600=3,10,IF(E600&lt;&gt;"",1,0))))+IF(F600=1,30,IF(F600=2,20,IF(F600=3,10,IF(F600&lt;&gt;"",1,0))))+IF(G600=1,30,IF(G600=2,20,IF(G600=3,10,IF(G600&lt;&gt;"",1,0))))+IF(H600=1,30,IF(H600=2,20,IF(H600=3,10,IF(H600&lt;&gt;"",1,0))))))</f>
        <v/>
      </c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14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>
        <f>IF(AND(C601="",OR(E601="",E601=0)),"",(IF(E601=1,30,IF(E601=2,20,IF(E601=3,10,IF(E601&lt;&gt;"",1,0))))+IF(F601=1,30,IF(F601=2,20,IF(F601=3,10,IF(F601&lt;&gt;"",1,0))))+IF(G601=1,30,IF(G601=2,20,IF(G601=3,10,IF(G601&lt;&gt;"",1,0))))+IF(H601=1,30,IF(H601=2,20,IF(H601=3,10,IF(H601&lt;&gt;"",1,0))))))</f>
        <v/>
      </c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14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>
        <f>IF(AND(C602="",OR(E602="",E602=0)),"",(IF(E602=1,30,IF(E602=2,20,IF(E602=3,10,IF(E602&lt;&gt;"",1,0))))+IF(F602=1,30,IF(F602=2,20,IF(F602=3,10,IF(F602&lt;&gt;"",1,0))))+IF(G602=1,30,IF(G602=2,20,IF(G602=3,10,IF(G602&lt;&gt;"",1,0))))+IF(H602=1,30,IF(H602=2,20,IF(H602=3,10,IF(H602&lt;&gt;"",1,0))))))</f>
        <v/>
      </c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14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>
        <f>IF(AND(C603="",OR(E603="",E603=0)),"",(IF(E603=1,30,IF(E603=2,20,IF(E603=3,10,IF(E603&lt;&gt;"",1,0))))+IF(F603=1,30,IF(F603=2,20,IF(F603=3,10,IF(F603&lt;&gt;"",1,0))))+IF(G603=1,30,IF(G603=2,20,IF(G603=3,10,IF(G603&lt;&gt;"",1,0))))+IF(H603=1,30,IF(H603=2,20,IF(H603=3,10,IF(H603&lt;&gt;"",1,0))))))</f>
        <v/>
      </c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14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>
        <f>IF(AND(C604="",OR(E604="",E604=0)),"",(IF(E604=1,30,IF(E604=2,20,IF(E604=3,10,IF(E604&lt;&gt;"",1,0))))+IF(F604=1,30,IF(F604=2,20,IF(F604=3,10,IF(F604&lt;&gt;"",1,0))))+IF(G604=1,30,IF(G604=2,20,IF(G604=3,10,IF(G604&lt;&gt;"",1,0))))+IF(H604=1,30,IF(H604=2,20,IF(H604=3,10,IF(H604&lt;&gt;"",1,0))))))</f>
        <v/>
      </c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14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>
        <f>IF(AND(C605="",OR(E605="",E605=0)),"",(IF(E605=1,30,IF(E605=2,20,IF(E605=3,10,IF(E605&lt;&gt;"",1,0))))+IF(F605=1,30,IF(F605=2,20,IF(F605=3,10,IF(F605&lt;&gt;"",1,0))))+IF(G605=1,30,IF(G605=2,20,IF(G605=3,10,IF(G605&lt;&gt;"",1,0))))+IF(H605=1,30,IF(H605=2,20,IF(H605=3,10,IF(H605&lt;&gt;"",1,0))))))</f>
        <v/>
      </c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14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>
        <f>IF(AND(C606="",OR(E606="",E606=0)),"",(IF(E606=1,30,IF(E606=2,20,IF(E606=3,10,IF(E606&lt;&gt;"",1,0))))+IF(F606=1,30,IF(F606=2,20,IF(F606=3,10,IF(F606&lt;&gt;"",1,0))))+IF(G606=1,30,IF(G606=2,20,IF(G606=3,10,IF(G606&lt;&gt;"",1,0))))+IF(H606=1,30,IF(H606=2,20,IF(H606=3,10,IF(H606&lt;&gt;"",1,0))))))</f>
        <v/>
      </c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14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>
        <f>IF(AND(C607="",OR(E607="",E607=0)),"",(IF(E607=1,30,IF(E607=2,20,IF(E607=3,10,IF(E607&lt;&gt;"",1,0))))+IF(F607=1,30,IF(F607=2,20,IF(F607=3,10,IF(F607&lt;&gt;"",1,0))))+IF(G607=1,30,IF(G607=2,20,IF(G607=3,10,IF(G607&lt;&gt;"",1,0))))+IF(H607=1,30,IF(H607=2,20,IF(H607=3,10,IF(H607&lt;&gt;"",1,0))))))</f>
        <v/>
      </c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14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>
        <f>IF(AND(C608="",OR(E608="",E608=0)),"",(IF(E608=1,30,IF(E608=2,20,IF(E608=3,10,IF(E608&lt;&gt;"",1,0))))+IF(F608=1,30,IF(F608=2,20,IF(F608=3,10,IF(F608&lt;&gt;"",1,0))))+IF(G608=1,30,IF(G608=2,20,IF(G608=3,10,IF(G608&lt;&gt;"",1,0))))+IF(H608=1,30,IF(H608=2,20,IF(H608=3,10,IF(H608&lt;&gt;"",1,0))))))</f>
        <v/>
      </c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14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>
        <f>IF(AND(C609="",OR(E609="",E609=0)),"",(IF(E609=1,30,IF(E609=2,20,IF(E609=3,10,IF(E609&lt;&gt;"",1,0))))+IF(F609=1,30,IF(F609=2,20,IF(F609=3,10,IF(F609&lt;&gt;"",1,0))))+IF(G609=1,30,IF(G609=2,20,IF(G609=3,10,IF(G609&lt;&gt;"",1,0))))+IF(H609=1,30,IF(H609=2,20,IF(H609=3,10,IF(H609&lt;&gt;"",1,0))))))</f>
        <v/>
      </c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14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>
        <f>IF(AND(C610="",OR(E610="",E610=0)),"",(IF(E610=1,30,IF(E610=2,20,IF(E610=3,10,IF(E610&lt;&gt;"",1,0))))+IF(F610=1,30,IF(F610=2,20,IF(F610=3,10,IF(F610&lt;&gt;"",1,0))))+IF(G610=1,30,IF(G610=2,20,IF(G610=3,10,IF(G610&lt;&gt;"",1,0))))+IF(H610=1,30,IF(H610=2,20,IF(H610=3,10,IF(H610&lt;&gt;"",1,0))))))</f>
        <v/>
      </c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14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>
        <f>IF(AND(C611="",OR(E611="",E611=0)),"",(IF(E611=1,30,IF(E611=2,20,IF(E611=3,10,IF(E611&lt;&gt;"",1,0))))+IF(F611=1,30,IF(F611=2,20,IF(F611=3,10,IF(F611&lt;&gt;"",1,0))))+IF(G611=1,30,IF(G611=2,20,IF(G611=3,10,IF(G611&lt;&gt;"",1,0))))+IF(H611=1,30,IF(H611=2,20,IF(H611=3,10,IF(H611&lt;&gt;"",1,0))))))</f>
        <v/>
      </c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14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>
        <f>IF(AND(C612="",OR(E612="",E612=0)),"",(IF(E612=1,30,IF(E612=2,20,IF(E612=3,10,IF(E612&lt;&gt;"",1,0))))+IF(F612=1,30,IF(F612=2,20,IF(F612=3,10,IF(F612&lt;&gt;"",1,0))))+IF(G612=1,30,IF(G612=2,20,IF(G612=3,10,IF(G612&lt;&gt;"",1,0))))+IF(H612=1,30,IF(H612=2,20,IF(H612=3,10,IF(H612&lt;&gt;"",1,0))))))</f>
        <v/>
      </c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14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>
        <f>IF(AND(C613="",OR(E613="",E613=0)),"",(IF(E613=1,30,IF(E613=2,20,IF(E613=3,10,IF(E613&lt;&gt;"",1,0))))+IF(F613=1,30,IF(F613=2,20,IF(F613=3,10,IF(F613&lt;&gt;"",1,0))))+IF(G613=1,30,IF(G613=2,20,IF(G613=3,10,IF(G613&lt;&gt;"",1,0))))+IF(H613=1,30,IF(H613=2,20,IF(H613=3,10,IF(H613&lt;&gt;"",1,0))))))</f>
        <v/>
      </c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14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>
        <f>IF(AND(C614="",OR(E614="",E614=0)),"",(IF(E614=1,30,IF(E614=2,20,IF(E614=3,10,IF(E614&lt;&gt;"",1,0))))+IF(F614=1,30,IF(F614=2,20,IF(F614=3,10,IF(F614&lt;&gt;"",1,0))))+IF(G614=1,30,IF(G614=2,20,IF(G614=3,10,IF(G614&lt;&gt;"",1,0))))+IF(H614=1,30,IF(H614=2,20,IF(H614=3,10,IF(H614&lt;&gt;"",1,0))))))</f>
        <v/>
      </c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14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>
        <f>IF(AND(C615="",OR(E615="",E615=0)),"",(IF(E615=1,30,IF(E615=2,20,IF(E615=3,10,IF(E615&lt;&gt;"",1,0))))+IF(F615=1,30,IF(F615=2,20,IF(F615=3,10,IF(F615&lt;&gt;"",1,0))))+IF(G615=1,30,IF(G615=2,20,IF(G615=3,10,IF(G615&lt;&gt;"",1,0))))+IF(H615=1,30,IF(H615=2,20,IF(H615=3,10,IF(H615&lt;&gt;"",1,0))))))</f>
        <v/>
      </c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14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>
        <f>IF(AND(C616="",OR(E616="",E616=0)),"",(IF(E616=1,30,IF(E616=2,20,IF(E616=3,10,IF(E616&lt;&gt;"",1,0))))+IF(F616=1,30,IF(F616=2,20,IF(F616=3,10,IF(F616&lt;&gt;"",1,0))))+IF(G616=1,30,IF(G616=2,20,IF(G616=3,10,IF(G616&lt;&gt;"",1,0))))+IF(H616=1,30,IF(H616=2,20,IF(H616=3,10,IF(H616&lt;&gt;"",1,0))))))</f>
        <v/>
      </c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14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>
        <f>IF(AND(C617="",OR(E617="",E617=0)),"",(IF(E617=1,30,IF(E617=2,20,IF(E617=3,10,IF(E617&lt;&gt;"",1,0))))+IF(F617=1,30,IF(F617=2,20,IF(F617=3,10,IF(F617&lt;&gt;"",1,0))))+IF(G617=1,30,IF(G617=2,20,IF(G617=3,10,IF(G617&lt;&gt;"",1,0))))+IF(H617=1,30,IF(H617=2,20,IF(H617=3,10,IF(H617&lt;&gt;"",1,0))))))</f>
        <v/>
      </c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14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>
        <f>IF(AND(C618="",OR(E618="",E618=0)),"",(IF(E618=1,30,IF(E618=2,20,IF(E618=3,10,IF(E618&lt;&gt;"",1,0))))+IF(F618=1,30,IF(F618=2,20,IF(F618=3,10,IF(F618&lt;&gt;"",1,0))))+IF(G618=1,30,IF(G618=2,20,IF(G618=3,10,IF(G618&lt;&gt;"",1,0))))+IF(H618=1,30,IF(H618=2,20,IF(H618=3,10,IF(H618&lt;&gt;"",1,0))))))</f>
        <v/>
      </c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14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>
        <f>IF(AND(C619="",OR(E619="",E619=0)),"",(IF(E619=1,30,IF(E619=2,20,IF(E619=3,10,IF(E619&lt;&gt;"",1,0))))+IF(F619=1,30,IF(F619=2,20,IF(F619=3,10,IF(F619&lt;&gt;"",1,0))))+IF(G619=1,30,IF(G619=2,20,IF(G619=3,10,IF(G619&lt;&gt;"",1,0))))+IF(H619=1,30,IF(H619=2,20,IF(H619=3,10,IF(H619&lt;&gt;"",1,0))))))</f>
        <v/>
      </c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14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>
        <f>IF(AND(C620="",OR(E620="",E620=0)),"",(IF(E620=1,30,IF(E620=2,20,IF(E620=3,10,IF(E620&lt;&gt;"",1,0))))+IF(F620=1,30,IF(F620=2,20,IF(F620=3,10,IF(F620&lt;&gt;"",1,0))))+IF(G620=1,30,IF(G620=2,20,IF(G620=3,10,IF(G620&lt;&gt;"",1,0))))+IF(H620=1,30,IF(H620=2,20,IF(H620=3,10,IF(H620&lt;&gt;"",1,0))))))</f>
        <v/>
      </c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14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>
        <f>IF(AND(C621="",OR(E621="",E621=0)),"",(IF(E621=1,30,IF(E621=2,20,IF(E621=3,10,IF(E621&lt;&gt;"",1,0))))+IF(F621=1,30,IF(F621=2,20,IF(F621=3,10,IF(F621&lt;&gt;"",1,0))))+IF(G621=1,30,IF(G621=2,20,IF(G621=3,10,IF(G621&lt;&gt;"",1,0))))+IF(H621=1,30,IF(H621=2,20,IF(H621=3,10,IF(H621&lt;&gt;"",1,0))))))</f>
        <v/>
      </c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14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>
        <f>IF(AND(C622="",OR(E622="",E622=0)),"",(IF(E622=1,30,IF(E622=2,20,IF(E622=3,10,IF(E622&lt;&gt;"",1,0))))+IF(F622=1,30,IF(F622=2,20,IF(F622=3,10,IF(F622&lt;&gt;"",1,0))))+IF(G622=1,30,IF(G622=2,20,IF(G622=3,10,IF(G622&lt;&gt;"",1,0))))+IF(H622=1,30,IF(H622=2,20,IF(H622=3,10,IF(H622&lt;&gt;"",1,0))))))</f>
        <v/>
      </c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14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>
        <f>IF(AND(C623="",OR(E623="",E623=0)),"",(IF(E623=1,30,IF(E623=2,20,IF(E623=3,10,IF(E623&lt;&gt;"",1,0))))+IF(F623=1,30,IF(F623=2,20,IF(F623=3,10,IF(F623&lt;&gt;"",1,0))))+IF(G623=1,30,IF(G623=2,20,IF(G623=3,10,IF(G623&lt;&gt;"",1,0))))+IF(H623=1,30,IF(H623=2,20,IF(H623=3,10,IF(H623&lt;&gt;"",1,0))))))</f>
        <v/>
      </c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14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>
        <f>IF(AND(C624="",OR(E624="",E624=0)),"",(IF(E624=1,30,IF(E624=2,20,IF(E624=3,10,IF(E624&lt;&gt;"",1,0))))+IF(F624=1,30,IF(F624=2,20,IF(F624=3,10,IF(F624&lt;&gt;"",1,0))))+IF(G624=1,30,IF(G624=2,20,IF(G624=3,10,IF(G624&lt;&gt;"",1,0))))+IF(H624=1,30,IF(H624=2,20,IF(H624=3,10,IF(H624&lt;&gt;"",1,0))))))</f>
        <v/>
      </c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14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>
        <f>IF(AND(C625="",OR(E625="",E625=0)),"",(IF(E625=1,30,IF(E625=2,20,IF(E625=3,10,IF(E625&lt;&gt;"",1,0))))+IF(F625=1,30,IF(F625=2,20,IF(F625=3,10,IF(F625&lt;&gt;"",1,0))))+IF(G625=1,30,IF(G625=2,20,IF(G625=3,10,IF(G625&lt;&gt;"",1,0))))+IF(H625=1,30,IF(H625=2,20,IF(H625=3,10,IF(H625&lt;&gt;"",1,0))))))</f>
        <v/>
      </c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14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>
        <f>IF(AND(C626="",OR(E626="",E626=0)),"",(IF(E626=1,30,IF(E626=2,20,IF(E626=3,10,IF(E626&lt;&gt;"",1,0))))+IF(F626=1,30,IF(F626=2,20,IF(F626=3,10,IF(F626&lt;&gt;"",1,0))))+IF(G626=1,30,IF(G626=2,20,IF(G626=3,10,IF(G626&lt;&gt;"",1,0))))+IF(H626=1,30,IF(H626=2,20,IF(H626=3,10,IF(H626&lt;&gt;"",1,0))))))</f>
        <v/>
      </c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14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>
        <f>IF(AND(C627="",OR(E627="",E627=0)),"",(IF(E627=1,30,IF(E627=2,20,IF(E627=3,10,IF(E627&lt;&gt;"",1,0))))+IF(F627=1,30,IF(F627=2,20,IF(F627=3,10,IF(F627&lt;&gt;"",1,0))))+IF(G627=1,30,IF(G627=2,20,IF(G627=3,10,IF(G627&lt;&gt;"",1,0))))+IF(H627=1,30,IF(H627=2,20,IF(H627=3,10,IF(H627&lt;&gt;"",1,0))))))</f>
        <v/>
      </c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14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>
        <f>IF(AND(C628="",OR(E628="",E628=0)),"",(IF(E628=1,30,IF(E628=2,20,IF(E628=3,10,IF(E628&lt;&gt;"",1,0))))+IF(F628=1,30,IF(F628=2,20,IF(F628=3,10,IF(F628&lt;&gt;"",1,0))))+IF(G628=1,30,IF(G628=2,20,IF(G628=3,10,IF(G628&lt;&gt;"",1,0))))+IF(H628=1,30,IF(H628=2,20,IF(H628=3,10,IF(H628&lt;&gt;"",1,0))))))</f>
        <v/>
      </c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14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>
        <f>IF(AND(C629="",OR(E629="",E629=0)),"",(IF(E629=1,30,IF(E629=2,20,IF(E629=3,10,IF(E629&lt;&gt;"",1,0))))+IF(F629=1,30,IF(F629=2,20,IF(F629=3,10,IF(F629&lt;&gt;"",1,0))))+IF(G629=1,30,IF(G629=2,20,IF(G629=3,10,IF(G629&lt;&gt;"",1,0))))+IF(H629=1,30,IF(H629=2,20,IF(H629=3,10,IF(H629&lt;&gt;"",1,0))))))</f>
        <v/>
      </c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14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>
        <f>IF(AND(C630="",OR(E630="",E630=0)),"",(IF(E630=1,30,IF(E630=2,20,IF(E630=3,10,IF(E630&lt;&gt;"",1,0))))+IF(F630=1,30,IF(F630=2,20,IF(F630=3,10,IF(F630&lt;&gt;"",1,0))))+IF(G630=1,30,IF(G630=2,20,IF(G630=3,10,IF(G630&lt;&gt;"",1,0))))+IF(H630=1,30,IF(H630=2,20,IF(H630=3,10,IF(H630&lt;&gt;"",1,0))))))</f>
        <v/>
      </c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14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>
        <f>IF(AND(C631="",OR(E631="",E631=0)),"",(IF(E631=1,30,IF(E631=2,20,IF(E631=3,10,IF(E631&lt;&gt;"",1,0))))+IF(F631=1,30,IF(F631=2,20,IF(F631=3,10,IF(F631&lt;&gt;"",1,0))))+IF(G631=1,30,IF(G631=2,20,IF(G631=3,10,IF(G631&lt;&gt;"",1,0))))+IF(H631=1,30,IF(H631=2,20,IF(H631=3,10,IF(H631&lt;&gt;"",1,0))))))</f>
        <v/>
      </c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14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>
        <f>IF(AND(C632="",OR(E632="",E632=0)),"",(IF(E632=1,30,IF(E632=2,20,IF(E632=3,10,IF(E632&lt;&gt;"",1,0))))+IF(F632=1,30,IF(F632=2,20,IF(F632=3,10,IF(F632&lt;&gt;"",1,0))))+IF(G632=1,30,IF(G632=2,20,IF(G632=3,10,IF(G632&lt;&gt;"",1,0))))+IF(H632=1,30,IF(H632=2,20,IF(H632=3,10,IF(H632&lt;&gt;"",1,0))))))</f>
        <v/>
      </c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14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>
        <f>IF(AND(C633="",OR(E633="",E633=0)),"",(IF(E633=1,30,IF(E633=2,20,IF(E633=3,10,IF(E633&lt;&gt;"",1,0))))+IF(F633=1,30,IF(F633=2,20,IF(F633=3,10,IF(F633&lt;&gt;"",1,0))))+IF(G633=1,30,IF(G633=2,20,IF(G633=3,10,IF(G633&lt;&gt;"",1,0))))+IF(H633=1,30,IF(H633=2,20,IF(H633=3,10,IF(H633&lt;&gt;"",1,0))))))</f>
        <v/>
      </c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14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>
        <f>IF(AND(C634="",OR(E634="",E634=0)),"",(IF(E634=1,30,IF(E634=2,20,IF(E634=3,10,IF(E634&lt;&gt;"",1,0))))+IF(F634=1,30,IF(F634=2,20,IF(F634=3,10,IF(F634&lt;&gt;"",1,0))))+IF(G634=1,30,IF(G634=2,20,IF(G634=3,10,IF(G634&lt;&gt;"",1,0))))+IF(H634=1,30,IF(H634=2,20,IF(H634=3,10,IF(H634&lt;&gt;"",1,0))))))</f>
        <v/>
      </c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14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>
        <f>IF(AND(C635="",OR(E635="",E635=0)),"",(IF(E635=1,30,IF(E635=2,20,IF(E635=3,10,IF(E635&lt;&gt;"",1,0))))+IF(F635=1,30,IF(F635=2,20,IF(F635=3,10,IF(F635&lt;&gt;"",1,0))))+IF(G635=1,30,IF(G635=2,20,IF(G635=3,10,IF(G635&lt;&gt;"",1,0))))+IF(H635=1,30,IF(H635=2,20,IF(H635=3,10,IF(H635&lt;&gt;"",1,0))))))</f>
        <v/>
      </c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14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>
        <f>IF(AND(C636="",OR(E636="",E636=0)),"",(IF(E636=1,30,IF(E636=2,20,IF(E636=3,10,IF(E636&lt;&gt;"",1,0))))+IF(F636=1,30,IF(F636=2,20,IF(F636=3,10,IF(F636&lt;&gt;"",1,0))))+IF(G636=1,30,IF(G636=2,20,IF(G636=3,10,IF(G636&lt;&gt;"",1,0))))+IF(H636=1,30,IF(H636=2,20,IF(H636=3,10,IF(H636&lt;&gt;"",1,0))))))</f>
        <v/>
      </c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14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>
        <f>IF(AND(C637="",OR(E637="",E637=0)),"",(IF(E637=1,30,IF(E637=2,20,IF(E637=3,10,IF(E637&lt;&gt;"",1,0))))+IF(F637=1,30,IF(F637=2,20,IF(F637=3,10,IF(F637&lt;&gt;"",1,0))))+IF(G637=1,30,IF(G637=2,20,IF(G637=3,10,IF(G637&lt;&gt;"",1,0))))+IF(H637=1,30,IF(H637=2,20,IF(H637=3,10,IF(H637&lt;&gt;"",1,0))))))</f>
        <v/>
      </c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14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>
        <f>IF(AND(C638="",OR(E638="",E638=0)),"",(IF(E638=1,30,IF(E638=2,20,IF(E638=3,10,IF(E638&lt;&gt;"",1,0))))+IF(F638=1,30,IF(F638=2,20,IF(F638=3,10,IF(F638&lt;&gt;"",1,0))))+IF(G638=1,30,IF(G638=2,20,IF(G638=3,10,IF(G638&lt;&gt;"",1,0))))+IF(H638=1,30,IF(H638=2,20,IF(H638=3,10,IF(H638&lt;&gt;"",1,0))))))</f>
        <v/>
      </c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14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>
        <f>IF(AND(C639="",OR(E639="",E639=0)),"",(IF(E639=1,30,IF(E639=2,20,IF(E639=3,10,IF(E639&lt;&gt;"",1,0))))+IF(F639=1,30,IF(F639=2,20,IF(F639=3,10,IF(F639&lt;&gt;"",1,0))))+IF(G639=1,30,IF(G639=2,20,IF(G639=3,10,IF(G639&lt;&gt;"",1,0))))+IF(H639=1,30,IF(H639=2,20,IF(H639=3,10,IF(H639&lt;&gt;"",1,0))))))</f>
        <v/>
      </c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14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>
        <f>IF(AND(C640="",OR(E640="",E640=0)),"",(IF(E640=1,30,IF(E640=2,20,IF(E640=3,10,IF(E640&lt;&gt;"",1,0))))+IF(F640=1,30,IF(F640=2,20,IF(F640=3,10,IF(F640&lt;&gt;"",1,0))))+IF(G640=1,30,IF(G640=2,20,IF(G640=3,10,IF(G640&lt;&gt;"",1,0))))+IF(H640=1,30,IF(H640=2,20,IF(H640=3,10,IF(H640&lt;&gt;"",1,0))))))</f>
        <v/>
      </c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14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>
        <f>IF(AND(C641="",OR(E641="",E641=0)),"",(IF(E641=1,30,IF(E641=2,20,IF(E641=3,10,IF(E641&lt;&gt;"",1,0))))+IF(F641=1,30,IF(F641=2,20,IF(F641=3,10,IF(F641&lt;&gt;"",1,0))))+IF(G641=1,30,IF(G641=2,20,IF(G641=3,10,IF(G641&lt;&gt;"",1,0))))+IF(H641=1,30,IF(H641=2,20,IF(H641=3,10,IF(H641&lt;&gt;"",1,0))))))</f>
        <v/>
      </c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14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>
        <f>IF(AND(C642="",OR(E642="",E642=0)),"",(IF(E642=1,30,IF(E642=2,20,IF(E642=3,10,IF(E642&lt;&gt;"",1,0))))+IF(F642=1,30,IF(F642=2,20,IF(F642=3,10,IF(F642&lt;&gt;"",1,0))))+IF(G642=1,30,IF(G642=2,20,IF(G642=3,10,IF(G642&lt;&gt;"",1,0))))+IF(H642=1,30,IF(H642=2,20,IF(H642=3,10,IF(H642&lt;&gt;"",1,0))))))</f>
        <v/>
      </c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1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>
        <f>IF(AND(C643="",OR(E643="",E643=0)),"",(IF(E643=1,30,IF(E643=2,20,IF(E643=3,10,IF(E643&lt;&gt;"",1,0))))+IF(F643=1,30,IF(F643=2,20,IF(F643=3,10,IF(F643&lt;&gt;"",1,0))))+IF(G643=1,30,IF(G643=2,20,IF(G643=3,10,IF(G643&lt;&gt;"",1,0))))+IF(H643=1,30,IF(H643=2,20,IF(H643=3,10,IF(H643&lt;&gt;"",1,0))))))</f>
        <v/>
      </c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14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>
        <f>IF(AND(C644="",OR(E644="",E644=0)),"",(IF(E644=1,30,IF(E644=2,20,IF(E644=3,10,IF(E644&lt;&gt;"",1,0))))+IF(F644=1,30,IF(F644=2,20,IF(F644=3,10,IF(F644&lt;&gt;"",1,0))))+IF(G644=1,30,IF(G644=2,20,IF(G644=3,10,IF(G644&lt;&gt;"",1,0))))+IF(H644=1,30,IF(H644=2,20,IF(H644=3,10,IF(H644&lt;&gt;"",1,0))))))</f>
        <v/>
      </c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14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>
        <f>IF(AND(C645="",OR(E645="",E645=0)),"",(IF(E645=1,30,IF(E645=2,20,IF(E645=3,10,IF(E645&lt;&gt;"",1,0))))+IF(F645=1,30,IF(F645=2,20,IF(F645=3,10,IF(F645&lt;&gt;"",1,0))))+IF(G645=1,30,IF(G645=2,20,IF(G645=3,10,IF(G645&lt;&gt;"",1,0))))+IF(H645=1,30,IF(H645=2,20,IF(H645=3,10,IF(H645&lt;&gt;"",1,0))))))</f>
        <v/>
      </c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14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>
        <f>IF(AND(C646="",OR(E646="",E646=0)),"",(IF(E646=1,30,IF(E646=2,20,IF(E646=3,10,IF(E646&lt;&gt;"",1,0))))+IF(F646=1,30,IF(F646=2,20,IF(F646=3,10,IF(F646&lt;&gt;"",1,0))))+IF(G646=1,30,IF(G646=2,20,IF(G646=3,10,IF(G646&lt;&gt;"",1,0))))+IF(H646=1,30,IF(H646=2,20,IF(H646=3,10,IF(H646&lt;&gt;"",1,0))))))</f>
        <v/>
      </c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14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>
        <f>IF(AND(C647="",OR(E647="",E647=0)),"",(IF(E647=1,30,IF(E647=2,20,IF(E647=3,10,IF(E647&lt;&gt;"",1,0))))+IF(F647=1,30,IF(F647=2,20,IF(F647=3,10,IF(F647&lt;&gt;"",1,0))))+IF(G647=1,30,IF(G647=2,20,IF(G647=3,10,IF(G647&lt;&gt;"",1,0))))+IF(H647=1,30,IF(H647=2,20,IF(H647=3,10,IF(H647&lt;&gt;"",1,0))))))</f>
        <v/>
      </c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14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>
        <f>IF(AND(C648="",OR(E648="",E648=0)),"",(IF(E648=1,30,IF(E648=2,20,IF(E648=3,10,IF(E648&lt;&gt;"",1,0))))+IF(F648=1,30,IF(F648=2,20,IF(F648=3,10,IF(F648&lt;&gt;"",1,0))))+IF(G648=1,30,IF(G648=2,20,IF(G648=3,10,IF(G648&lt;&gt;"",1,0))))+IF(H648=1,30,IF(H648=2,20,IF(H648=3,10,IF(H648&lt;&gt;"",1,0))))))</f>
        <v/>
      </c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14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>
        <f>IF(AND(C649="",OR(E649="",E649=0)),"",(IF(E649=1,30,IF(E649=2,20,IF(E649=3,10,IF(E649&lt;&gt;"",1,0))))+IF(F649=1,30,IF(F649=2,20,IF(F649=3,10,IF(F649&lt;&gt;"",1,0))))+IF(G649=1,30,IF(G649=2,20,IF(G649=3,10,IF(G649&lt;&gt;"",1,0))))+IF(H649=1,30,IF(H649=2,20,IF(H649=3,10,IF(H649&lt;&gt;"",1,0))))))</f>
        <v/>
      </c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14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>
        <f>IF(AND(C650="",OR(E650="",E650=0)),"",(IF(E650=1,30,IF(E650=2,20,IF(E650=3,10,IF(E650&lt;&gt;"",1,0))))+IF(F650=1,30,IF(F650=2,20,IF(F650=3,10,IF(F650&lt;&gt;"",1,0))))+IF(G650=1,30,IF(G650=2,20,IF(G650=3,10,IF(G650&lt;&gt;"",1,0))))+IF(H650=1,30,IF(H650=2,20,IF(H650=3,10,IF(H650&lt;&gt;"",1,0))))))</f>
        <v/>
      </c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14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>
        <f>IF(AND(C651="",OR(E651="",E651=0)),"",(IF(E651=1,30,IF(E651=2,20,IF(E651=3,10,IF(E651&lt;&gt;"",1,0))))+IF(F651=1,30,IF(F651=2,20,IF(F651=3,10,IF(F651&lt;&gt;"",1,0))))+IF(G651=1,30,IF(G651=2,20,IF(G651=3,10,IF(G651&lt;&gt;"",1,0))))+IF(H651=1,30,IF(H651=2,20,IF(H651=3,10,IF(H651&lt;&gt;"",1,0))))))</f>
        <v/>
      </c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14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>
        <f>IF(AND(C652="",OR(E652="",E652=0)),"",(IF(E652=1,30,IF(E652=2,20,IF(E652=3,10,IF(E652&lt;&gt;"",1,0))))+IF(F652=1,30,IF(F652=2,20,IF(F652=3,10,IF(F652&lt;&gt;"",1,0))))+IF(G652=1,30,IF(G652=2,20,IF(G652=3,10,IF(G652&lt;&gt;"",1,0))))+IF(H652=1,30,IF(H652=2,20,IF(H652=3,10,IF(H652&lt;&gt;"",1,0))))))</f>
        <v/>
      </c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14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>
        <f>IF(AND(C653="",OR(E653="",E653=0)),"",(IF(E653=1,30,IF(E653=2,20,IF(E653=3,10,IF(E653&lt;&gt;"",1,0))))+IF(F653=1,30,IF(F653=2,20,IF(F653=3,10,IF(F653&lt;&gt;"",1,0))))+IF(G653=1,30,IF(G653=2,20,IF(G653=3,10,IF(G653&lt;&gt;"",1,0))))+IF(H653=1,30,IF(H653=2,20,IF(H653=3,10,IF(H653&lt;&gt;"",1,0))))))</f>
        <v/>
      </c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14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>
        <f>IF(AND(C654="",OR(E654="",E654=0)),"",(IF(E654=1,30,IF(E654=2,20,IF(E654=3,10,IF(E654&lt;&gt;"",1,0))))+IF(F654=1,30,IF(F654=2,20,IF(F654=3,10,IF(F654&lt;&gt;"",1,0))))+IF(G654=1,30,IF(G654=2,20,IF(G654=3,10,IF(G654&lt;&gt;"",1,0))))+IF(H654=1,30,IF(H654=2,20,IF(H654=3,10,IF(H654&lt;&gt;"",1,0))))))</f>
        <v/>
      </c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14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>
        <f>IF(AND(C655="",OR(E655="",E655=0)),"",(IF(E655=1,30,IF(E655=2,20,IF(E655=3,10,IF(E655&lt;&gt;"",1,0))))+IF(F655=1,30,IF(F655=2,20,IF(F655=3,10,IF(F655&lt;&gt;"",1,0))))+IF(G655=1,30,IF(G655=2,20,IF(G655=3,10,IF(G655&lt;&gt;"",1,0))))+IF(H655=1,30,IF(H655=2,20,IF(H655=3,10,IF(H655&lt;&gt;"",1,0))))))</f>
        <v/>
      </c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14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>
        <f>IF(AND(C656="",OR(E656="",E656=0)),"",(IF(E656=1,30,IF(E656=2,20,IF(E656=3,10,IF(E656&lt;&gt;"",1,0))))+IF(F656=1,30,IF(F656=2,20,IF(F656=3,10,IF(F656&lt;&gt;"",1,0))))+IF(G656=1,30,IF(G656=2,20,IF(G656=3,10,IF(G656&lt;&gt;"",1,0))))+IF(H656=1,30,IF(H656=2,20,IF(H656=3,10,IF(H656&lt;&gt;"",1,0))))))</f>
        <v/>
      </c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14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>
        <f>IF(AND(C657="",OR(E657="",E657=0)),"",(IF(E657=1,30,IF(E657=2,20,IF(E657=3,10,IF(E657&lt;&gt;"",1,0))))+IF(F657=1,30,IF(F657=2,20,IF(F657=3,10,IF(F657&lt;&gt;"",1,0))))+IF(G657=1,30,IF(G657=2,20,IF(G657=3,10,IF(G657&lt;&gt;"",1,0))))+IF(H657=1,30,IF(H657=2,20,IF(H657=3,10,IF(H657&lt;&gt;"",1,0))))))</f>
        <v/>
      </c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14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>
        <f>IF(AND(C658="",OR(E658="",E658=0)),"",(IF(E658=1,30,IF(E658=2,20,IF(E658=3,10,IF(E658&lt;&gt;"",1,0))))+IF(F658=1,30,IF(F658=2,20,IF(F658=3,10,IF(F658&lt;&gt;"",1,0))))+IF(G658=1,30,IF(G658=2,20,IF(G658=3,10,IF(G658&lt;&gt;"",1,0))))+IF(H658=1,30,IF(H658=2,20,IF(H658=3,10,IF(H658&lt;&gt;"",1,0))))))</f>
        <v/>
      </c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14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>
        <f>IF(AND(C659="",OR(E659="",E659=0)),"",(IF(E659=1,30,IF(E659=2,20,IF(E659=3,10,IF(E659&lt;&gt;"",1,0))))+IF(F659=1,30,IF(F659=2,20,IF(F659=3,10,IF(F659&lt;&gt;"",1,0))))+IF(G659=1,30,IF(G659=2,20,IF(G659=3,10,IF(G659&lt;&gt;"",1,0))))+IF(H659=1,30,IF(H659=2,20,IF(H659=3,10,IF(H659&lt;&gt;"",1,0))))))</f>
        <v/>
      </c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14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>
        <f>IF(AND(C660="",OR(E660="",E660=0)),"",(IF(E660=1,30,IF(E660=2,20,IF(E660=3,10,IF(E660&lt;&gt;"",1,0))))+IF(F660=1,30,IF(F660=2,20,IF(F660=3,10,IF(F660&lt;&gt;"",1,0))))+IF(G660=1,30,IF(G660=2,20,IF(G660=3,10,IF(G660&lt;&gt;"",1,0))))+IF(H660=1,30,IF(H660=2,20,IF(H660=3,10,IF(H660&lt;&gt;"",1,0))))))</f>
        <v/>
      </c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14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>
        <f>IF(AND(C661="",OR(E661="",E661=0)),"",(IF(E661=1,30,IF(E661=2,20,IF(E661=3,10,IF(E661&lt;&gt;"",1,0))))+IF(F661=1,30,IF(F661=2,20,IF(F661=3,10,IF(F661&lt;&gt;"",1,0))))+IF(G661=1,30,IF(G661=2,20,IF(G661=3,10,IF(G661&lt;&gt;"",1,0))))+IF(H661=1,30,IF(H661=2,20,IF(H661=3,10,IF(H661&lt;&gt;"",1,0))))))</f>
        <v/>
      </c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14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>
        <f>IF(AND(C662="",OR(E662="",E662=0)),"",(IF(E662=1,30,IF(E662=2,20,IF(E662=3,10,IF(E662&lt;&gt;"",1,0))))+IF(F662=1,30,IF(F662=2,20,IF(F662=3,10,IF(F662&lt;&gt;"",1,0))))+IF(G662=1,30,IF(G662=2,20,IF(G662=3,10,IF(G662&lt;&gt;"",1,0))))+IF(H662=1,30,IF(H662=2,20,IF(H662=3,10,IF(H662&lt;&gt;"",1,0))))))</f>
        <v/>
      </c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14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>
        <f>IF(AND(C663="",OR(E663="",E663=0)),"",(IF(E663=1,30,IF(E663=2,20,IF(E663=3,10,IF(E663&lt;&gt;"",1,0))))+IF(F663=1,30,IF(F663=2,20,IF(F663=3,10,IF(F663&lt;&gt;"",1,0))))+IF(G663=1,30,IF(G663=2,20,IF(G663=3,10,IF(G663&lt;&gt;"",1,0))))+IF(H663=1,30,IF(H663=2,20,IF(H663=3,10,IF(H663&lt;&gt;"",1,0))))))</f>
        <v/>
      </c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14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>
        <f>IF(AND(C664="",OR(E664="",E664=0)),"",(IF(E664=1,30,IF(E664=2,20,IF(E664=3,10,IF(E664&lt;&gt;"",1,0))))+IF(F664=1,30,IF(F664=2,20,IF(F664=3,10,IF(F664&lt;&gt;"",1,0))))+IF(G664=1,30,IF(G664=2,20,IF(G664=3,10,IF(G664&lt;&gt;"",1,0))))+IF(H664=1,30,IF(H664=2,20,IF(H664=3,10,IF(H664&lt;&gt;"",1,0))))))</f>
        <v/>
      </c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14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>
        <f>IF(AND(C665="",OR(E665="",E665=0)),"",(IF(E665=1,30,IF(E665=2,20,IF(E665=3,10,IF(E665&lt;&gt;"",1,0))))+IF(F665=1,30,IF(F665=2,20,IF(F665=3,10,IF(F665&lt;&gt;"",1,0))))+IF(G665=1,30,IF(G665=2,20,IF(G665=3,10,IF(G665&lt;&gt;"",1,0))))+IF(H665=1,30,IF(H665=2,20,IF(H665=3,10,IF(H665&lt;&gt;"",1,0))))))</f>
        <v/>
      </c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14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>
        <f>IF(AND(C666="",OR(E666="",E666=0)),"",(IF(E666=1,30,IF(E666=2,20,IF(E666=3,10,IF(E666&lt;&gt;"",1,0))))+IF(F666=1,30,IF(F666=2,20,IF(F666=3,10,IF(F666&lt;&gt;"",1,0))))+IF(G666=1,30,IF(G666=2,20,IF(G666=3,10,IF(G666&lt;&gt;"",1,0))))+IF(H666=1,30,IF(H666=2,20,IF(H666=3,10,IF(H666&lt;&gt;"",1,0))))))</f>
        <v/>
      </c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14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>
        <f>IF(AND(C667="",OR(E667="",E667=0)),"",(IF(E667=1,30,IF(E667=2,20,IF(E667=3,10,IF(E667&lt;&gt;"",1,0))))+IF(F667=1,30,IF(F667=2,20,IF(F667=3,10,IF(F667&lt;&gt;"",1,0))))+IF(G667=1,30,IF(G667=2,20,IF(G667=3,10,IF(G667&lt;&gt;"",1,0))))+IF(H667=1,30,IF(H667=2,20,IF(H667=3,10,IF(H667&lt;&gt;"",1,0))))))</f>
        <v/>
      </c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14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>
        <f>IF(AND(C668="",OR(E668="",E668=0)),"",(IF(E668=1,30,IF(E668=2,20,IF(E668=3,10,IF(E668&lt;&gt;"",1,0))))+IF(F668=1,30,IF(F668=2,20,IF(F668=3,10,IF(F668&lt;&gt;"",1,0))))+IF(G668=1,30,IF(G668=2,20,IF(G668=3,10,IF(G668&lt;&gt;"",1,0))))+IF(H668=1,30,IF(H668=2,20,IF(H668=3,10,IF(H668&lt;&gt;"",1,0))))))</f>
        <v/>
      </c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14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>
        <f>IF(AND(C669="",OR(E669="",E669=0)),"",(IF(E669=1,30,IF(E669=2,20,IF(E669=3,10,IF(E669&lt;&gt;"",1,0))))+IF(F669=1,30,IF(F669=2,20,IF(F669=3,10,IF(F669&lt;&gt;"",1,0))))+IF(G669=1,30,IF(G669=2,20,IF(G669=3,10,IF(G669&lt;&gt;"",1,0))))+IF(H669=1,30,IF(H669=2,20,IF(H669=3,10,IF(H669&lt;&gt;"",1,0))))))</f>
        <v/>
      </c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14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>
        <f>IF(AND(C670="",OR(E670="",E670=0)),"",(IF(E670=1,30,IF(E670=2,20,IF(E670=3,10,IF(E670&lt;&gt;"",1,0))))+IF(F670=1,30,IF(F670=2,20,IF(F670=3,10,IF(F670&lt;&gt;"",1,0))))+IF(G670=1,30,IF(G670=2,20,IF(G670=3,10,IF(G670&lt;&gt;"",1,0))))+IF(H670=1,30,IF(H670=2,20,IF(H670=3,10,IF(H670&lt;&gt;"",1,0))))))</f>
        <v/>
      </c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14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>
        <f>IF(AND(C671="",OR(E671="",E671=0)),"",(IF(E671=1,30,IF(E671=2,20,IF(E671=3,10,IF(E671&lt;&gt;"",1,0))))+IF(F671=1,30,IF(F671=2,20,IF(F671=3,10,IF(F671&lt;&gt;"",1,0))))+IF(G671=1,30,IF(G671=2,20,IF(G671=3,10,IF(G671&lt;&gt;"",1,0))))+IF(H671=1,30,IF(H671=2,20,IF(H671=3,10,IF(H671&lt;&gt;"",1,0))))))</f>
        <v/>
      </c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14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>
        <f>IF(AND(C672="",OR(E672="",E672=0)),"",(IF(E672=1,30,IF(E672=2,20,IF(E672=3,10,IF(E672&lt;&gt;"",1,0))))+IF(F672=1,30,IF(F672=2,20,IF(F672=3,10,IF(F672&lt;&gt;"",1,0))))+IF(G672=1,30,IF(G672=2,20,IF(G672=3,10,IF(G672&lt;&gt;"",1,0))))+IF(H672=1,30,IF(H672=2,20,IF(H672=3,10,IF(H672&lt;&gt;"",1,0))))))</f>
        <v/>
      </c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14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>
        <f>IF(AND(C673="",OR(E673="",E673=0)),"",(IF(E673=1,30,IF(E673=2,20,IF(E673=3,10,IF(E673&lt;&gt;"",1,0))))+IF(F673=1,30,IF(F673=2,20,IF(F673=3,10,IF(F673&lt;&gt;"",1,0))))+IF(G673=1,30,IF(G673=2,20,IF(G673=3,10,IF(G673&lt;&gt;"",1,0))))+IF(H673=1,30,IF(H673=2,20,IF(H673=3,10,IF(H673&lt;&gt;"",1,0))))))</f>
        <v/>
      </c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14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>
        <f>IF(AND(C674="",OR(E674="",E674=0)),"",(IF(E674=1,30,IF(E674=2,20,IF(E674=3,10,IF(E674&lt;&gt;"",1,0))))+IF(F674=1,30,IF(F674=2,20,IF(F674=3,10,IF(F674&lt;&gt;"",1,0))))+IF(G674=1,30,IF(G674=2,20,IF(G674=3,10,IF(G674&lt;&gt;"",1,0))))+IF(H674=1,30,IF(H674=2,20,IF(H674=3,10,IF(H674&lt;&gt;"",1,0))))))</f>
        <v/>
      </c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14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>
        <f>IF(AND(C675="",OR(E675="",E675=0)),"",(IF(E675=1,30,IF(E675=2,20,IF(E675=3,10,IF(E675&lt;&gt;"",1,0))))+IF(F675=1,30,IF(F675=2,20,IF(F675=3,10,IF(F675&lt;&gt;"",1,0))))+IF(G675=1,30,IF(G675=2,20,IF(G675=3,10,IF(G675&lt;&gt;"",1,0))))+IF(H675=1,30,IF(H675=2,20,IF(H675=3,10,IF(H675&lt;&gt;"",1,0))))))</f>
        <v/>
      </c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14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>
        <f>IF(AND(C676="",OR(E676="",E676=0)),"",(IF(E676=1,30,IF(E676=2,20,IF(E676=3,10,IF(E676&lt;&gt;"",1,0))))+IF(F676=1,30,IF(F676=2,20,IF(F676=3,10,IF(F676&lt;&gt;"",1,0))))+IF(G676=1,30,IF(G676=2,20,IF(G676=3,10,IF(G676&lt;&gt;"",1,0))))+IF(H676=1,30,IF(H676=2,20,IF(H676=3,10,IF(H676&lt;&gt;"",1,0))))))</f>
        <v/>
      </c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14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>
        <f>IF(AND(C677="",OR(E677="",E677=0)),"",(IF(E677=1,30,IF(E677=2,20,IF(E677=3,10,IF(E677&lt;&gt;"",1,0))))+IF(F677=1,30,IF(F677=2,20,IF(F677=3,10,IF(F677&lt;&gt;"",1,0))))+IF(G677=1,30,IF(G677=2,20,IF(G677=3,10,IF(G677&lt;&gt;"",1,0))))+IF(H677=1,30,IF(H677=2,20,IF(H677=3,10,IF(H677&lt;&gt;"",1,0))))))</f>
        <v/>
      </c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14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>
        <f>IF(AND(C678="",OR(E678="",E678=0)),"",(IF(E678=1,30,IF(E678=2,20,IF(E678=3,10,IF(E678&lt;&gt;"",1,0))))+IF(F678=1,30,IF(F678=2,20,IF(F678=3,10,IF(F678&lt;&gt;"",1,0))))+IF(G678=1,30,IF(G678=2,20,IF(G678=3,10,IF(G678&lt;&gt;"",1,0))))+IF(H678=1,30,IF(H678=2,20,IF(H678=3,10,IF(H678&lt;&gt;"",1,0))))))</f>
        <v/>
      </c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14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>
        <f>IF(AND(C679="",OR(E679="",E679=0)),"",(IF(E679=1,30,IF(E679=2,20,IF(E679=3,10,IF(E679&lt;&gt;"",1,0))))+IF(F679=1,30,IF(F679=2,20,IF(F679=3,10,IF(F679&lt;&gt;"",1,0))))+IF(G679=1,30,IF(G679=2,20,IF(G679=3,10,IF(G679&lt;&gt;"",1,0))))+IF(H679=1,30,IF(H679=2,20,IF(H679=3,10,IF(H679&lt;&gt;"",1,0))))))</f>
        <v/>
      </c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14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>
        <f>IF(AND(C680="",OR(E680="",E680=0)),"",(IF(E680=1,30,IF(E680=2,20,IF(E680=3,10,IF(E680&lt;&gt;"",1,0))))+IF(F680=1,30,IF(F680=2,20,IF(F680=3,10,IF(F680&lt;&gt;"",1,0))))+IF(G680=1,30,IF(G680=2,20,IF(G680=3,10,IF(G680&lt;&gt;"",1,0))))+IF(H680=1,30,IF(H680=2,20,IF(H680=3,10,IF(H680&lt;&gt;"",1,0))))))</f>
        <v/>
      </c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14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>
        <f>IF(AND(C681="",OR(E681="",E681=0)),"",(IF(E681=1,30,IF(E681=2,20,IF(E681=3,10,IF(E681&lt;&gt;"",1,0))))+IF(F681=1,30,IF(F681=2,20,IF(F681=3,10,IF(F681&lt;&gt;"",1,0))))+IF(G681=1,30,IF(G681=2,20,IF(G681=3,10,IF(G681&lt;&gt;"",1,0))))+IF(H681=1,30,IF(H681=2,20,IF(H681=3,10,IF(H681&lt;&gt;"",1,0))))))</f>
        <v/>
      </c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14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>
        <f>IF(AND(C682="",OR(E682="",E682=0)),"",(IF(E682=1,30,IF(E682=2,20,IF(E682=3,10,IF(E682&lt;&gt;"",1,0))))+IF(F682=1,30,IF(F682=2,20,IF(F682=3,10,IF(F682&lt;&gt;"",1,0))))+IF(G682=1,30,IF(G682=2,20,IF(G682=3,10,IF(G682&lt;&gt;"",1,0))))+IF(H682=1,30,IF(H682=2,20,IF(H682=3,10,IF(H682&lt;&gt;"",1,0))))))</f>
        <v/>
      </c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14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>
        <f>IF(AND(C683="",OR(E683="",E683=0)),"",(IF(E683=1,30,IF(E683=2,20,IF(E683=3,10,IF(E683&lt;&gt;"",1,0))))+IF(F683=1,30,IF(F683=2,20,IF(F683=3,10,IF(F683&lt;&gt;"",1,0))))+IF(G683=1,30,IF(G683=2,20,IF(G683=3,10,IF(G683&lt;&gt;"",1,0))))+IF(H683=1,30,IF(H683=2,20,IF(H683=3,10,IF(H683&lt;&gt;"",1,0))))))</f>
        <v/>
      </c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14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>
        <f>IF(AND(C684="",OR(E684="",E684=0)),"",(IF(E684=1,30,IF(E684=2,20,IF(E684=3,10,IF(E684&lt;&gt;"",1,0))))+IF(F684=1,30,IF(F684=2,20,IF(F684=3,10,IF(F684&lt;&gt;"",1,0))))+IF(G684=1,30,IF(G684=2,20,IF(G684=3,10,IF(G684&lt;&gt;"",1,0))))+IF(H684=1,30,IF(H684=2,20,IF(H684=3,10,IF(H684&lt;&gt;"",1,0))))))</f>
        <v/>
      </c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14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>
        <f>IF(AND(C685="",OR(E685="",E685=0)),"",(IF(E685=1,30,IF(E685=2,20,IF(E685=3,10,IF(E685&lt;&gt;"",1,0))))+IF(F685=1,30,IF(F685=2,20,IF(F685=3,10,IF(F685&lt;&gt;"",1,0))))+IF(G685=1,30,IF(G685=2,20,IF(G685=3,10,IF(G685&lt;&gt;"",1,0))))+IF(H685=1,30,IF(H685=2,20,IF(H685=3,10,IF(H685&lt;&gt;"",1,0))))))</f>
        <v/>
      </c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14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>
        <f>IF(AND(C686="",OR(E686="",E686=0)),"",(IF(E686=1,30,IF(E686=2,20,IF(E686=3,10,IF(E686&lt;&gt;"",1,0))))+IF(F686=1,30,IF(F686=2,20,IF(F686=3,10,IF(F686&lt;&gt;"",1,0))))+IF(G686=1,30,IF(G686=2,20,IF(G686=3,10,IF(G686&lt;&gt;"",1,0))))+IF(H686=1,30,IF(H686=2,20,IF(H686=3,10,IF(H686&lt;&gt;"",1,0))))))</f>
        <v/>
      </c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14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>
        <f>IF(AND(C687="",OR(E687="",E687=0)),"",(IF(E687=1,30,IF(E687=2,20,IF(E687=3,10,IF(E687&lt;&gt;"",1,0))))+IF(F687=1,30,IF(F687=2,20,IF(F687=3,10,IF(F687&lt;&gt;"",1,0))))+IF(G687=1,30,IF(G687=2,20,IF(G687=3,10,IF(G687&lt;&gt;"",1,0))))+IF(H687=1,30,IF(H687=2,20,IF(H687=3,10,IF(H687&lt;&gt;"",1,0))))))</f>
        <v/>
      </c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14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>
        <f>IF(AND(C688="",OR(E688="",E688=0)),"",(IF(E688=1,30,IF(E688=2,20,IF(E688=3,10,IF(E688&lt;&gt;"",1,0))))+IF(F688=1,30,IF(F688=2,20,IF(F688=3,10,IF(F688&lt;&gt;"",1,0))))+IF(G688=1,30,IF(G688=2,20,IF(G688=3,10,IF(G688&lt;&gt;"",1,0))))+IF(H688=1,30,IF(H688=2,20,IF(H688=3,10,IF(H688&lt;&gt;"",1,0))))))</f>
        <v/>
      </c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14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>
        <f>IF(AND(C689="",OR(E689="",E689=0)),"",(IF(E689=1,30,IF(E689=2,20,IF(E689=3,10,IF(E689&lt;&gt;"",1,0))))+IF(F689=1,30,IF(F689=2,20,IF(F689=3,10,IF(F689&lt;&gt;"",1,0))))+IF(G689=1,30,IF(G689=2,20,IF(G689=3,10,IF(G689&lt;&gt;"",1,0))))+IF(H689=1,30,IF(H689=2,20,IF(H689=3,10,IF(H689&lt;&gt;"",1,0))))))</f>
        <v/>
      </c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14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>
        <f>IF(AND(C690="",OR(E690="",E690=0)),"",(IF(E690=1,30,IF(E690=2,20,IF(E690=3,10,IF(E690&lt;&gt;"",1,0))))+IF(F690=1,30,IF(F690=2,20,IF(F690=3,10,IF(F690&lt;&gt;"",1,0))))+IF(G690=1,30,IF(G690=2,20,IF(G690=3,10,IF(G690&lt;&gt;"",1,0))))+IF(H690=1,30,IF(H690=2,20,IF(H690=3,10,IF(H690&lt;&gt;"",1,0))))))</f>
        <v/>
      </c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14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>
        <f>IF(AND(C691="",OR(E691="",E691=0)),"",(IF(E691=1,30,IF(E691=2,20,IF(E691=3,10,IF(E691&lt;&gt;"",1,0))))+IF(F691=1,30,IF(F691=2,20,IF(F691=3,10,IF(F691&lt;&gt;"",1,0))))+IF(G691=1,30,IF(G691=2,20,IF(G691=3,10,IF(G691&lt;&gt;"",1,0))))+IF(H691=1,30,IF(H691=2,20,IF(H691=3,10,IF(H691&lt;&gt;"",1,0))))))</f>
        <v/>
      </c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14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>
        <f>IF(AND(C692="",OR(E692="",E692=0)),"",(IF(E692=1,30,IF(E692=2,20,IF(E692=3,10,IF(E692&lt;&gt;"",1,0))))+IF(F692=1,30,IF(F692=2,20,IF(F692=3,10,IF(F692&lt;&gt;"",1,0))))+IF(G692=1,30,IF(G692=2,20,IF(G692=3,10,IF(G692&lt;&gt;"",1,0))))+IF(H692=1,30,IF(H692=2,20,IF(H692=3,10,IF(H692&lt;&gt;"",1,0))))))</f>
        <v/>
      </c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14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>
        <f>IF(AND(C693="",OR(E693="",E693=0)),"",(IF(E693=1,30,IF(E693=2,20,IF(E693=3,10,IF(E693&lt;&gt;"",1,0))))+IF(F693=1,30,IF(F693=2,20,IF(F693=3,10,IF(F693&lt;&gt;"",1,0))))+IF(G693=1,30,IF(G693=2,20,IF(G693=3,10,IF(G693&lt;&gt;"",1,0))))+IF(H693=1,30,IF(H693=2,20,IF(H693=3,10,IF(H693&lt;&gt;"",1,0))))))</f>
        <v/>
      </c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14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>
        <f>IF(AND(C694="",OR(E694="",E694=0)),"",(IF(E694=1,30,IF(E694=2,20,IF(E694=3,10,IF(E694&lt;&gt;"",1,0))))+IF(F694=1,30,IF(F694=2,20,IF(F694=3,10,IF(F694&lt;&gt;"",1,0))))+IF(G694=1,30,IF(G694=2,20,IF(G694=3,10,IF(G694&lt;&gt;"",1,0))))+IF(H694=1,30,IF(H694=2,20,IF(H694=3,10,IF(H694&lt;&gt;"",1,0))))))</f>
        <v/>
      </c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14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>
        <f>IF(AND(C695="",OR(E695="",E695=0)),"",(IF(E695=1,30,IF(E695=2,20,IF(E695=3,10,IF(E695&lt;&gt;"",1,0))))+IF(F695=1,30,IF(F695=2,20,IF(F695=3,10,IF(F695&lt;&gt;"",1,0))))+IF(G695=1,30,IF(G695=2,20,IF(G695=3,10,IF(G695&lt;&gt;"",1,0))))+IF(H695=1,30,IF(H695=2,20,IF(H695=3,10,IF(H695&lt;&gt;"",1,0))))))</f>
        <v/>
      </c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14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>
        <f>IF(AND(C696="",OR(E696="",E696=0)),"",(IF(E696=1,30,IF(E696=2,20,IF(E696=3,10,IF(E696&lt;&gt;"",1,0))))+IF(F696=1,30,IF(F696=2,20,IF(F696=3,10,IF(F696&lt;&gt;"",1,0))))+IF(G696=1,30,IF(G696=2,20,IF(G696=3,10,IF(G696&lt;&gt;"",1,0))))+IF(H696=1,30,IF(H696=2,20,IF(H696=3,10,IF(H696&lt;&gt;"",1,0))))))</f>
        <v/>
      </c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14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>
        <f>IF(AND(C697="",OR(E697="",E697=0)),"",(IF(E697=1,30,IF(E697=2,20,IF(E697=3,10,IF(E697&lt;&gt;"",1,0))))+IF(F697=1,30,IF(F697=2,20,IF(F697=3,10,IF(F697&lt;&gt;"",1,0))))+IF(G697=1,30,IF(G697=2,20,IF(G697=3,10,IF(G697&lt;&gt;"",1,0))))+IF(H697=1,30,IF(H697=2,20,IF(H697=3,10,IF(H697&lt;&gt;"",1,0))))))</f>
        <v/>
      </c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14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>
        <f>IF(AND(C698="",OR(E698="",E698=0)),"",(IF(E698=1,30,IF(E698=2,20,IF(E698=3,10,IF(E698&lt;&gt;"",1,0))))+IF(F698=1,30,IF(F698=2,20,IF(F698=3,10,IF(F698&lt;&gt;"",1,0))))+IF(G698=1,30,IF(G698=2,20,IF(G698=3,10,IF(G698&lt;&gt;"",1,0))))+IF(H698=1,30,IF(H698=2,20,IF(H698=3,10,IF(H698&lt;&gt;"",1,0))))))</f>
        <v/>
      </c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14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>
        <f>IF(AND(C699="",OR(E699="",E699=0)),"",(IF(E699=1,30,IF(E699=2,20,IF(E699=3,10,IF(E699&lt;&gt;"",1,0))))+IF(F699=1,30,IF(F699=2,20,IF(F699=3,10,IF(F699&lt;&gt;"",1,0))))+IF(G699=1,30,IF(G699=2,20,IF(G699=3,10,IF(G699&lt;&gt;"",1,0))))+IF(H699=1,30,IF(H699=2,20,IF(H699=3,10,IF(H699&lt;&gt;"",1,0))))))</f>
        <v/>
      </c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14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>
        <f>IF(AND(C700="",OR(E700="",E700=0)),"",(IF(E700=1,30,IF(E700=2,20,IF(E700=3,10,IF(E700&lt;&gt;"",1,0))))+IF(F700=1,30,IF(F700=2,20,IF(F700=3,10,IF(F700&lt;&gt;"",1,0))))+IF(G700=1,30,IF(G700=2,20,IF(G700=3,10,IF(G700&lt;&gt;"",1,0))))+IF(H700=1,30,IF(H700=2,20,IF(H700=3,10,IF(H700&lt;&gt;"",1,0))))))</f>
        <v/>
      </c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14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>
        <f>IF(AND(C701="",OR(E701="",E701=0)),"",(IF(E701=1,30,IF(E701=2,20,IF(E701=3,10,IF(E701&lt;&gt;"",1,0))))+IF(F701=1,30,IF(F701=2,20,IF(F701=3,10,IF(F701&lt;&gt;"",1,0))))+IF(G701=1,30,IF(G701=2,20,IF(G701=3,10,IF(G701&lt;&gt;"",1,0))))+IF(H701=1,30,IF(H701=2,20,IF(H701=3,10,IF(H701&lt;&gt;"",1,0))))))</f>
        <v/>
      </c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14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>
        <f>IF(AND(C702="",OR(E702="",E702=0)),"",(IF(E702=1,30,IF(E702=2,20,IF(E702=3,10,IF(E702&lt;&gt;"",1,0))))+IF(F702=1,30,IF(F702=2,20,IF(F702=3,10,IF(F702&lt;&gt;"",1,0))))+IF(G702=1,30,IF(G702=2,20,IF(G702=3,10,IF(G702&lt;&gt;"",1,0))))+IF(H702=1,30,IF(H702=2,20,IF(H702=3,10,IF(H702&lt;&gt;"",1,0))))))</f>
        <v/>
      </c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14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>
        <f>IF(AND(C703="",OR(E703="",E703=0)),"",(IF(E703=1,30,IF(E703=2,20,IF(E703=3,10,IF(E703&lt;&gt;"",1,0))))+IF(F703=1,30,IF(F703=2,20,IF(F703=3,10,IF(F703&lt;&gt;"",1,0))))+IF(G703=1,30,IF(G703=2,20,IF(G703=3,10,IF(G703&lt;&gt;"",1,0))))+IF(H703=1,30,IF(H703=2,20,IF(H703=3,10,IF(H703&lt;&gt;"",1,0))))))</f>
        <v/>
      </c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14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>
        <f>IF(AND(C704="",OR(E704="",E704=0)),"",(IF(E704=1,30,IF(E704=2,20,IF(E704=3,10,IF(E704&lt;&gt;"",1,0))))+IF(F704=1,30,IF(F704=2,20,IF(F704=3,10,IF(F704&lt;&gt;"",1,0))))+IF(G704=1,30,IF(G704=2,20,IF(G704=3,10,IF(G704&lt;&gt;"",1,0))))+IF(H704=1,30,IF(H704=2,20,IF(H704=3,10,IF(H704&lt;&gt;"",1,0))))))</f>
        <v/>
      </c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14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>
        <f>IF(AND(C705="",OR(E705="",E705=0)),"",(IF(E705=1,30,IF(E705=2,20,IF(E705=3,10,IF(E705&lt;&gt;"",1,0))))+IF(F705=1,30,IF(F705=2,20,IF(F705=3,10,IF(F705&lt;&gt;"",1,0))))+IF(G705=1,30,IF(G705=2,20,IF(G705=3,10,IF(G705&lt;&gt;"",1,0))))+IF(H705=1,30,IF(H705=2,20,IF(H705=3,10,IF(H705&lt;&gt;"",1,0))))))</f>
        <v/>
      </c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14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>
        <f>IF(AND(C706="",OR(E706="",E706=0)),"",(IF(E706=1,30,IF(E706=2,20,IF(E706=3,10,IF(E706&lt;&gt;"",1,0))))+IF(F706=1,30,IF(F706=2,20,IF(F706=3,10,IF(F706&lt;&gt;"",1,0))))+IF(G706=1,30,IF(G706=2,20,IF(G706=3,10,IF(G706&lt;&gt;"",1,0))))+IF(H706=1,30,IF(H706=2,20,IF(H706=3,10,IF(H706&lt;&gt;"",1,0))))))</f>
        <v/>
      </c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14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>
        <f>IF(AND(C707="",OR(E707="",E707=0)),"",(IF(E707=1,30,IF(E707=2,20,IF(E707=3,10,IF(E707&lt;&gt;"",1,0))))+IF(F707=1,30,IF(F707=2,20,IF(F707=3,10,IF(F707&lt;&gt;"",1,0))))+IF(G707=1,30,IF(G707=2,20,IF(G707=3,10,IF(G707&lt;&gt;"",1,0))))+IF(H707=1,30,IF(H707=2,20,IF(H707=3,10,IF(H707&lt;&gt;"",1,0))))))</f>
        <v/>
      </c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14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>
        <f>IF(AND(C708="",OR(E708="",E708=0)),"",(IF(E708=1,30,IF(E708=2,20,IF(E708=3,10,IF(E708&lt;&gt;"",1,0))))+IF(F708=1,30,IF(F708=2,20,IF(F708=3,10,IF(F708&lt;&gt;"",1,0))))+IF(G708=1,30,IF(G708=2,20,IF(G708=3,10,IF(G708&lt;&gt;"",1,0))))+IF(H708=1,30,IF(H708=2,20,IF(H708=3,10,IF(H708&lt;&gt;"",1,0))))))</f>
        <v/>
      </c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14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>
        <f>IF(AND(C709="",OR(E709="",E709=0)),"",(IF(E709=1,30,IF(E709=2,20,IF(E709=3,10,IF(E709&lt;&gt;"",1,0))))+IF(F709=1,30,IF(F709=2,20,IF(F709=3,10,IF(F709&lt;&gt;"",1,0))))+IF(G709=1,30,IF(G709=2,20,IF(G709=3,10,IF(G709&lt;&gt;"",1,0))))+IF(H709=1,30,IF(H709=2,20,IF(H709=3,10,IF(H709&lt;&gt;"",1,0))))))</f>
        <v/>
      </c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14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>
        <f>IF(AND(C710="",OR(E710="",E710=0)),"",(IF(E710=1,30,IF(E710=2,20,IF(E710=3,10,IF(E710&lt;&gt;"",1,0))))+IF(F710=1,30,IF(F710=2,20,IF(F710=3,10,IF(F710&lt;&gt;"",1,0))))+IF(G710=1,30,IF(G710=2,20,IF(G710=3,10,IF(G710&lt;&gt;"",1,0))))+IF(H710=1,30,IF(H710=2,20,IF(H710=3,10,IF(H710&lt;&gt;"",1,0))))))</f>
        <v/>
      </c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14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>
        <f>IF(AND(C711="",OR(E711="",E711=0)),"",(IF(E711=1,30,IF(E711=2,20,IF(E711=3,10,IF(E711&lt;&gt;"",1,0))))+IF(F711=1,30,IF(F711=2,20,IF(F711=3,10,IF(F711&lt;&gt;"",1,0))))+IF(G711=1,30,IF(G711=2,20,IF(G711=3,10,IF(G711&lt;&gt;"",1,0))))+IF(H711=1,30,IF(H711=2,20,IF(H711=3,10,IF(H711&lt;&gt;"",1,0))))))</f>
        <v/>
      </c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14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>
        <f>IF(AND(C712="",OR(E712="",E712=0)),"",(IF(E712=1,30,IF(E712=2,20,IF(E712=3,10,IF(E712&lt;&gt;"",1,0))))+IF(F712=1,30,IF(F712=2,20,IF(F712=3,10,IF(F712&lt;&gt;"",1,0))))+IF(G712=1,30,IF(G712=2,20,IF(G712=3,10,IF(G712&lt;&gt;"",1,0))))+IF(H712=1,30,IF(H712=2,20,IF(H712=3,10,IF(H712&lt;&gt;"",1,0))))))</f>
        <v/>
      </c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14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>
        <f>IF(AND(C713="",OR(E713="",E713=0)),"",(IF(E713=1,30,IF(E713=2,20,IF(E713=3,10,IF(E713&lt;&gt;"",1,0))))+IF(F713=1,30,IF(F713=2,20,IF(F713=3,10,IF(F713&lt;&gt;"",1,0))))+IF(G713=1,30,IF(G713=2,20,IF(G713=3,10,IF(G713&lt;&gt;"",1,0))))+IF(H713=1,30,IF(H713=2,20,IF(H713=3,10,IF(H713&lt;&gt;"",1,0))))))</f>
        <v/>
      </c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14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>
        <f>IF(AND(C714="",OR(E714="",E714=0)),"",(IF(E714=1,30,IF(E714=2,20,IF(E714=3,10,IF(E714&lt;&gt;"",1,0))))+IF(F714=1,30,IF(F714=2,20,IF(F714=3,10,IF(F714&lt;&gt;"",1,0))))+IF(G714=1,30,IF(G714=2,20,IF(G714=3,10,IF(G714&lt;&gt;"",1,0))))+IF(H714=1,30,IF(H714=2,20,IF(H714=3,10,IF(H714&lt;&gt;"",1,0))))))</f>
        <v/>
      </c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14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>
        <f>IF(AND(C715="",OR(E715="",E715=0)),"",(IF(E715=1,30,IF(E715=2,20,IF(E715=3,10,IF(E715&lt;&gt;"",1,0))))+IF(F715=1,30,IF(F715=2,20,IF(F715=3,10,IF(F715&lt;&gt;"",1,0))))+IF(G715=1,30,IF(G715=2,20,IF(G715=3,10,IF(G715&lt;&gt;"",1,0))))+IF(H715=1,30,IF(H715=2,20,IF(H715=3,10,IF(H715&lt;&gt;"",1,0))))))</f>
        <v/>
      </c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14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>
        <f>IF(AND(C716="",OR(E716="",E716=0)),"",(IF(E716=1,30,IF(E716=2,20,IF(E716=3,10,IF(E716&lt;&gt;"",1,0))))+IF(F716=1,30,IF(F716=2,20,IF(F716=3,10,IF(F716&lt;&gt;"",1,0))))+IF(G716=1,30,IF(G716=2,20,IF(G716=3,10,IF(G716&lt;&gt;"",1,0))))+IF(H716=1,30,IF(H716=2,20,IF(H716=3,10,IF(H716&lt;&gt;"",1,0))))))</f>
        <v/>
      </c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14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>
        <f>IF(AND(C717="",OR(E717="",E717=0)),"",(IF(E717=1,30,IF(E717=2,20,IF(E717=3,10,IF(E717&lt;&gt;"",1,0))))+IF(F717=1,30,IF(F717=2,20,IF(F717=3,10,IF(F717&lt;&gt;"",1,0))))+IF(G717=1,30,IF(G717=2,20,IF(G717=3,10,IF(G717&lt;&gt;"",1,0))))+IF(H717=1,30,IF(H717=2,20,IF(H717=3,10,IF(H717&lt;&gt;"",1,0))))))</f>
        <v/>
      </c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14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>
        <f>IF(AND(C718="",OR(E718="",E718=0)),"",(IF(E718=1,30,IF(E718=2,20,IF(E718=3,10,IF(E718&lt;&gt;"",1,0))))+IF(F718=1,30,IF(F718=2,20,IF(F718=3,10,IF(F718&lt;&gt;"",1,0))))+IF(G718=1,30,IF(G718=2,20,IF(G718=3,10,IF(G718&lt;&gt;"",1,0))))+IF(H718=1,30,IF(H718=2,20,IF(H718=3,10,IF(H718&lt;&gt;"",1,0))))))</f>
        <v/>
      </c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14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>
        <f>IF(AND(C719="",OR(E719="",E719=0)),"",(IF(E719=1,30,IF(E719=2,20,IF(E719=3,10,IF(E719&lt;&gt;"",1,0))))+IF(F719=1,30,IF(F719=2,20,IF(F719=3,10,IF(F719&lt;&gt;"",1,0))))+IF(G719=1,30,IF(G719=2,20,IF(G719=3,10,IF(G719&lt;&gt;"",1,0))))+IF(H719=1,30,IF(H719=2,20,IF(H719=3,10,IF(H719&lt;&gt;"",1,0))))))</f>
        <v/>
      </c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14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>
        <f>IF(AND(C720="",OR(E720="",E720=0)),"",(IF(E720=1,30,IF(E720=2,20,IF(E720=3,10,IF(E720&lt;&gt;"",1,0))))+IF(F720=1,30,IF(F720=2,20,IF(F720=3,10,IF(F720&lt;&gt;"",1,0))))+IF(G720=1,30,IF(G720=2,20,IF(G720=3,10,IF(G720&lt;&gt;"",1,0))))+IF(H720=1,30,IF(H720=2,20,IF(H720=3,10,IF(H720&lt;&gt;"",1,0))))))</f>
        <v/>
      </c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14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>
        <f>IF(AND(C721="",OR(E721="",E721=0)),"",(IF(E721=1,30,IF(E721=2,20,IF(E721=3,10,IF(E721&lt;&gt;"",1,0))))+IF(F721=1,30,IF(F721=2,20,IF(F721=3,10,IF(F721&lt;&gt;"",1,0))))+IF(G721=1,30,IF(G721=2,20,IF(G721=3,10,IF(G721&lt;&gt;"",1,0))))+IF(H721=1,30,IF(H721=2,20,IF(H721=3,10,IF(H721&lt;&gt;"",1,0))))))</f>
        <v/>
      </c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14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>
        <f>IF(AND(C722="",OR(E722="",E722=0)),"",(IF(E722=1,30,IF(E722=2,20,IF(E722=3,10,IF(E722&lt;&gt;"",1,0))))+IF(F722=1,30,IF(F722=2,20,IF(F722=3,10,IF(F722&lt;&gt;"",1,0))))+IF(G722=1,30,IF(G722=2,20,IF(G722=3,10,IF(G722&lt;&gt;"",1,0))))+IF(H722=1,30,IF(H722=2,20,IF(H722=3,10,IF(H722&lt;&gt;"",1,0))))))</f>
        <v/>
      </c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14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>
        <f>IF(AND(C723="",OR(E723="",E723=0)),"",(IF(E723=1,30,IF(E723=2,20,IF(E723=3,10,IF(E723&lt;&gt;"",1,0))))+IF(F723=1,30,IF(F723=2,20,IF(F723=3,10,IF(F723&lt;&gt;"",1,0))))+IF(G723=1,30,IF(G723=2,20,IF(G723=3,10,IF(G723&lt;&gt;"",1,0))))+IF(H723=1,30,IF(H723=2,20,IF(H723=3,10,IF(H723&lt;&gt;"",1,0))))))</f>
        <v/>
      </c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14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>
        <f>IF(AND(C724="",OR(E724="",E724=0)),"",(IF(E724=1,30,IF(E724=2,20,IF(E724=3,10,IF(E724&lt;&gt;"",1,0))))+IF(F724=1,30,IF(F724=2,20,IF(F724=3,10,IF(F724&lt;&gt;"",1,0))))+IF(G724=1,30,IF(G724=2,20,IF(G724=3,10,IF(G724&lt;&gt;"",1,0))))+IF(H724=1,30,IF(H724=2,20,IF(H724=3,10,IF(H724&lt;&gt;"",1,0))))))</f>
        <v/>
      </c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14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>
        <f>IF(AND(C725="",OR(E725="",E725=0)),"",(IF(E725=1,30,IF(E725=2,20,IF(E725=3,10,IF(E725&lt;&gt;"",1,0))))+IF(F725=1,30,IF(F725=2,20,IF(F725=3,10,IF(F725&lt;&gt;"",1,0))))+IF(G725=1,30,IF(G725=2,20,IF(G725=3,10,IF(G725&lt;&gt;"",1,0))))+IF(H725=1,30,IF(H725=2,20,IF(H725=3,10,IF(H725&lt;&gt;"",1,0))))))</f>
        <v/>
      </c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14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>
        <f>IF(AND(C726="",OR(E726="",E726=0)),"",(IF(E726=1,30,IF(E726=2,20,IF(E726=3,10,IF(E726&lt;&gt;"",1,0))))+IF(F726=1,30,IF(F726=2,20,IF(F726=3,10,IF(F726&lt;&gt;"",1,0))))+IF(G726=1,30,IF(G726=2,20,IF(G726=3,10,IF(G726&lt;&gt;"",1,0))))+IF(H726=1,30,IF(H726=2,20,IF(H726=3,10,IF(H726&lt;&gt;"",1,0))))))</f>
        <v/>
      </c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14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>
        <f>IF(AND(C727="",OR(E727="",E727=0)),"",(IF(E727=1,30,IF(E727=2,20,IF(E727=3,10,IF(E727&lt;&gt;"",1,0))))+IF(F727=1,30,IF(F727=2,20,IF(F727=3,10,IF(F727&lt;&gt;"",1,0))))+IF(G727=1,30,IF(G727=2,20,IF(G727=3,10,IF(G727&lt;&gt;"",1,0))))+IF(H727=1,30,IF(H727=2,20,IF(H727=3,10,IF(H727&lt;&gt;"",1,0))))))</f>
        <v/>
      </c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14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>
        <f>IF(AND(C728="",OR(E728="",E728=0)),"",(IF(E728=1,30,IF(E728=2,20,IF(E728=3,10,IF(E728&lt;&gt;"",1,0))))+IF(F728=1,30,IF(F728=2,20,IF(F728=3,10,IF(F728&lt;&gt;"",1,0))))+IF(G728=1,30,IF(G728=2,20,IF(G728=3,10,IF(G728&lt;&gt;"",1,0))))+IF(H728=1,30,IF(H728=2,20,IF(H728=3,10,IF(H728&lt;&gt;"",1,0))))))</f>
        <v/>
      </c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14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>
        <f>IF(AND(C729="",OR(E729="",E729=0)),"",(IF(E729=1,30,IF(E729=2,20,IF(E729=3,10,IF(E729&lt;&gt;"",1,0))))+IF(F729=1,30,IF(F729=2,20,IF(F729=3,10,IF(F729&lt;&gt;"",1,0))))+IF(G729=1,30,IF(G729=2,20,IF(G729=3,10,IF(G729&lt;&gt;"",1,0))))+IF(H729=1,30,IF(H729=2,20,IF(H729=3,10,IF(H729&lt;&gt;"",1,0))))))</f>
        <v/>
      </c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14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>
        <f>IF(AND(C730="",OR(E730="",E730=0)),"",(IF(E730=1,30,IF(E730=2,20,IF(E730=3,10,IF(E730&lt;&gt;"",1,0))))+IF(F730=1,30,IF(F730=2,20,IF(F730=3,10,IF(F730&lt;&gt;"",1,0))))+IF(G730=1,30,IF(G730=2,20,IF(G730=3,10,IF(G730&lt;&gt;"",1,0))))+IF(H730=1,30,IF(H730=2,20,IF(H730=3,10,IF(H730&lt;&gt;"",1,0))))))</f>
        <v/>
      </c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14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>
        <f>IF(AND(C731="",OR(E731="",E731=0)),"",(IF(E731=1,30,IF(E731=2,20,IF(E731=3,10,IF(E731&lt;&gt;"",1,0))))+IF(F731=1,30,IF(F731=2,20,IF(F731=3,10,IF(F731&lt;&gt;"",1,0))))+IF(G731=1,30,IF(G731=2,20,IF(G731=3,10,IF(G731&lt;&gt;"",1,0))))+IF(H731=1,30,IF(H731=2,20,IF(H731=3,10,IF(H731&lt;&gt;"",1,0))))))</f>
        <v/>
      </c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14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>
        <f>IF(AND(C732="",OR(E732="",E732=0)),"",(IF(E732=1,30,IF(E732=2,20,IF(E732=3,10,IF(E732&lt;&gt;"",1,0))))+IF(F732=1,30,IF(F732=2,20,IF(F732=3,10,IF(F732&lt;&gt;"",1,0))))+IF(G732=1,30,IF(G732=2,20,IF(G732=3,10,IF(G732&lt;&gt;"",1,0))))+IF(H732=1,30,IF(H732=2,20,IF(H732=3,10,IF(H732&lt;&gt;"",1,0))))))</f>
        <v/>
      </c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14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>
        <f>IF(AND(C733="",OR(E733="",E733=0)),"",(IF(E733=1,30,IF(E733=2,20,IF(E733=3,10,IF(E733&lt;&gt;"",1,0))))+IF(F733=1,30,IF(F733=2,20,IF(F733=3,10,IF(F733&lt;&gt;"",1,0))))+IF(G733=1,30,IF(G733=2,20,IF(G733=3,10,IF(G733&lt;&gt;"",1,0))))+IF(H733=1,30,IF(H733=2,20,IF(H733=3,10,IF(H733&lt;&gt;"",1,0))))))</f>
        <v/>
      </c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14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>
        <f>IF(AND(C734="",OR(E734="",E734=0)),"",(IF(E734=1,30,IF(E734=2,20,IF(E734=3,10,IF(E734&lt;&gt;"",1,0))))+IF(F734=1,30,IF(F734=2,20,IF(F734=3,10,IF(F734&lt;&gt;"",1,0))))+IF(G734=1,30,IF(G734=2,20,IF(G734=3,10,IF(G734&lt;&gt;"",1,0))))+IF(H734=1,30,IF(H734=2,20,IF(H734=3,10,IF(H734&lt;&gt;"",1,0))))))</f>
        <v/>
      </c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14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>
        <f>IF(AND(C735="",OR(E735="",E735=0)),"",(IF(E735=1,30,IF(E735=2,20,IF(E735=3,10,IF(E735&lt;&gt;"",1,0))))+IF(F735=1,30,IF(F735=2,20,IF(F735=3,10,IF(F735&lt;&gt;"",1,0))))+IF(G735=1,30,IF(G735=2,20,IF(G735=3,10,IF(G735&lt;&gt;"",1,0))))+IF(H735=1,30,IF(H735=2,20,IF(H735=3,10,IF(H735&lt;&gt;"",1,0))))))</f>
        <v/>
      </c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14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>
        <f>IF(AND(C736="",OR(E736="",E736=0)),"",(IF(E736=1,30,IF(E736=2,20,IF(E736=3,10,IF(E736&lt;&gt;"",1,0))))+IF(F736=1,30,IF(F736=2,20,IF(F736=3,10,IF(F736&lt;&gt;"",1,0))))+IF(G736=1,30,IF(G736=2,20,IF(G736=3,10,IF(G736&lt;&gt;"",1,0))))+IF(H736=1,30,IF(H736=2,20,IF(H736=3,10,IF(H736&lt;&gt;"",1,0))))))</f>
        <v/>
      </c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14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>
        <f>IF(AND(C737="",OR(E737="",E737=0)),"",(IF(E737=1,30,IF(E737=2,20,IF(E737=3,10,IF(E737&lt;&gt;"",1,0))))+IF(F737=1,30,IF(F737=2,20,IF(F737=3,10,IF(F737&lt;&gt;"",1,0))))+IF(G737=1,30,IF(G737=2,20,IF(G737=3,10,IF(G737&lt;&gt;"",1,0))))+IF(H737=1,30,IF(H737=2,20,IF(H737=3,10,IF(H737&lt;&gt;"",1,0))))))</f>
        <v/>
      </c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14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>
        <f>IF(AND(C738="",OR(E738="",E738=0)),"",(IF(E738=1,30,IF(E738=2,20,IF(E738=3,10,IF(E738&lt;&gt;"",1,0))))+IF(F738=1,30,IF(F738=2,20,IF(F738=3,10,IF(F738&lt;&gt;"",1,0))))+IF(G738=1,30,IF(G738=2,20,IF(G738=3,10,IF(G738&lt;&gt;"",1,0))))+IF(H738=1,30,IF(H738=2,20,IF(H738=3,10,IF(H738&lt;&gt;"",1,0))))))</f>
        <v/>
      </c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14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>
        <f>IF(AND(C739="",OR(E739="",E739=0)),"",(IF(E739=1,30,IF(E739=2,20,IF(E739=3,10,IF(E739&lt;&gt;"",1,0))))+IF(F739=1,30,IF(F739=2,20,IF(F739=3,10,IF(F739&lt;&gt;"",1,0))))+IF(G739=1,30,IF(G739=2,20,IF(G739=3,10,IF(G739&lt;&gt;"",1,0))))+IF(H739=1,30,IF(H739=2,20,IF(H739=3,10,IF(H739&lt;&gt;"",1,0))))))</f>
        <v/>
      </c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14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>
        <f>IF(AND(C740="",OR(E740="",E740=0)),"",(IF(E740=1,30,IF(E740=2,20,IF(E740=3,10,IF(E740&lt;&gt;"",1,0))))+IF(F740=1,30,IF(F740=2,20,IF(F740=3,10,IF(F740&lt;&gt;"",1,0))))+IF(G740=1,30,IF(G740=2,20,IF(G740=3,10,IF(G740&lt;&gt;"",1,0))))+IF(H740=1,30,IF(H740=2,20,IF(H740=3,10,IF(H740&lt;&gt;"",1,0))))))</f>
        <v/>
      </c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14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>
        <f>IF(AND(C741="",OR(E741="",E741=0)),"",(IF(E741=1,30,IF(E741=2,20,IF(E741=3,10,IF(E741&lt;&gt;"",1,0))))+IF(F741=1,30,IF(F741=2,20,IF(F741=3,10,IF(F741&lt;&gt;"",1,0))))+IF(G741=1,30,IF(G741=2,20,IF(G741=3,10,IF(G741&lt;&gt;"",1,0))))+IF(H741=1,30,IF(H741=2,20,IF(H741=3,10,IF(H741&lt;&gt;"",1,0))))))</f>
        <v/>
      </c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14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>
        <f>IF(AND(C742="",OR(E742="",E742=0)),"",(IF(E742=1,30,IF(E742=2,20,IF(E742=3,10,IF(E742&lt;&gt;"",1,0))))+IF(F742=1,30,IF(F742=2,20,IF(F742=3,10,IF(F742&lt;&gt;"",1,0))))+IF(G742=1,30,IF(G742=2,20,IF(G742=3,10,IF(G742&lt;&gt;"",1,0))))+IF(H742=1,30,IF(H742=2,20,IF(H742=3,10,IF(H742&lt;&gt;"",1,0))))))</f>
        <v/>
      </c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1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>
        <f>IF(AND(C743="",OR(E743="",E743=0)),"",(IF(E743=1,30,IF(E743=2,20,IF(E743=3,10,IF(E743&lt;&gt;"",1,0))))+IF(F743=1,30,IF(F743=2,20,IF(F743=3,10,IF(F743&lt;&gt;"",1,0))))+IF(G743=1,30,IF(G743=2,20,IF(G743=3,10,IF(G743&lt;&gt;"",1,0))))+IF(H743=1,30,IF(H743=2,20,IF(H743=3,10,IF(H743&lt;&gt;"",1,0))))))</f>
        <v/>
      </c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14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>
        <f>IF(AND(C744="",OR(E744="",E744=0)),"",(IF(E744=1,30,IF(E744=2,20,IF(E744=3,10,IF(E744&lt;&gt;"",1,0))))+IF(F744=1,30,IF(F744=2,20,IF(F744=3,10,IF(F744&lt;&gt;"",1,0))))+IF(G744=1,30,IF(G744=2,20,IF(G744=3,10,IF(G744&lt;&gt;"",1,0))))+IF(H744=1,30,IF(H744=2,20,IF(H744=3,10,IF(H744&lt;&gt;"",1,0))))))</f>
        <v/>
      </c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14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>
        <f>IF(AND(C745="",OR(E745="",E745=0)),"",(IF(E745=1,30,IF(E745=2,20,IF(E745=3,10,IF(E745&lt;&gt;"",1,0))))+IF(F745=1,30,IF(F745=2,20,IF(F745=3,10,IF(F745&lt;&gt;"",1,0))))+IF(G745=1,30,IF(G745=2,20,IF(G745=3,10,IF(G745&lt;&gt;"",1,0))))+IF(H745=1,30,IF(H745=2,20,IF(H745=3,10,IF(H745&lt;&gt;"",1,0))))))</f>
        <v/>
      </c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14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>
        <f>IF(AND(C746="",OR(E746="",E746=0)),"",(IF(E746=1,30,IF(E746=2,20,IF(E746=3,10,IF(E746&lt;&gt;"",1,0))))+IF(F746=1,30,IF(F746=2,20,IF(F746=3,10,IF(F746&lt;&gt;"",1,0))))+IF(G746=1,30,IF(G746=2,20,IF(G746=3,10,IF(G746&lt;&gt;"",1,0))))+IF(H746=1,30,IF(H746=2,20,IF(H746=3,10,IF(H746&lt;&gt;"",1,0))))))</f>
        <v/>
      </c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14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>
        <f>IF(AND(C747="",OR(E747="",E747=0)),"",(IF(E747=1,30,IF(E747=2,20,IF(E747=3,10,IF(E747&lt;&gt;"",1,0))))+IF(F747=1,30,IF(F747=2,20,IF(F747=3,10,IF(F747&lt;&gt;"",1,0))))+IF(G747=1,30,IF(G747=2,20,IF(G747=3,10,IF(G747&lt;&gt;"",1,0))))+IF(H747=1,30,IF(H747=2,20,IF(H747=3,10,IF(H747&lt;&gt;"",1,0))))))</f>
        <v/>
      </c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14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>
        <f>IF(AND(C748="",OR(E748="",E748=0)),"",(IF(E748=1,30,IF(E748=2,20,IF(E748=3,10,IF(E748&lt;&gt;"",1,0))))+IF(F748=1,30,IF(F748=2,20,IF(F748=3,10,IF(F748&lt;&gt;"",1,0))))+IF(G748=1,30,IF(G748=2,20,IF(G748=3,10,IF(G748&lt;&gt;"",1,0))))+IF(H748=1,30,IF(H748=2,20,IF(H748=3,10,IF(H748&lt;&gt;"",1,0))))))</f>
        <v/>
      </c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14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>
        <f>IF(AND(C749="",OR(E749="",E749=0)),"",(IF(E749=1,30,IF(E749=2,20,IF(E749=3,10,IF(E749&lt;&gt;"",1,0))))+IF(F749=1,30,IF(F749=2,20,IF(F749=3,10,IF(F749&lt;&gt;"",1,0))))+IF(G749=1,30,IF(G749=2,20,IF(G749=3,10,IF(G749&lt;&gt;"",1,0))))+IF(H749=1,30,IF(H749=2,20,IF(H749=3,10,IF(H749&lt;&gt;"",1,0))))))</f>
        <v/>
      </c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14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>
        <f>IF(AND(C750="",OR(E750="",E750=0)),"",(IF(E750=1,30,IF(E750=2,20,IF(E750=3,10,IF(E750&lt;&gt;"",1,0))))+IF(F750=1,30,IF(F750=2,20,IF(F750=3,10,IF(F750&lt;&gt;"",1,0))))+IF(G750=1,30,IF(G750=2,20,IF(G750=3,10,IF(G750&lt;&gt;"",1,0))))+IF(H750=1,30,IF(H750=2,20,IF(H750=3,10,IF(H750&lt;&gt;"",1,0))))))</f>
        <v/>
      </c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14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>
        <f>IF(AND(C751="",OR(E751="",E751=0)),"",(IF(E751=1,30,IF(E751=2,20,IF(E751=3,10,IF(E751&lt;&gt;"",1,0))))+IF(F751=1,30,IF(F751=2,20,IF(F751=3,10,IF(F751&lt;&gt;"",1,0))))+IF(G751=1,30,IF(G751=2,20,IF(G751=3,10,IF(G751&lt;&gt;"",1,0))))+IF(H751=1,30,IF(H751=2,20,IF(H751=3,10,IF(H751&lt;&gt;"",1,0))))))</f>
        <v/>
      </c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14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>
        <f>IF(AND(C752="",OR(E752="",E752=0)),"",(IF(E752=1,30,IF(E752=2,20,IF(E752=3,10,IF(E752&lt;&gt;"",1,0))))+IF(F752=1,30,IF(F752=2,20,IF(F752=3,10,IF(F752&lt;&gt;"",1,0))))+IF(G752=1,30,IF(G752=2,20,IF(G752=3,10,IF(G752&lt;&gt;"",1,0))))+IF(H752=1,30,IF(H752=2,20,IF(H752=3,10,IF(H752&lt;&gt;"",1,0))))))</f>
        <v/>
      </c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14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>
        <f>IF(AND(C753="",OR(E753="",E753=0)),"",(IF(E753=1,30,IF(E753=2,20,IF(E753=3,10,IF(E753&lt;&gt;"",1,0))))+IF(F753=1,30,IF(F753=2,20,IF(F753=3,10,IF(F753&lt;&gt;"",1,0))))+IF(G753=1,30,IF(G753=2,20,IF(G753=3,10,IF(G753&lt;&gt;"",1,0))))+IF(H753=1,30,IF(H753=2,20,IF(H753=3,10,IF(H753&lt;&gt;"",1,0))))))</f>
        <v/>
      </c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14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>
        <f>IF(AND(C754="",OR(E754="",E754=0)),"",(IF(E754=1,30,IF(E754=2,20,IF(E754=3,10,IF(E754&lt;&gt;"",1,0))))+IF(F754=1,30,IF(F754=2,20,IF(F754=3,10,IF(F754&lt;&gt;"",1,0))))+IF(G754=1,30,IF(G754=2,20,IF(G754=3,10,IF(G754&lt;&gt;"",1,0))))+IF(H754=1,30,IF(H754=2,20,IF(H754=3,10,IF(H754&lt;&gt;"",1,0))))))</f>
        <v/>
      </c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14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>
        <f>IF(AND(C755="",OR(E755="",E755=0)),"",(IF(E755=1,30,IF(E755=2,20,IF(E755=3,10,IF(E755&lt;&gt;"",1,0))))+IF(F755=1,30,IF(F755=2,20,IF(F755=3,10,IF(F755&lt;&gt;"",1,0))))+IF(G755=1,30,IF(G755=2,20,IF(G755=3,10,IF(G755&lt;&gt;"",1,0))))+IF(H755=1,30,IF(H755=2,20,IF(H755=3,10,IF(H755&lt;&gt;"",1,0))))))</f>
        <v/>
      </c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14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>
        <f>IF(AND(C756="",OR(E756="",E756=0)),"",(IF(E756=1,30,IF(E756=2,20,IF(E756=3,10,IF(E756&lt;&gt;"",1,0))))+IF(F756=1,30,IF(F756=2,20,IF(F756=3,10,IF(F756&lt;&gt;"",1,0))))+IF(G756=1,30,IF(G756=2,20,IF(G756=3,10,IF(G756&lt;&gt;"",1,0))))+IF(H756=1,30,IF(H756=2,20,IF(H756=3,10,IF(H756&lt;&gt;"",1,0))))))</f>
        <v/>
      </c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14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>
        <f>IF(AND(C757="",OR(E757="",E757=0)),"",(IF(E757=1,30,IF(E757=2,20,IF(E757=3,10,IF(E757&lt;&gt;"",1,0))))+IF(F757=1,30,IF(F757=2,20,IF(F757=3,10,IF(F757&lt;&gt;"",1,0))))+IF(G757=1,30,IF(G757=2,20,IF(G757=3,10,IF(G757&lt;&gt;"",1,0))))+IF(H757=1,30,IF(H757=2,20,IF(H757=3,10,IF(H757&lt;&gt;"",1,0))))))</f>
        <v/>
      </c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14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>
        <f>IF(AND(C758="",OR(E758="",E758=0)),"",(IF(E758=1,30,IF(E758=2,20,IF(E758=3,10,IF(E758&lt;&gt;"",1,0))))+IF(F758=1,30,IF(F758=2,20,IF(F758=3,10,IF(F758&lt;&gt;"",1,0))))+IF(G758=1,30,IF(G758=2,20,IF(G758=3,10,IF(G758&lt;&gt;"",1,0))))+IF(H758=1,30,IF(H758=2,20,IF(H758=3,10,IF(H758&lt;&gt;"",1,0))))))</f>
        <v/>
      </c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14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>
        <f>IF(AND(C759="",OR(E759="",E759=0)),"",(IF(E759=1,30,IF(E759=2,20,IF(E759=3,10,IF(E759&lt;&gt;"",1,0))))+IF(F759=1,30,IF(F759=2,20,IF(F759=3,10,IF(F759&lt;&gt;"",1,0))))+IF(G759=1,30,IF(G759=2,20,IF(G759=3,10,IF(G759&lt;&gt;"",1,0))))+IF(H759=1,30,IF(H759=2,20,IF(H759=3,10,IF(H759&lt;&gt;"",1,0))))))</f>
        <v/>
      </c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14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>
        <f>IF(AND(C760="",OR(E760="",E760=0)),"",(IF(E760=1,30,IF(E760=2,20,IF(E760=3,10,IF(E760&lt;&gt;"",1,0))))+IF(F760=1,30,IF(F760=2,20,IF(F760=3,10,IF(F760&lt;&gt;"",1,0))))+IF(G760=1,30,IF(G760=2,20,IF(G760=3,10,IF(G760&lt;&gt;"",1,0))))+IF(H760=1,30,IF(H760=2,20,IF(H760=3,10,IF(H760&lt;&gt;"",1,0))))))</f>
        <v/>
      </c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14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>
        <f>IF(AND(C761="",OR(E761="",E761=0)),"",(IF(E761=1,30,IF(E761=2,20,IF(E761=3,10,IF(E761&lt;&gt;"",1,0))))+IF(F761=1,30,IF(F761=2,20,IF(F761=3,10,IF(F761&lt;&gt;"",1,0))))+IF(G761=1,30,IF(G761=2,20,IF(G761=3,10,IF(G761&lt;&gt;"",1,0))))+IF(H761=1,30,IF(H761=2,20,IF(H761=3,10,IF(H761&lt;&gt;"",1,0))))))</f>
        <v/>
      </c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14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>
        <f>IF(AND(C762="",OR(E762="",E762=0)),"",(IF(E762=1,30,IF(E762=2,20,IF(E762=3,10,IF(E762&lt;&gt;"",1,0))))+IF(F762=1,30,IF(F762=2,20,IF(F762=3,10,IF(F762&lt;&gt;"",1,0))))+IF(G762=1,30,IF(G762=2,20,IF(G762=3,10,IF(G762&lt;&gt;"",1,0))))+IF(H762=1,30,IF(H762=2,20,IF(H762=3,10,IF(H762&lt;&gt;"",1,0))))))</f>
        <v/>
      </c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14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>
        <f>IF(AND(C763="",OR(E763="",E763=0)),"",(IF(E763=1,30,IF(E763=2,20,IF(E763=3,10,IF(E763&lt;&gt;"",1,0))))+IF(F763=1,30,IF(F763=2,20,IF(F763=3,10,IF(F763&lt;&gt;"",1,0))))+IF(G763=1,30,IF(G763=2,20,IF(G763=3,10,IF(G763&lt;&gt;"",1,0))))+IF(H763=1,30,IF(H763=2,20,IF(H763=3,10,IF(H763&lt;&gt;"",1,0))))))</f>
        <v/>
      </c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14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>
        <f>IF(AND(C764="",OR(E764="",E764=0)),"",(IF(E764=1,30,IF(E764=2,20,IF(E764=3,10,IF(E764&lt;&gt;"",1,0))))+IF(F764=1,30,IF(F764=2,20,IF(F764=3,10,IF(F764&lt;&gt;"",1,0))))+IF(G764=1,30,IF(G764=2,20,IF(G764=3,10,IF(G764&lt;&gt;"",1,0))))+IF(H764=1,30,IF(H764=2,20,IF(H764=3,10,IF(H764&lt;&gt;"",1,0))))))</f>
        <v/>
      </c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14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>
        <f>IF(AND(C765="",OR(E765="",E765=0)),"",(IF(E765=1,30,IF(E765=2,20,IF(E765=3,10,IF(E765&lt;&gt;"",1,0))))+IF(F765=1,30,IF(F765=2,20,IF(F765=3,10,IF(F765&lt;&gt;"",1,0))))+IF(G765=1,30,IF(G765=2,20,IF(G765=3,10,IF(G765&lt;&gt;"",1,0))))+IF(H765=1,30,IF(H765=2,20,IF(H765=3,10,IF(H765&lt;&gt;"",1,0))))))</f>
        <v/>
      </c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14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>
        <f>IF(AND(C766="",OR(E766="",E766=0)),"",(IF(E766=1,30,IF(E766=2,20,IF(E766=3,10,IF(E766&lt;&gt;"",1,0))))+IF(F766=1,30,IF(F766=2,20,IF(F766=3,10,IF(F766&lt;&gt;"",1,0))))+IF(G766=1,30,IF(G766=2,20,IF(G766=3,10,IF(G766&lt;&gt;"",1,0))))+IF(H766=1,30,IF(H766=2,20,IF(H766=3,10,IF(H766&lt;&gt;"",1,0))))))</f>
        <v/>
      </c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14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>
        <f>IF(AND(C767="",OR(E767="",E767=0)),"",(IF(E767=1,30,IF(E767=2,20,IF(E767=3,10,IF(E767&lt;&gt;"",1,0))))+IF(F767=1,30,IF(F767=2,20,IF(F767=3,10,IF(F767&lt;&gt;"",1,0))))+IF(G767=1,30,IF(G767=2,20,IF(G767=3,10,IF(G767&lt;&gt;"",1,0))))+IF(H767=1,30,IF(H767=2,20,IF(H767=3,10,IF(H767&lt;&gt;"",1,0))))))</f>
        <v/>
      </c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14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>
        <f>IF(AND(C768="",OR(E768="",E768=0)),"",(IF(E768=1,30,IF(E768=2,20,IF(E768=3,10,IF(E768&lt;&gt;"",1,0))))+IF(F768=1,30,IF(F768=2,20,IF(F768=3,10,IF(F768&lt;&gt;"",1,0))))+IF(G768=1,30,IF(G768=2,20,IF(G768=3,10,IF(G768&lt;&gt;"",1,0))))+IF(H768=1,30,IF(H768=2,20,IF(H768=3,10,IF(H768&lt;&gt;"",1,0))))))</f>
        <v/>
      </c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14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>
        <f>IF(AND(C769="",OR(E769="",E769=0)),"",(IF(E769=1,30,IF(E769=2,20,IF(E769=3,10,IF(E769&lt;&gt;"",1,0))))+IF(F769=1,30,IF(F769=2,20,IF(F769=3,10,IF(F769&lt;&gt;"",1,0))))+IF(G769=1,30,IF(G769=2,20,IF(G769=3,10,IF(G769&lt;&gt;"",1,0))))+IF(H769=1,30,IF(H769=2,20,IF(H769=3,10,IF(H769&lt;&gt;"",1,0))))))</f>
        <v/>
      </c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14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>
        <f>IF(AND(C770="",OR(E770="",E770=0)),"",(IF(E770=1,30,IF(E770=2,20,IF(E770=3,10,IF(E770&lt;&gt;"",1,0))))+IF(F770=1,30,IF(F770=2,20,IF(F770=3,10,IF(F770&lt;&gt;"",1,0))))+IF(G770=1,30,IF(G770=2,20,IF(G770=3,10,IF(G770&lt;&gt;"",1,0))))+IF(H770=1,30,IF(H770=2,20,IF(H770=3,10,IF(H770&lt;&gt;"",1,0))))))</f>
        <v/>
      </c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14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>
        <f>IF(AND(C771="",OR(E771="",E771=0)),"",(IF(E771=1,30,IF(E771=2,20,IF(E771=3,10,IF(E771&lt;&gt;"",1,0))))+IF(F771=1,30,IF(F771=2,20,IF(F771=3,10,IF(F771&lt;&gt;"",1,0))))+IF(G771=1,30,IF(G771=2,20,IF(G771=3,10,IF(G771&lt;&gt;"",1,0))))+IF(H771=1,30,IF(H771=2,20,IF(H771=3,10,IF(H771&lt;&gt;"",1,0))))))</f>
        <v/>
      </c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14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>
        <f>IF(AND(C772="",OR(E772="",E772=0)),"",(IF(E772=1,30,IF(E772=2,20,IF(E772=3,10,IF(E772&lt;&gt;"",1,0))))+IF(F772=1,30,IF(F772=2,20,IF(F772=3,10,IF(F772&lt;&gt;"",1,0))))+IF(G772=1,30,IF(G772=2,20,IF(G772=3,10,IF(G772&lt;&gt;"",1,0))))+IF(H772=1,30,IF(H772=2,20,IF(H772=3,10,IF(H772&lt;&gt;"",1,0))))))</f>
        <v/>
      </c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14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>
        <f>IF(AND(C773="",OR(E773="",E773=0)),"",(IF(E773=1,30,IF(E773=2,20,IF(E773=3,10,IF(E773&lt;&gt;"",1,0))))+IF(F773=1,30,IF(F773=2,20,IF(F773=3,10,IF(F773&lt;&gt;"",1,0))))+IF(G773=1,30,IF(G773=2,20,IF(G773=3,10,IF(G773&lt;&gt;"",1,0))))+IF(H773=1,30,IF(H773=2,20,IF(H773=3,10,IF(H773&lt;&gt;"",1,0))))))</f>
        <v/>
      </c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14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>
        <f>IF(AND(C774="",OR(E774="",E774=0)),"",(IF(E774=1,30,IF(E774=2,20,IF(E774=3,10,IF(E774&lt;&gt;"",1,0))))+IF(F774=1,30,IF(F774=2,20,IF(F774=3,10,IF(F774&lt;&gt;"",1,0))))+IF(G774=1,30,IF(G774=2,20,IF(G774=3,10,IF(G774&lt;&gt;"",1,0))))+IF(H774=1,30,IF(H774=2,20,IF(H774=3,10,IF(H774&lt;&gt;"",1,0))))))</f>
        <v/>
      </c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14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>
        <f>IF(AND(C775="",OR(E775="",E775=0)),"",(IF(E775=1,30,IF(E775=2,20,IF(E775=3,10,IF(E775&lt;&gt;"",1,0))))+IF(F775=1,30,IF(F775=2,20,IF(F775=3,10,IF(F775&lt;&gt;"",1,0))))+IF(G775=1,30,IF(G775=2,20,IF(G775=3,10,IF(G775&lt;&gt;"",1,0))))+IF(H775=1,30,IF(H775=2,20,IF(H775=3,10,IF(H775&lt;&gt;"",1,0))))))</f>
        <v/>
      </c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14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>
        <f>IF(AND(C776="",OR(E776="",E776=0)),"",(IF(E776=1,30,IF(E776=2,20,IF(E776=3,10,IF(E776&lt;&gt;"",1,0))))+IF(F776=1,30,IF(F776=2,20,IF(F776=3,10,IF(F776&lt;&gt;"",1,0))))+IF(G776=1,30,IF(G776=2,20,IF(G776=3,10,IF(G776&lt;&gt;"",1,0))))+IF(H776=1,30,IF(H776=2,20,IF(H776=3,10,IF(H776&lt;&gt;"",1,0))))))</f>
        <v/>
      </c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14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>
        <f>IF(AND(C777="",OR(E777="",E777=0)),"",(IF(E777=1,30,IF(E777=2,20,IF(E777=3,10,IF(E777&lt;&gt;"",1,0))))+IF(F777=1,30,IF(F777=2,20,IF(F777=3,10,IF(F777&lt;&gt;"",1,0))))+IF(G777=1,30,IF(G777=2,20,IF(G777=3,10,IF(G777&lt;&gt;"",1,0))))+IF(H777=1,30,IF(H777=2,20,IF(H777=3,10,IF(H777&lt;&gt;"",1,0))))))</f>
        <v/>
      </c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14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>
        <f>IF(AND(C778="",OR(E778="",E778=0)),"",(IF(E778=1,30,IF(E778=2,20,IF(E778=3,10,IF(E778&lt;&gt;"",1,0))))+IF(F778=1,30,IF(F778=2,20,IF(F778=3,10,IF(F778&lt;&gt;"",1,0))))+IF(G778=1,30,IF(G778=2,20,IF(G778=3,10,IF(G778&lt;&gt;"",1,0))))+IF(H778=1,30,IF(H778=2,20,IF(H778=3,10,IF(H778&lt;&gt;"",1,0))))))</f>
        <v/>
      </c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14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>
        <f>IF(AND(C779="",OR(E779="",E779=0)),"",(IF(E779=1,30,IF(E779=2,20,IF(E779=3,10,IF(E779&lt;&gt;"",1,0))))+IF(F779=1,30,IF(F779=2,20,IF(F779=3,10,IF(F779&lt;&gt;"",1,0))))+IF(G779=1,30,IF(G779=2,20,IF(G779=3,10,IF(G779&lt;&gt;"",1,0))))+IF(H779=1,30,IF(H779=2,20,IF(H779=3,10,IF(H779&lt;&gt;"",1,0))))))</f>
        <v/>
      </c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14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>
        <f>IF(AND(C780="",OR(E780="",E780=0)),"",(IF(E780=1,30,IF(E780=2,20,IF(E780=3,10,IF(E780&lt;&gt;"",1,0))))+IF(F780=1,30,IF(F780=2,20,IF(F780=3,10,IF(F780&lt;&gt;"",1,0))))+IF(G780=1,30,IF(G780=2,20,IF(G780=3,10,IF(G780&lt;&gt;"",1,0))))+IF(H780=1,30,IF(H780=2,20,IF(H780=3,10,IF(H780&lt;&gt;"",1,0))))))</f>
        <v/>
      </c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14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>
        <f>IF(AND(C781="",OR(E781="",E781=0)),"",(IF(E781=1,30,IF(E781=2,20,IF(E781=3,10,IF(E781&lt;&gt;"",1,0))))+IF(F781=1,30,IF(F781=2,20,IF(F781=3,10,IF(F781&lt;&gt;"",1,0))))+IF(G781=1,30,IF(G781=2,20,IF(G781=3,10,IF(G781&lt;&gt;"",1,0))))+IF(H781=1,30,IF(H781=2,20,IF(H781=3,10,IF(H781&lt;&gt;"",1,0))))))</f>
        <v/>
      </c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14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>
        <f>IF(AND(C782="",OR(E782="",E782=0)),"",(IF(E782=1,30,IF(E782=2,20,IF(E782=3,10,IF(E782&lt;&gt;"",1,0))))+IF(F782=1,30,IF(F782=2,20,IF(F782=3,10,IF(F782&lt;&gt;"",1,0))))+IF(G782=1,30,IF(G782=2,20,IF(G782=3,10,IF(G782&lt;&gt;"",1,0))))+IF(H782=1,30,IF(H782=2,20,IF(H782=3,10,IF(H782&lt;&gt;"",1,0))))))</f>
        <v/>
      </c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14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>
        <f>IF(AND(C783="",OR(E783="",E783=0)),"",(IF(E783=1,30,IF(E783=2,20,IF(E783=3,10,IF(E783&lt;&gt;"",1,0))))+IF(F783=1,30,IF(F783=2,20,IF(F783=3,10,IF(F783&lt;&gt;"",1,0))))+IF(G783=1,30,IF(G783=2,20,IF(G783=3,10,IF(G783&lt;&gt;"",1,0))))+IF(H783=1,30,IF(H783=2,20,IF(H783=3,10,IF(H783&lt;&gt;"",1,0))))))</f>
        <v/>
      </c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14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>
        <f>IF(AND(C784="",OR(E784="",E784=0)),"",(IF(E784=1,30,IF(E784=2,20,IF(E784=3,10,IF(E784&lt;&gt;"",1,0))))+IF(F784=1,30,IF(F784=2,20,IF(F784=3,10,IF(F784&lt;&gt;"",1,0))))+IF(G784=1,30,IF(G784=2,20,IF(G784=3,10,IF(G784&lt;&gt;"",1,0))))+IF(H784=1,30,IF(H784=2,20,IF(H784=3,10,IF(H784&lt;&gt;"",1,0))))))</f>
        <v/>
      </c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14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>
        <f>IF(AND(C785="",OR(E785="",E785=0)),"",(IF(E785=1,30,IF(E785=2,20,IF(E785=3,10,IF(E785&lt;&gt;"",1,0))))+IF(F785=1,30,IF(F785=2,20,IF(F785=3,10,IF(F785&lt;&gt;"",1,0))))+IF(G785=1,30,IF(G785=2,20,IF(G785=3,10,IF(G785&lt;&gt;"",1,0))))+IF(H785=1,30,IF(H785=2,20,IF(H785=3,10,IF(H785&lt;&gt;"",1,0))))))</f>
        <v/>
      </c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14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>
        <f>IF(AND(C786="",OR(E786="",E786=0)),"",(IF(E786=1,30,IF(E786=2,20,IF(E786=3,10,IF(E786&lt;&gt;"",1,0))))+IF(F786=1,30,IF(F786=2,20,IF(F786=3,10,IF(F786&lt;&gt;"",1,0))))+IF(G786=1,30,IF(G786=2,20,IF(G786=3,10,IF(G786&lt;&gt;"",1,0))))+IF(H786=1,30,IF(H786=2,20,IF(H786=3,10,IF(H786&lt;&gt;"",1,0))))))</f>
        <v/>
      </c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14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>
        <f>IF(AND(C787="",OR(E787="",E787=0)),"",(IF(E787=1,30,IF(E787=2,20,IF(E787=3,10,IF(E787&lt;&gt;"",1,0))))+IF(F787=1,30,IF(F787=2,20,IF(F787=3,10,IF(F787&lt;&gt;"",1,0))))+IF(G787=1,30,IF(G787=2,20,IF(G787=3,10,IF(G787&lt;&gt;"",1,0))))+IF(H787=1,30,IF(H787=2,20,IF(H787=3,10,IF(H787&lt;&gt;"",1,0))))))</f>
        <v/>
      </c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14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>
        <f>IF(AND(C788="",OR(E788="",E788=0)),"",(IF(E788=1,30,IF(E788=2,20,IF(E788=3,10,IF(E788&lt;&gt;"",1,0))))+IF(F788=1,30,IF(F788=2,20,IF(F788=3,10,IF(F788&lt;&gt;"",1,0))))+IF(G788=1,30,IF(G788=2,20,IF(G788=3,10,IF(G788&lt;&gt;"",1,0))))+IF(H788=1,30,IF(H788=2,20,IF(H788=3,10,IF(H788&lt;&gt;"",1,0))))))</f>
        <v/>
      </c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14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>
        <f>IF(AND(C789="",OR(E789="",E789=0)),"",(IF(E789=1,30,IF(E789=2,20,IF(E789=3,10,IF(E789&lt;&gt;"",1,0))))+IF(F789=1,30,IF(F789=2,20,IF(F789=3,10,IF(F789&lt;&gt;"",1,0))))+IF(G789=1,30,IF(G789=2,20,IF(G789=3,10,IF(G789&lt;&gt;"",1,0))))+IF(H789=1,30,IF(H789=2,20,IF(H789=3,10,IF(H789&lt;&gt;"",1,0))))))</f>
        <v/>
      </c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14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>
        <f>IF(AND(C790="",OR(E790="",E790=0)),"",(IF(E790=1,30,IF(E790=2,20,IF(E790=3,10,IF(E790&lt;&gt;"",1,0))))+IF(F790=1,30,IF(F790=2,20,IF(F790=3,10,IF(F790&lt;&gt;"",1,0))))+IF(G790=1,30,IF(G790=2,20,IF(G790=3,10,IF(G790&lt;&gt;"",1,0))))+IF(H790=1,30,IF(H790=2,20,IF(H790=3,10,IF(H790&lt;&gt;"",1,0))))))</f>
        <v/>
      </c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14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>
        <f>IF(AND(C791="",OR(E791="",E791=0)),"",(IF(E791=1,30,IF(E791=2,20,IF(E791=3,10,IF(E791&lt;&gt;"",1,0))))+IF(F791=1,30,IF(F791=2,20,IF(F791=3,10,IF(F791&lt;&gt;"",1,0))))+IF(G791=1,30,IF(G791=2,20,IF(G791=3,10,IF(G791&lt;&gt;"",1,0))))+IF(H791=1,30,IF(H791=2,20,IF(H791=3,10,IF(H791&lt;&gt;"",1,0))))))</f>
        <v/>
      </c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14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>
        <f>IF(AND(C792="",OR(E792="",E792=0)),"",(IF(E792=1,30,IF(E792=2,20,IF(E792=3,10,IF(E792&lt;&gt;"",1,0))))+IF(F792=1,30,IF(F792=2,20,IF(F792=3,10,IF(F792&lt;&gt;"",1,0))))+IF(G792=1,30,IF(G792=2,20,IF(G792=3,10,IF(G792&lt;&gt;"",1,0))))+IF(H792=1,30,IF(H792=2,20,IF(H792=3,10,IF(H792&lt;&gt;"",1,0))))))</f>
        <v/>
      </c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14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>
        <f>IF(AND(C793="",OR(E793="",E793=0)),"",(IF(E793=1,30,IF(E793=2,20,IF(E793=3,10,IF(E793&lt;&gt;"",1,0))))+IF(F793=1,30,IF(F793=2,20,IF(F793=3,10,IF(F793&lt;&gt;"",1,0))))+IF(G793=1,30,IF(G793=2,20,IF(G793=3,10,IF(G793&lt;&gt;"",1,0))))+IF(H793=1,30,IF(H793=2,20,IF(H793=3,10,IF(H793&lt;&gt;"",1,0))))))</f>
        <v/>
      </c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14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>
        <f>IF(AND(C794="",OR(E794="",E794=0)),"",(IF(E794=1,30,IF(E794=2,20,IF(E794=3,10,IF(E794&lt;&gt;"",1,0))))+IF(F794=1,30,IF(F794=2,20,IF(F794=3,10,IF(F794&lt;&gt;"",1,0))))+IF(G794=1,30,IF(G794=2,20,IF(G794=3,10,IF(G794&lt;&gt;"",1,0))))+IF(H794=1,30,IF(H794=2,20,IF(H794=3,10,IF(H794&lt;&gt;"",1,0))))))</f>
        <v/>
      </c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14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>
        <f>IF(AND(C795="",OR(E795="",E795=0)),"",(IF(E795=1,30,IF(E795=2,20,IF(E795=3,10,IF(E795&lt;&gt;"",1,0))))+IF(F795=1,30,IF(F795=2,20,IF(F795=3,10,IF(F795&lt;&gt;"",1,0))))+IF(G795=1,30,IF(G795=2,20,IF(G795=3,10,IF(G795&lt;&gt;"",1,0))))+IF(H795=1,30,IF(H795=2,20,IF(H795=3,10,IF(H795&lt;&gt;"",1,0))))))</f>
        <v/>
      </c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14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>
        <f>IF(AND(C796="",OR(E796="",E796=0)),"",(IF(E796=1,30,IF(E796=2,20,IF(E796=3,10,IF(E796&lt;&gt;"",1,0))))+IF(F796=1,30,IF(F796=2,20,IF(F796=3,10,IF(F796&lt;&gt;"",1,0))))+IF(G796=1,30,IF(G796=2,20,IF(G796=3,10,IF(G796&lt;&gt;"",1,0))))+IF(H796=1,30,IF(H796=2,20,IF(H796=3,10,IF(H796&lt;&gt;"",1,0))))))</f>
        <v/>
      </c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14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>
        <f>IF(AND(C797="",OR(E797="",E797=0)),"",(IF(E797=1,30,IF(E797=2,20,IF(E797=3,10,IF(E797&lt;&gt;"",1,0))))+IF(F797=1,30,IF(F797=2,20,IF(F797=3,10,IF(F797&lt;&gt;"",1,0))))+IF(G797=1,30,IF(G797=2,20,IF(G797=3,10,IF(G797&lt;&gt;"",1,0))))+IF(H797=1,30,IF(H797=2,20,IF(H797=3,10,IF(H797&lt;&gt;"",1,0))))))</f>
        <v/>
      </c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14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>
        <f>IF(AND(C798="",OR(E798="",E798=0)),"",(IF(E798=1,30,IF(E798=2,20,IF(E798=3,10,IF(E798&lt;&gt;"",1,0))))+IF(F798=1,30,IF(F798=2,20,IF(F798=3,10,IF(F798&lt;&gt;"",1,0))))+IF(G798=1,30,IF(G798=2,20,IF(G798=3,10,IF(G798&lt;&gt;"",1,0))))+IF(H798=1,30,IF(H798=2,20,IF(H798=3,10,IF(H798&lt;&gt;"",1,0))))))</f>
        <v/>
      </c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14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>
        <f>IF(AND(C799="",OR(E799="",E799=0)),"",(IF(E799=1,30,IF(E799=2,20,IF(E799=3,10,IF(E799&lt;&gt;"",1,0))))+IF(F799=1,30,IF(F799=2,20,IF(F799=3,10,IF(F799&lt;&gt;"",1,0))))+IF(G799=1,30,IF(G799=2,20,IF(G799=3,10,IF(G799&lt;&gt;"",1,0))))+IF(H799=1,30,IF(H799=2,20,IF(H799=3,10,IF(H799&lt;&gt;"",1,0))))))</f>
        <v/>
      </c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14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>
        <f>IF(AND(C800="",OR(E800="",E800=0)),"",(IF(E800=1,30,IF(E800=2,20,IF(E800=3,10,IF(E800&lt;&gt;"",1,0))))+IF(F800=1,30,IF(F800=2,20,IF(F800=3,10,IF(F800&lt;&gt;"",1,0))))+IF(G800=1,30,IF(G800=2,20,IF(G800=3,10,IF(G800&lt;&gt;"",1,0))))+IF(H800=1,30,IF(H800=2,20,IF(H800=3,10,IF(H800&lt;&gt;"",1,0))))))</f>
        <v/>
      </c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14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>
        <f>IF(AND(C801="",OR(E801="",E801=0)),"",(IF(E801=1,30,IF(E801=2,20,IF(E801=3,10,IF(E801&lt;&gt;"",1,0))))+IF(F801=1,30,IF(F801=2,20,IF(F801=3,10,IF(F801&lt;&gt;"",1,0))))+IF(G801=1,30,IF(G801=2,20,IF(G801=3,10,IF(G801&lt;&gt;"",1,0))))+IF(H801=1,30,IF(H801=2,20,IF(H801=3,10,IF(H801&lt;&gt;"",1,0))))))</f>
        <v/>
      </c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14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>
        <f>IF(AND(C802="",OR(E802="",E802=0)),"",(IF(E802=1,30,IF(E802=2,20,IF(E802=3,10,IF(E802&lt;&gt;"",1,0))))+IF(F802=1,30,IF(F802=2,20,IF(F802=3,10,IF(F802&lt;&gt;"",1,0))))+IF(G802=1,30,IF(G802=2,20,IF(G802=3,10,IF(G802&lt;&gt;"",1,0))))+IF(H802=1,30,IF(H802=2,20,IF(H802=3,10,IF(H802&lt;&gt;"",1,0))))))</f>
        <v/>
      </c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14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>
        <f>IF(AND(C803="",OR(E803="",E803=0)),"",(IF(E803=1,30,IF(E803=2,20,IF(E803=3,10,IF(E803&lt;&gt;"",1,0))))+IF(F803=1,30,IF(F803=2,20,IF(F803=3,10,IF(F803&lt;&gt;"",1,0))))+IF(G803=1,30,IF(G803=2,20,IF(G803=3,10,IF(G803&lt;&gt;"",1,0))))+IF(H803=1,30,IF(H803=2,20,IF(H803=3,10,IF(H803&lt;&gt;"",1,0))))))</f>
        <v/>
      </c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14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>
        <f>IF(AND(C804="",OR(E804="",E804=0)),"",(IF(E804=1,30,IF(E804=2,20,IF(E804=3,10,IF(E804&lt;&gt;"",1,0))))+IF(F804=1,30,IF(F804=2,20,IF(F804=3,10,IF(F804&lt;&gt;"",1,0))))+IF(G804=1,30,IF(G804=2,20,IF(G804=3,10,IF(G804&lt;&gt;"",1,0))))+IF(H804=1,30,IF(H804=2,20,IF(H804=3,10,IF(H804&lt;&gt;"",1,0))))))</f>
        <v/>
      </c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14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>
        <f>IF(AND(C805="",OR(E805="",E805=0)),"",(IF(E805=1,30,IF(E805=2,20,IF(E805=3,10,IF(E805&lt;&gt;"",1,0))))+IF(F805=1,30,IF(F805=2,20,IF(F805=3,10,IF(F805&lt;&gt;"",1,0))))+IF(G805=1,30,IF(G805=2,20,IF(G805=3,10,IF(G805&lt;&gt;"",1,0))))+IF(H805=1,30,IF(H805=2,20,IF(H805=3,10,IF(H805&lt;&gt;"",1,0))))))</f>
        <v/>
      </c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14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>
        <f>IF(AND(C806="",OR(E806="",E806=0)),"",(IF(E806=1,30,IF(E806=2,20,IF(E806=3,10,IF(E806&lt;&gt;"",1,0))))+IF(F806=1,30,IF(F806=2,20,IF(F806=3,10,IF(F806&lt;&gt;"",1,0))))+IF(G806=1,30,IF(G806=2,20,IF(G806=3,10,IF(G806&lt;&gt;"",1,0))))+IF(H806=1,30,IF(H806=2,20,IF(H806=3,10,IF(H806&lt;&gt;"",1,0))))))</f>
        <v/>
      </c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14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>
        <f>IF(AND(C807="",OR(E807="",E807=0)),"",(IF(E807=1,30,IF(E807=2,20,IF(E807=3,10,IF(E807&lt;&gt;"",1,0))))+IF(F807=1,30,IF(F807=2,20,IF(F807=3,10,IF(F807&lt;&gt;"",1,0))))+IF(G807=1,30,IF(G807=2,20,IF(G807=3,10,IF(G807&lt;&gt;"",1,0))))+IF(H807=1,30,IF(H807=2,20,IF(H807=3,10,IF(H807&lt;&gt;"",1,0))))))</f>
        <v/>
      </c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14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>
        <f>IF(AND(C808="",OR(E808="",E808=0)),"",(IF(E808=1,30,IF(E808=2,20,IF(E808=3,10,IF(E808&lt;&gt;"",1,0))))+IF(F808=1,30,IF(F808=2,20,IF(F808=3,10,IF(F808&lt;&gt;"",1,0))))+IF(G808=1,30,IF(G808=2,20,IF(G808=3,10,IF(G808&lt;&gt;"",1,0))))+IF(H808=1,30,IF(H808=2,20,IF(H808=3,10,IF(H808&lt;&gt;"",1,0))))))</f>
        <v/>
      </c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14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>
        <f>IF(AND(C809="",OR(E809="",E809=0)),"",(IF(E809=1,30,IF(E809=2,20,IF(E809=3,10,IF(E809&lt;&gt;"",1,0))))+IF(F809=1,30,IF(F809=2,20,IF(F809=3,10,IF(F809&lt;&gt;"",1,0))))+IF(G809=1,30,IF(G809=2,20,IF(G809=3,10,IF(G809&lt;&gt;"",1,0))))+IF(H809=1,30,IF(H809=2,20,IF(H809=3,10,IF(H809&lt;&gt;"",1,0))))))</f>
        <v/>
      </c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14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>
        <f>IF(AND(C810="",OR(E810="",E810=0)),"",(IF(E810=1,30,IF(E810=2,20,IF(E810=3,10,IF(E810&lt;&gt;"",1,0))))+IF(F810=1,30,IF(F810=2,20,IF(F810=3,10,IF(F810&lt;&gt;"",1,0))))+IF(G810=1,30,IF(G810=2,20,IF(G810=3,10,IF(G810&lt;&gt;"",1,0))))+IF(H810=1,30,IF(H810=2,20,IF(H810=3,10,IF(H810&lt;&gt;"",1,0))))))</f>
        <v/>
      </c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14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>
        <f>IF(AND(C811="",OR(E811="",E811=0)),"",(IF(E811=1,30,IF(E811=2,20,IF(E811=3,10,IF(E811&lt;&gt;"",1,0))))+IF(F811=1,30,IF(F811=2,20,IF(F811=3,10,IF(F811&lt;&gt;"",1,0))))+IF(G811=1,30,IF(G811=2,20,IF(G811=3,10,IF(G811&lt;&gt;"",1,0))))+IF(H811=1,30,IF(H811=2,20,IF(H811=3,10,IF(H811&lt;&gt;"",1,0))))))</f>
        <v/>
      </c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14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>
        <f>IF(AND(C812="",OR(E812="",E812=0)),"",(IF(E812=1,30,IF(E812=2,20,IF(E812=3,10,IF(E812&lt;&gt;"",1,0))))+IF(F812=1,30,IF(F812=2,20,IF(F812=3,10,IF(F812&lt;&gt;"",1,0))))+IF(G812=1,30,IF(G812=2,20,IF(G812=3,10,IF(G812&lt;&gt;"",1,0))))+IF(H812=1,30,IF(H812=2,20,IF(H812=3,10,IF(H812&lt;&gt;"",1,0))))))</f>
        <v/>
      </c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14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>
        <f>IF(AND(C813="",OR(E813="",E813=0)),"",(IF(E813=1,30,IF(E813=2,20,IF(E813=3,10,IF(E813&lt;&gt;"",1,0))))+IF(F813=1,30,IF(F813=2,20,IF(F813=3,10,IF(F813&lt;&gt;"",1,0))))+IF(G813=1,30,IF(G813=2,20,IF(G813=3,10,IF(G813&lt;&gt;"",1,0))))+IF(H813=1,30,IF(H813=2,20,IF(H813=3,10,IF(H813&lt;&gt;"",1,0))))))</f>
        <v/>
      </c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14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>
        <f>IF(AND(C814="",OR(E814="",E814=0)),"",(IF(E814=1,30,IF(E814=2,20,IF(E814=3,10,IF(E814&lt;&gt;"",1,0))))+IF(F814=1,30,IF(F814=2,20,IF(F814=3,10,IF(F814&lt;&gt;"",1,0))))+IF(G814=1,30,IF(G814=2,20,IF(G814=3,10,IF(G814&lt;&gt;"",1,0))))+IF(H814=1,30,IF(H814=2,20,IF(H814=3,10,IF(H814&lt;&gt;"",1,0))))))</f>
        <v/>
      </c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14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>
        <f>IF(AND(C815="",OR(E815="",E815=0)),"",(IF(E815=1,30,IF(E815=2,20,IF(E815=3,10,IF(E815&lt;&gt;"",1,0))))+IF(F815=1,30,IF(F815=2,20,IF(F815=3,10,IF(F815&lt;&gt;"",1,0))))+IF(G815=1,30,IF(G815=2,20,IF(G815=3,10,IF(G815&lt;&gt;"",1,0))))+IF(H815=1,30,IF(H815=2,20,IF(H815=3,10,IF(H815&lt;&gt;"",1,0))))))</f>
        <v/>
      </c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14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>
        <f>IF(AND(C816="",OR(E816="",E816=0)),"",(IF(E816=1,30,IF(E816=2,20,IF(E816=3,10,IF(E816&lt;&gt;"",1,0))))+IF(F816=1,30,IF(F816=2,20,IF(F816=3,10,IF(F816&lt;&gt;"",1,0))))+IF(G816=1,30,IF(G816=2,20,IF(G816=3,10,IF(G816&lt;&gt;"",1,0))))+IF(H816=1,30,IF(H816=2,20,IF(H816=3,10,IF(H816&lt;&gt;"",1,0))))))</f>
        <v/>
      </c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14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>
        <f>IF(AND(C817="",OR(E817="",E817=0)),"",(IF(E817=1,30,IF(E817=2,20,IF(E817=3,10,IF(E817&lt;&gt;"",1,0))))+IF(F817=1,30,IF(F817=2,20,IF(F817=3,10,IF(F817&lt;&gt;"",1,0))))+IF(G817=1,30,IF(G817=2,20,IF(G817=3,10,IF(G817&lt;&gt;"",1,0))))+IF(H817=1,30,IF(H817=2,20,IF(H817=3,10,IF(H817&lt;&gt;"",1,0))))))</f>
        <v/>
      </c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14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>
        <f>IF(AND(C818="",OR(E818="",E818=0)),"",(IF(E818=1,30,IF(E818=2,20,IF(E818=3,10,IF(E818&lt;&gt;"",1,0))))+IF(F818=1,30,IF(F818=2,20,IF(F818=3,10,IF(F818&lt;&gt;"",1,0))))+IF(G818=1,30,IF(G818=2,20,IF(G818=3,10,IF(G818&lt;&gt;"",1,0))))+IF(H818=1,30,IF(H818=2,20,IF(H818=3,10,IF(H818&lt;&gt;"",1,0))))))</f>
        <v/>
      </c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14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>
        <f>IF(AND(C819="",OR(E819="",E819=0)),"",(IF(E819=1,30,IF(E819=2,20,IF(E819=3,10,IF(E819&lt;&gt;"",1,0))))+IF(F819=1,30,IF(F819=2,20,IF(F819=3,10,IF(F819&lt;&gt;"",1,0))))+IF(G819=1,30,IF(G819=2,20,IF(G819=3,10,IF(G819&lt;&gt;"",1,0))))+IF(H819=1,30,IF(H819=2,20,IF(H819=3,10,IF(H819&lt;&gt;"",1,0))))))</f>
        <v/>
      </c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14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>
        <f>IF(AND(C820="",OR(E820="",E820=0)),"",(IF(E820=1,30,IF(E820=2,20,IF(E820=3,10,IF(E820&lt;&gt;"",1,0))))+IF(F820=1,30,IF(F820=2,20,IF(F820=3,10,IF(F820&lt;&gt;"",1,0))))+IF(G820=1,30,IF(G820=2,20,IF(G820=3,10,IF(G820&lt;&gt;"",1,0))))+IF(H820=1,30,IF(H820=2,20,IF(H820=3,10,IF(H820&lt;&gt;"",1,0))))))</f>
        <v/>
      </c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14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>
        <f>IF(AND(C821="",OR(E821="",E821=0)),"",(IF(E821=1,30,IF(E821=2,20,IF(E821=3,10,IF(E821&lt;&gt;"",1,0))))+IF(F821=1,30,IF(F821=2,20,IF(F821=3,10,IF(F821&lt;&gt;"",1,0))))+IF(G821=1,30,IF(G821=2,20,IF(G821=3,10,IF(G821&lt;&gt;"",1,0))))+IF(H821=1,30,IF(H821=2,20,IF(H821=3,10,IF(H821&lt;&gt;"",1,0))))))</f>
        <v/>
      </c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14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>
        <f>IF(AND(C822="",OR(E822="",E822=0)),"",(IF(E822=1,30,IF(E822=2,20,IF(E822=3,10,IF(E822&lt;&gt;"",1,0))))+IF(F822=1,30,IF(F822=2,20,IF(F822=3,10,IF(F822&lt;&gt;"",1,0))))+IF(G822=1,30,IF(G822=2,20,IF(G822=3,10,IF(G822&lt;&gt;"",1,0))))+IF(H822=1,30,IF(H822=2,20,IF(H822=3,10,IF(H822&lt;&gt;"",1,0))))))</f>
        <v/>
      </c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14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>
        <f>IF(AND(C823="",OR(E823="",E823=0)),"",(IF(E823=1,30,IF(E823=2,20,IF(E823=3,10,IF(E823&lt;&gt;"",1,0))))+IF(F823=1,30,IF(F823=2,20,IF(F823=3,10,IF(F823&lt;&gt;"",1,0))))+IF(G823=1,30,IF(G823=2,20,IF(G823=3,10,IF(G823&lt;&gt;"",1,0))))+IF(H823=1,30,IF(H823=2,20,IF(H823=3,10,IF(H823&lt;&gt;"",1,0))))))</f>
        <v/>
      </c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14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>
        <f>IF(AND(C824="",OR(E824="",E824=0)),"",(IF(E824=1,30,IF(E824=2,20,IF(E824=3,10,IF(E824&lt;&gt;"",1,0))))+IF(F824=1,30,IF(F824=2,20,IF(F824=3,10,IF(F824&lt;&gt;"",1,0))))+IF(G824=1,30,IF(G824=2,20,IF(G824=3,10,IF(G824&lt;&gt;"",1,0))))+IF(H824=1,30,IF(H824=2,20,IF(H824=3,10,IF(H824&lt;&gt;"",1,0))))))</f>
        <v/>
      </c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14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>
        <f>IF(AND(C825="",OR(E825="",E825=0)),"",(IF(E825=1,30,IF(E825=2,20,IF(E825=3,10,IF(E825&lt;&gt;"",1,0))))+IF(F825=1,30,IF(F825=2,20,IF(F825=3,10,IF(F825&lt;&gt;"",1,0))))+IF(G825=1,30,IF(G825=2,20,IF(G825=3,10,IF(G825&lt;&gt;"",1,0))))+IF(H825=1,30,IF(H825=2,20,IF(H825=3,10,IF(H825&lt;&gt;"",1,0))))))</f>
        <v/>
      </c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14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>
        <f>IF(AND(C826="",OR(E826="",E826=0)),"",(IF(E826=1,30,IF(E826=2,20,IF(E826=3,10,IF(E826&lt;&gt;"",1,0))))+IF(F826=1,30,IF(F826=2,20,IF(F826=3,10,IF(F826&lt;&gt;"",1,0))))+IF(G826=1,30,IF(G826=2,20,IF(G826=3,10,IF(G826&lt;&gt;"",1,0))))+IF(H826=1,30,IF(H826=2,20,IF(H826=3,10,IF(H826&lt;&gt;"",1,0))))))</f>
        <v/>
      </c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14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>
        <f>IF(AND(C827="",OR(E827="",E827=0)),"",(IF(E827=1,30,IF(E827=2,20,IF(E827=3,10,IF(E827&lt;&gt;"",1,0))))+IF(F827=1,30,IF(F827=2,20,IF(F827=3,10,IF(F827&lt;&gt;"",1,0))))+IF(G827=1,30,IF(G827=2,20,IF(G827=3,10,IF(G827&lt;&gt;"",1,0))))+IF(H827=1,30,IF(H827=2,20,IF(H827=3,10,IF(H827&lt;&gt;"",1,0))))))</f>
        <v/>
      </c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14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>
        <f>IF(AND(C828="",OR(E828="",E828=0)),"",(IF(E828=1,30,IF(E828=2,20,IF(E828=3,10,IF(E828&lt;&gt;"",1,0))))+IF(F828=1,30,IF(F828=2,20,IF(F828=3,10,IF(F828&lt;&gt;"",1,0))))+IF(G828=1,30,IF(G828=2,20,IF(G828=3,10,IF(G828&lt;&gt;"",1,0))))+IF(H828=1,30,IF(H828=2,20,IF(H828=3,10,IF(H828&lt;&gt;"",1,0))))))</f>
        <v/>
      </c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14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>
        <f>IF(AND(C829="",OR(E829="",E829=0)),"",(IF(E829=1,30,IF(E829=2,20,IF(E829=3,10,IF(E829&lt;&gt;"",1,0))))+IF(F829=1,30,IF(F829=2,20,IF(F829=3,10,IF(F829&lt;&gt;"",1,0))))+IF(G829=1,30,IF(G829=2,20,IF(G829=3,10,IF(G829&lt;&gt;"",1,0))))+IF(H829=1,30,IF(H829=2,20,IF(H829=3,10,IF(H829&lt;&gt;"",1,0))))))</f>
        <v/>
      </c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14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>
        <f>IF(AND(C830="",OR(E830="",E830=0)),"",(IF(E830=1,30,IF(E830=2,20,IF(E830=3,10,IF(E830&lt;&gt;"",1,0))))+IF(F830=1,30,IF(F830=2,20,IF(F830=3,10,IF(F830&lt;&gt;"",1,0))))+IF(G830=1,30,IF(G830=2,20,IF(G830=3,10,IF(G830&lt;&gt;"",1,0))))+IF(H830=1,30,IF(H830=2,20,IF(H830=3,10,IF(H830&lt;&gt;"",1,0))))))</f>
        <v/>
      </c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14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>
        <f>IF(AND(C831="",OR(E831="",E831=0)),"",(IF(E831=1,30,IF(E831=2,20,IF(E831=3,10,IF(E831&lt;&gt;"",1,0))))+IF(F831=1,30,IF(F831=2,20,IF(F831=3,10,IF(F831&lt;&gt;"",1,0))))+IF(G831=1,30,IF(G831=2,20,IF(G831=3,10,IF(G831&lt;&gt;"",1,0))))+IF(H831=1,30,IF(H831=2,20,IF(H831=3,10,IF(H831&lt;&gt;"",1,0))))))</f>
        <v/>
      </c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14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>
        <f>IF(AND(C832="",OR(E832="",E832=0)),"",(IF(E832=1,30,IF(E832=2,20,IF(E832=3,10,IF(E832&lt;&gt;"",1,0))))+IF(F832=1,30,IF(F832=2,20,IF(F832=3,10,IF(F832&lt;&gt;"",1,0))))+IF(G832=1,30,IF(G832=2,20,IF(G832=3,10,IF(G832&lt;&gt;"",1,0))))+IF(H832=1,30,IF(H832=2,20,IF(H832=3,10,IF(H832&lt;&gt;"",1,0))))))</f>
        <v/>
      </c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14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>
        <f>IF(AND(C833="",OR(E833="",E833=0)),"",(IF(E833=1,30,IF(E833=2,20,IF(E833=3,10,IF(E833&lt;&gt;"",1,0))))+IF(F833=1,30,IF(F833=2,20,IF(F833=3,10,IF(F833&lt;&gt;"",1,0))))+IF(G833=1,30,IF(G833=2,20,IF(G833=3,10,IF(G833&lt;&gt;"",1,0))))+IF(H833=1,30,IF(H833=2,20,IF(H833=3,10,IF(H833&lt;&gt;"",1,0))))))</f>
        <v/>
      </c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14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>
        <f>IF(AND(C834="",OR(E834="",E834=0)),"",(IF(E834=1,30,IF(E834=2,20,IF(E834=3,10,IF(E834&lt;&gt;"",1,0))))+IF(F834=1,30,IF(F834=2,20,IF(F834=3,10,IF(F834&lt;&gt;"",1,0))))+IF(G834=1,30,IF(G834=2,20,IF(G834=3,10,IF(G834&lt;&gt;"",1,0))))+IF(H834=1,30,IF(H834=2,20,IF(H834=3,10,IF(H834&lt;&gt;"",1,0))))))</f>
        <v/>
      </c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14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>
        <f>IF(AND(C835="",OR(E835="",E835=0)),"",(IF(E835=1,30,IF(E835=2,20,IF(E835=3,10,IF(E835&lt;&gt;"",1,0))))+IF(F835=1,30,IF(F835=2,20,IF(F835=3,10,IF(F835&lt;&gt;"",1,0))))+IF(G835=1,30,IF(G835=2,20,IF(G835=3,10,IF(G835&lt;&gt;"",1,0))))+IF(H835=1,30,IF(H835=2,20,IF(H835=3,10,IF(H835&lt;&gt;"",1,0))))))</f>
        <v/>
      </c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14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>
        <f>IF(AND(C836="",OR(E836="",E836=0)),"",(IF(E836=1,30,IF(E836=2,20,IF(E836=3,10,IF(E836&lt;&gt;"",1,0))))+IF(F836=1,30,IF(F836=2,20,IF(F836=3,10,IF(F836&lt;&gt;"",1,0))))+IF(G836=1,30,IF(G836=2,20,IF(G836=3,10,IF(G836&lt;&gt;"",1,0))))+IF(H836=1,30,IF(H836=2,20,IF(H836=3,10,IF(H836&lt;&gt;"",1,0))))))</f>
        <v/>
      </c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14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>
        <f>IF(AND(C837="",OR(E837="",E837=0)),"",(IF(E837=1,30,IF(E837=2,20,IF(E837=3,10,IF(E837&lt;&gt;"",1,0))))+IF(F837=1,30,IF(F837=2,20,IF(F837=3,10,IF(F837&lt;&gt;"",1,0))))+IF(G837=1,30,IF(G837=2,20,IF(G837=3,10,IF(G837&lt;&gt;"",1,0))))+IF(H837=1,30,IF(H837=2,20,IF(H837=3,10,IF(H837&lt;&gt;"",1,0))))))</f>
        <v/>
      </c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14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>
        <f>IF(AND(C838="",OR(E838="",E838=0)),"",(IF(E838=1,30,IF(E838=2,20,IF(E838=3,10,IF(E838&lt;&gt;"",1,0))))+IF(F838=1,30,IF(F838=2,20,IF(F838=3,10,IF(F838&lt;&gt;"",1,0))))+IF(G838=1,30,IF(G838=2,20,IF(G838=3,10,IF(G838&lt;&gt;"",1,0))))+IF(H838=1,30,IF(H838=2,20,IF(H838=3,10,IF(H838&lt;&gt;"",1,0))))))</f>
        <v/>
      </c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14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>
        <f>IF(AND(C839="",OR(E839="",E839=0)),"",(IF(E839=1,30,IF(E839=2,20,IF(E839=3,10,IF(E839&lt;&gt;"",1,0))))+IF(F839=1,30,IF(F839=2,20,IF(F839=3,10,IF(F839&lt;&gt;"",1,0))))+IF(G839=1,30,IF(G839=2,20,IF(G839=3,10,IF(G839&lt;&gt;"",1,0))))+IF(H839=1,30,IF(H839=2,20,IF(H839=3,10,IF(H839&lt;&gt;"",1,0))))))</f>
        <v/>
      </c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14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>
        <f>IF(AND(C840="",OR(E840="",E840=0)),"",(IF(E840=1,30,IF(E840=2,20,IF(E840=3,10,IF(E840&lt;&gt;"",1,0))))+IF(F840=1,30,IF(F840=2,20,IF(F840=3,10,IF(F840&lt;&gt;"",1,0))))+IF(G840=1,30,IF(G840=2,20,IF(G840=3,10,IF(G840&lt;&gt;"",1,0))))+IF(H840=1,30,IF(H840=2,20,IF(H840=3,10,IF(H840&lt;&gt;"",1,0))))))</f>
        <v/>
      </c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14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>
        <f>IF(AND(C841="",OR(E841="",E841=0)),"",(IF(E841=1,30,IF(E841=2,20,IF(E841=3,10,IF(E841&lt;&gt;"",1,0))))+IF(F841=1,30,IF(F841=2,20,IF(F841=3,10,IF(F841&lt;&gt;"",1,0))))+IF(G841=1,30,IF(G841=2,20,IF(G841=3,10,IF(G841&lt;&gt;"",1,0))))+IF(H841=1,30,IF(H841=2,20,IF(H841=3,10,IF(H841&lt;&gt;"",1,0))))))</f>
        <v/>
      </c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14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>
        <f>IF(AND(C842="",OR(E842="",E842=0)),"",(IF(E842=1,30,IF(E842=2,20,IF(E842=3,10,IF(E842&lt;&gt;"",1,0))))+IF(F842=1,30,IF(F842=2,20,IF(F842=3,10,IF(F842&lt;&gt;"",1,0))))+IF(G842=1,30,IF(G842=2,20,IF(G842=3,10,IF(G842&lt;&gt;"",1,0))))+IF(H842=1,30,IF(H842=2,20,IF(H842=3,10,IF(H842&lt;&gt;"",1,0))))))</f>
        <v/>
      </c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1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>
        <f>IF(AND(C843="",OR(E843="",E843=0)),"",(IF(E843=1,30,IF(E843=2,20,IF(E843=3,10,IF(E843&lt;&gt;"",1,0))))+IF(F843=1,30,IF(F843=2,20,IF(F843=3,10,IF(F843&lt;&gt;"",1,0))))+IF(G843=1,30,IF(G843=2,20,IF(G843=3,10,IF(G843&lt;&gt;"",1,0))))+IF(H843=1,30,IF(H843=2,20,IF(H843=3,10,IF(H843&lt;&gt;"",1,0))))))</f>
        <v/>
      </c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14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>
        <f>IF(AND(C844="",OR(E844="",E844=0)),"",(IF(E844=1,30,IF(E844=2,20,IF(E844=3,10,IF(E844&lt;&gt;"",1,0))))+IF(F844=1,30,IF(F844=2,20,IF(F844=3,10,IF(F844&lt;&gt;"",1,0))))+IF(G844=1,30,IF(G844=2,20,IF(G844=3,10,IF(G844&lt;&gt;"",1,0))))+IF(H844=1,30,IF(H844=2,20,IF(H844=3,10,IF(H844&lt;&gt;"",1,0))))))</f>
        <v/>
      </c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14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>
        <f>IF(AND(C845="",OR(E845="",E845=0)),"",(IF(E845=1,30,IF(E845=2,20,IF(E845=3,10,IF(E845&lt;&gt;"",1,0))))+IF(F845=1,30,IF(F845=2,20,IF(F845=3,10,IF(F845&lt;&gt;"",1,0))))+IF(G845=1,30,IF(G845=2,20,IF(G845=3,10,IF(G845&lt;&gt;"",1,0))))+IF(H845=1,30,IF(H845=2,20,IF(H845=3,10,IF(H845&lt;&gt;"",1,0))))))</f>
        <v/>
      </c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14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>
        <f>IF(AND(C846="",OR(E846="",E846=0)),"",(IF(E846=1,30,IF(E846=2,20,IF(E846=3,10,IF(E846&lt;&gt;"",1,0))))+IF(F846=1,30,IF(F846=2,20,IF(F846=3,10,IF(F846&lt;&gt;"",1,0))))+IF(G846=1,30,IF(G846=2,20,IF(G846=3,10,IF(G846&lt;&gt;"",1,0))))+IF(H846=1,30,IF(H846=2,20,IF(H846=3,10,IF(H846&lt;&gt;"",1,0))))))</f>
        <v/>
      </c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14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>
        <f>IF(AND(C847="",OR(E847="",E847=0)),"",(IF(E847=1,30,IF(E847=2,20,IF(E847=3,10,IF(E847&lt;&gt;"",1,0))))+IF(F847=1,30,IF(F847=2,20,IF(F847=3,10,IF(F847&lt;&gt;"",1,0))))+IF(G847=1,30,IF(G847=2,20,IF(G847=3,10,IF(G847&lt;&gt;"",1,0))))+IF(H847=1,30,IF(H847=2,20,IF(H847=3,10,IF(H847&lt;&gt;"",1,0))))))</f>
        <v/>
      </c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14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>
        <f>IF(AND(C848="",OR(E848="",E848=0)),"",(IF(E848=1,30,IF(E848=2,20,IF(E848=3,10,IF(E848&lt;&gt;"",1,0))))+IF(F848=1,30,IF(F848=2,20,IF(F848=3,10,IF(F848&lt;&gt;"",1,0))))+IF(G848=1,30,IF(G848=2,20,IF(G848=3,10,IF(G848&lt;&gt;"",1,0))))+IF(H848=1,30,IF(H848=2,20,IF(H848=3,10,IF(H848&lt;&gt;"",1,0))))))</f>
        <v/>
      </c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14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>
        <f>IF(AND(C849="",OR(E849="",E849=0)),"",(IF(E849=1,30,IF(E849=2,20,IF(E849=3,10,IF(E849&lt;&gt;"",1,0))))+IF(F849=1,30,IF(F849=2,20,IF(F849=3,10,IF(F849&lt;&gt;"",1,0))))+IF(G849=1,30,IF(G849=2,20,IF(G849=3,10,IF(G849&lt;&gt;"",1,0))))+IF(H849=1,30,IF(H849=2,20,IF(H849=3,10,IF(H849&lt;&gt;"",1,0))))))</f>
        <v/>
      </c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14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>
        <f>IF(AND(C850="",OR(E850="",E850=0)),"",(IF(E850=1,30,IF(E850=2,20,IF(E850=3,10,IF(E850&lt;&gt;"",1,0))))+IF(F850=1,30,IF(F850=2,20,IF(F850=3,10,IF(F850&lt;&gt;"",1,0))))+IF(G850=1,30,IF(G850=2,20,IF(G850=3,10,IF(G850&lt;&gt;"",1,0))))+IF(H850=1,30,IF(H850=2,20,IF(H850=3,10,IF(H850&lt;&gt;"",1,0))))))</f>
        <v/>
      </c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14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>
        <f>IF(AND(C851="",OR(E851="",E851=0)),"",(IF(E851=1,30,IF(E851=2,20,IF(E851=3,10,IF(E851&lt;&gt;"",1,0))))+IF(F851=1,30,IF(F851=2,20,IF(F851=3,10,IF(F851&lt;&gt;"",1,0))))+IF(G851=1,30,IF(G851=2,20,IF(G851=3,10,IF(G851&lt;&gt;"",1,0))))+IF(H851=1,30,IF(H851=2,20,IF(H851=3,10,IF(H851&lt;&gt;"",1,0))))))</f>
        <v/>
      </c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14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>
        <f>IF(AND(C852="",OR(E852="",E852=0)),"",(IF(E852=1,30,IF(E852=2,20,IF(E852=3,10,IF(E852&lt;&gt;"",1,0))))+IF(F852=1,30,IF(F852=2,20,IF(F852=3,10,IF(F852&lt;&gt;"",1,0))))+IF(G852=1,30,IF(G852=2,20,IF(G852=3,10,IF(G852&lt;&gt;"",1,0))))+IF(H852=1,30,IF(H852=2,20,IF(H852=3,10,IF(H852&lt;&gt;"",1,0))))))</f>
        <v/>
      </c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14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>
        <f>IF(AND(C853="",OR(E853="",E853=0)),"",(IF(E853=1,30,IF(E853=2,20,IF(E853=3,10,IF(E853&lt;&gt;"",1,0))))+IF(F853=1,30,IF(F853=2,20,IF(F853=3,10,IF(F853&lt;&gt;"",1,0))))+IF(G853=1,30,IF(G853=2,20,IF(G853=3,10,IF(G853&lt;&gt;"",1,0))))+IF(H853=1,30,IF(H853=2,20,IF(H853=3,10,IF(H853&lt;&gt;"",1,0))))))</f>
        <v/>
      </c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14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>
        <f>IF(AND(C854="",OR(E854="",E854=0)),"",(IF(E854=1,30,IF(E854=2,20,IF(E854=3,10,IF(E854&lt;&gt;"",1,0))))+IF(F854=1,30,IF(F854=2,20,IF(F854=3,10,IF(F854&lt;&gt;"",1,0))))+IF(G854=1,30,IF(G854=2,20,IF(G854=3,10,IF(G854&lt;&gt;"",1,0))))+IF(H854=1,30,IF(H854=2,20,IF(H854=3,10,IF(H854&lt;&gt;"",1,0))))))</f>
        <v/>
      </c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14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>
        <f>IF(AND(C855="",OR(E855="",E855=0)),"",(IF(E855=1,30,IF(E855=2,20,IF(E855=3,10,IF(E855&lt;&gt;"",1,0))))+IF(F855=1,30,IF(F855=2,20,IF(F855=3,10,IF(F855&lt;&gt;"",1,0))))+IF(G855=1,30,IF(G855=2,20,IF(G855=3,10,IF(G855&lt;&gt;"",1,0))))+IF(H855=1,30,IF(H855=2,20,IF(H855=3,10,IF(H855&lt;&gt;"",1,0))))))</f>
        <v/>
      </c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14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>
        <f>IF(AND(C856="",OR(E856="",E856=0)),"",(IF(E856=1,30,IF(E856=2,20,IF(E856=3,10,IF(E856&lt;&gt;"",1,0))))+IF(F856=1,30,IF(F856=2,20,IF(F856=3,10,IF(F856&lt;&gt;"",1,0))))+IF(G856=1,30,IF(G856=2,20,IF(G856=3,10,IF(G856&lt;&gt;"",1,0))))+IF(H856=1,30,IF(H856=2,20,IF(H856=3,10,IF(H856&lt;&gt;"",1,0))))))</f>
        <v/>
      </c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14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>
        <f>IF(AND(C857="",OR(E857="",E857=0)),"",(IF(E857=1,30,IF(E857=2,20,IF(E857=3,10,IF(E857&lt;&gt;"",1,0))))+IF(F857=1,30,IF(F857=2,20,IF(F857=3,10,IF(F857&lt;&gt;"",1,0))))+IF(G857=1,30,IF(G857=2,20,IF(G857=3,10,IF(G857&lt;&gt;"",1,0))))+IF(H857=1,30,IF(H857=2,20,IF(H857=3,10,IF(H857&lt;&gt;"",1,0))))))</f>
        <v/>
      </c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14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>
        <f>IF(AND(C858="",OR(E858="",E858=0)),"",(IF(E858=1,30,IF(E858=2,20,IF(E858=3,10,IF(E858&lt;&gt;"",1,0))))+IF(F858=1,30,IF(F858=2,20,IF(F858=3,10,IF(F858&lt;&gt;"",1,0))))+IF(G858=1,30,IF(G858=2,20,IF(G858=3,10,IF(G858&lt;&gt;"",1,0))))+IF(H858=1,30,IF(H858=2,20,IF(H858=3,10,IF(H858&lt;&gt;"",1,0))))))</f>
        <v/>
      </c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14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>
        <f>IF(AND(C859="",OR(E859="",E859=0)),"",(IF(E859=1,30,IF(E859=2,20,IF(E859=3,10,IF(E859&lt;&gt;"",1,0))))+IF(F859=1,30,IF(F859=2,20,IF(F859=3,10,IF(F859&lt;&gt;"",1,0))))+IF(G859=1,30,IF(G859=2,20,IF(G859=3,10,IF(G859&lt;&gt;"",1,0))))+IF(H859=1,30,IF(H859=2,20,IF(H859=3,10,IF(H859&lt;&gt;"",1,0))))))</f>
        <v/>
      </c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14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>
        <f>IF(AND(C860="",OR(E860="",E860=0)),"",(IF(E860=1,30,IF(E860=2,20,IF(E860=3,10,IF(E860&lt;&gt;"",1,0))))+IF(F860=1,30,IF(F860=2,20,IF(F860=3,10,IF(F860&lt;&gt;"",1,0))))+IF(G860=1,30,IF(G860=2,20,IF(G860=3,10,IF(G860&lt;&gt;"",1,0))))+IF(H860=1,30,IF(H860=2,20,IF(H860=3,10,IF(H860&lt;&gt;"",1,0))))))</f>
        <v/>
      </c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14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>
        <f>IF(AND(C861="",OR(E861="",E861=0)),"",(IF(E861=1,30,IF(E861=2,20,IF(E861=3,10,IF(E861&lt;&gt;"",1,0))))+IF(F861=1,30,IF(F861=2,20,IF(F861=3,10,IF(F861&lt;&gt;"",1,0))))+IF(G861=1,30,IF(G861=2,20,IF(G861=3,10,IF(G861&lt;&gt;"",1,0))))+IF(H861=1,30,IF(H861=2,20,IF(H861=3,10,IF(H861&lt;&gt;"",1,0))))))</f>
        <v/>
      </c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14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>
        <f>IF(AND(C862="",OR(E862="",E862=0)),"",(IF(E862=1,30,IF(E862=2,20,IF(E862=3,10,IF(E862&lt;&gt;"",1,0))))+IF(F862=1,30,IF(F862=2,20,IF(F862=3,10,IF(F862&lt;&gt;"",1,0))))+IF(G862=1,30,IF(G862=2,20,IF(G862=3,10,IF(G862&lt;&gt;"",1,0))))+IF(H862=1,30,IF(H862=2,20,IF(H862=3,10,IF(H862&lt;&gt;"",1,0))))))</f>
        <v/>
      </c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14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>
        <f>IF(AND(C863="",OR(E863="",E863=0)),"",(IF(E863=1,30,IF(E863=2,20,IF(E863=3,10,IF(E863&lt;&gt;"",1,0))))+IF(F863=1,30,IF(F863=2,20,IF(F863=3,10,IF(F863&lt;&gt;"",1,0))))+IF(G863=1,30,IF(G863=2,20,IF(G863=3,10,IF(G863&lt;&gt;"",1,0))))+IF(H863=1,30,IF(H863=2,20,IF(H863=3,10,IF(H863&lt;&gt;"",1,0))))))</f>
        <v/>
      </c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14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>
        <f>IF(AND(C864="",OR(E864="",E864=0)),"",(IF(E864=1,30,IF(E864=2,20,IF(E864=3,10,IF(E864&lt;&gt;"",1,0))))+IF(F864=1,30,IF(F864=2,20,IF(F864=3,10,IF(F864&lt;&gt;"",1,0))))+IF(G864=1,30,IF(G864=2,20,IF(G864=3,10,IF(G864&lt;&gt;"",1,0))))+IF(H864=1,30,IF(H864=2,20,IF(H864=3,10,IF(H864&lt;&gt;"",1,0))))))</f>
        <v/>
      </c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14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>
        <f>IF(AND(C865="",OR(E865="",E865=0)),"",(IF(E865=1,30,IF(E865=2,20,IF(E865=3,10,IF(E865&lt;&gt;"",1,0))))+IF(F865=1,30,IF(F865=2,20,IF(F865=3,10,IF(F865&lt;&gt;"",1,0))))+IF(G865=1,30,IF(G865=2,20,IF(G865=3,10,IF(G865&lt;&gt;"",1,0))))+IF(H865=1,30,IF(H865=2,20,IF(H865=3,10,IF(H865&lt;&gt;"",1,0))))))</f>
        <v/>
      </c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14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>
        <f>IF(AND(C866="",OR(E866="",E866=0)),"",(IF(E866=1,30,IF(E866=2,20,IF(E866=3,10,IF(E866&lt;&gt;"",1,0))))+IF(F866=1,30,IF(F866=2,20,IF(F866=3,10,IF(F866&lt;&gt;"",1,0))))+IF(G866=1,30,IF(G866=2,20,IF(G866=3,10,IF(G866&lt;&gt;"",1,0))))+IF(H866=1,30,IF(H866=2,20,IF(H866=3,10,IF(H866&lt;&gt;"",1,0))))))</f>
        <v/>
      </c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14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>
        <f>IF(AND(C867="",OR(E867="",E867=0)),"",(IF(E867=1,30,IF(E867=2,20,IF(E867=3,10,IF(E867&lt;&gt;"",1,0))))+IF(F867=1,30,IF(F867=2,20,IF(F867=3,10,IF(F867&lt;&gt;"",1,0))))+IF(G867=1,30,IF(G867=2,20,IF(G867=3,10,IF(G867&lt;&gt;"",1,0))))+IF(H867=1,30,IF(H867=2,20,IF(H867=3,10,IF(H867&lt;&gt;"",1,0))))))</f>
        <v/>
      </c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14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>
        <f>IF(AND(C868="",OR(E868="",E868=0)),"",(IF(E868=1,30,IF(E868=2,20,IF(E868=3,10,IF(E868&lt;&gt;"",1,0))))+IF(F868=1,30,IF(F868=2,20,IF(F868=3,10,IF(F868&lt;&gt;"",1,0))))+IF(G868=1,30,IF(G868=2,20,IF(G868=3,10,IF(G868&lt;&gt;"",1,0))))+IF(H868=1,30,IF(H868=2,20,IF(H868=3,10,IF(H868&lt;&gt;"",1,0))))))</f>
        <v/>
      </c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14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>
        <f>IF(AND(C869="",OR(E869="",E869=0)),"",(IF(E869=1,30,IF(E869=2,20,IF(E869=3,10,IF(E869&lt;&gt;"",1,0))))+IF(F869=1,30,IF(F869=2,20,IF(F869=3,10,IF(F869&lt;&gt;"",1,0))))+IF(G869=1,30,IF(G869=2,20,IF(G869=3,10,IF(G869&lt;&gt;"",1,0))))+IF(H869=1,30,IF(H869=2,20,IF(H869=3,10,IF(H869&lt;&gt;"",1,0))))))</f>
        <v/>
      </c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14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>
        <f>IF(AND(C870="",OR(E870="",E870=0)),"",(IF(E870=1,30,IF(E870=2,20,IF(E870=3,10,IF(E870&lt;&gt;"",1,0))))+IF(F870=1,30,IF(F870=2,20,IF(F870=3,10,IF(F870&lt;&gt;"",1,0))))+IF(G870=1,30,IF(G870=2,20,IF(G870=3,10,IF(G870&lt;&gt;"",1,0))))+IF(H870=1,30,IF(H870=2,20,IF(H870=3,10,IF(H870&lt;&gt;"",1,0))))))</f>
        <v/>
      </c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14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>
        <f>IF(AND(C871="",OR(E871="",E871=0)),"",(IF(E871=1,30,IF(E871=2,20,IF(E871=3,10,IF(E871&lt;&gt;"",1,0))))+IF(F871=1,30,IF(F871=2,20,IF(F871=3,10,IF(F871&lt;&gt;"",1,0))))+IF(G871=1,30,IF(G871=2,20,IF(G871=3,10,IF(G871&lt;&gt;"",1,0))))+IF(H871=1,30,IF(H871=2,20,IF(H871=3,10,IF(H871&lt;&gt;"",1,0))))))</f>
        <v/>
      </c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14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>
        <f>IF(AND(C872="",OR(E872="",E872=0)),"",(IF(E872=1,30,IF(E872=2,20,IF(E872=3,10,IF(E872&lt;&gt;"",1,0))))+IF(F872=1,30,IF(F872=2,20,IF(F872=3,10,IF(F872&lt;&gt;"",1,0))))+IF(G872=1,30,IF(G872=2,20,IF(G872=3,10,IF(G872&lt;&gt;"",1,0))))+IF(H872=1,30,IF(H872=2,20,IF(H872=3,10,IF(H872&lt;&gt;"",1,0))))))</f>
        <v/>
      </c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14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>
        <f>IF(AND(C873="",OR(E873="",E873=0)),"",(IF(E873=1,30,IF(E873=2,20,IF(E873=3,10,IF(E873&lt;&gt;"",1,0))))+IF(F873=1,30,IF(F873=2,20,IF(F873=3,10,IF(F873&lt;&gt;"",1,0))))+IF(G873=1,30,IF(G873=2,20,IF(G873=3,10,IF(G873&lt;&gt;"",1,0))))+IF(H873=1,30,IF(H873=2,20,IF(H873=3,10,IF(H873&lt;&gt;"",1,0))))))</f>
        <v/>
      </c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14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>
        <f>IF(AND(C874="",OR(E874="",E874=0)),"",(IF(E874=1,30,IF(E874=2,20,IF(E874=3,10,IF(E874&lt;&gt;"",1,0))))+IF(F874=1,30,IF(F874=2,20,IF(F874=3,10,IF(F874&lt;&gt;"",1,0))))+IF(G874=1,30,IF(G874=2,20,IF(G874=3,10,IF(G874&lt;&gt;"",1,0))))+IF(H874=1,30,IF(H874=2,20,IF(H874=3,10,IF(H874&lt;&gt;"",1,0))))))</f>
        <v/>
      </c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14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>
        <f>IF(AND(C875="",OR(E875="",E875=0)),"",(IF(E875=1,30,IF(E875=2,20,IF(E875=3,10,IF(E875&lt;&gt;"",1,0))))+IF(F875=1,30,IF(F875=2,20,IF(F875=3,10,IF(F875&lt;&gt;"",1,0))))+IF(G875=1,30,IF(G875=2,20,IF(G875=3,10,IF(G875&lt;&gt;"",1,0))))+IF(H875=1,30,IF(H875=2,20,IF(H875=3,10,IF(H875&lt;&gt;"",1,0))))))</f>
        <v/>
      </c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14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>
        <f>IF(AND(C876="",OR(E876="",E876=0)),"",(IF(E876=1,30,IF(E876=2,20,IF(E876=3,10,IF(E876&lt;&gt;"",1,0))))+IF(F876=1,30,IF(F876=2,20,IF(F876=3,10,IF(F876&lt;&gt;"",1,0))))+IF(G876=1,30,IF(G876=2,20,IF(G876=3,10,IF(G876&lt;&gt;"",1,0))))+IF(H876=1,30,IF(H876=2,20,IF(H876=3,10,IF(H876&lt;&gt;"",1,0))))))</f>
        <v/>
      </c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14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>
        <f>IF(AND(C877="",OR(E877="",E877=0)),"",(IF(E877=1,30,IF(E877=2,20,IF(E877=3,10,IF(E877&lt;&gt;"",1,0))))+IF(F877=1,30,IF(F877=2,20,IF(F877=3,10,IF(F877&lt;&gt;"",1,0))))+IF(G877=1,30,IF(G877=2,20,IF(G877=3,10,IF(G877&lt;&gt;"",1,0))))+IF(H877=1,30,IF(H877=2,20,IF(H877=3,10,IF(H877&lt;&gt;"",1,0))))))</f>
        <v/>
      </c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14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>
        <f>IF(AND(C878="",OR(E878="",E878=0)),"",(IF(E878=1,30,IF(E878=2,20,IF(E878=3,10,IF(E878&lt;&gt;"",1,0))))+IF(F878=1,30,IF(F878=2,20,IF(F878=3,10,IF(F878&lt;&gt;"",1,0))))+IF(G878=1,30,IF(G878=2,20,IF(G878=3,10,IF(G878&lt;&gt;"",1,0))))+IF(H878=1,30,IF(H878=2,20,IF(H878=3,10,IF(H878&lt;&gt;"",1,0))))))</f>
        <v/>
      </c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14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>
        <f>IF(AND(C879="",OR(E879="",E879=0)),"",(IF(E879=1,30,IF(E879=2,20,IF(E879=3,10,IF(E879&lt;&gt;"",1,0))))+IF(F879=1,30,IF(F879=2,20,IF(F879=3,10,IF(F879&lt;&gt;"",1,0))))+IF(G879=1,30,IF(G879=2,20,IF(G879=3,10,IF(G879&lt;&gt;"",1,0))))+IF(H879=1,30,IF(H879=2,20,IF(H879=3,10,IF(H879&lt;&gt;"",1,0))))))</f>
        <v/>
      </c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14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>
        <f>IF(AND(C880="",OR(E880="",E880=0)),"",(IF(E880=1,30,IF(E880=2,20,IF(E880=3,10,IF(E880&lt;&gt;"",1,0))))+IF(F880=1,30,IF(F880=2,20,IF(F880=3,10,IF(F880&lt;&gt;"",1,0))))+IF(G880=1,30,IF(G880=2,20,IF(G880=3,10,IF(G880&lt;&gt;"",1,0))))+IF(H880=1,30,IF(H880=2,20,IF(H880=3,10,IF(H880&lt;&gt;"",1,0))))))</f>
        <v/>
      </c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14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>
        <f>IF(AND(C881="",OR(E881="",E881=0)),"",(IF(E881=1,30,IF(E881=2,20,IF(E881=3,10,IF(E881&lt;&gt;"",1,0))))+IF(F881=1,30,IF(F881=2,20,IF(F881=3,10,IF(F881&lt;&gt;"",1,0))))+IF(G881=1,30,IF(G881=2,20,IF(G881=3,10,IF(G881&lt;&gt;"",1,0))))+IF(H881=1,30,IF(H881=2,20,IF(H881=3,10,IF(H881&lt;&gt;"",1,0))))))</f>
        <v/>
      </c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14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>
        <f>IF(AND(C882="",OR(E882="",E882=0)),"",(IF(E882=1,30,IF(E882=2,20,IF(E882=3,10,IF(E882&lt;&gt;"",1,0))))+IF(F882=1,30,IF(F882=2,20,IF(F882=3,10,IF(F882&lt;&gt;"",1,0))))+IF(G882=1,30,IF(G882=2,20,IF(G882=3,10,IF(G882&lt;&gt;"",1,0))))+IF(H882=1,30,IF(H882=2,20,IF(H882=3,10,IF(H882&lt;&gt;"",1,0))))))</f>
        <v/>
      </c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14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>
        <f>IF(AND(C883="",OR(E883="",E883=0)),"",(IF(E883=1,30,IF(E883=2,20,IF(E883=3,10,IF(E883&lt;&gt;"",1,0))))+IF(F883=1,30,IF(F883=2,20,IF(F883=3,10,IF(F883&lt;&gt;"",1,0))))+IF(G883=1,30,IF(G883=2,20,IF(G883=3,10,IF(G883&lt;&gt;"",1,0))))+IF(H883=1,30,IF(H883=2,20,IF(H883=3,10,IF(H883&lt;&gt;"",1,0))))))</f>
        <v/>
      </c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14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>
        <f>IF(AND(C884="",OR(E884="",E884=0)),"",(IF(E884=1,30,IF(E884=2,20,IF(E884=3,10,IF(E884&lt;&gt;"",1,0))))+IF(F884=1,30,IF(F884=2,20,IF(F884=3,10,IF(F884&lt;&gt;"",1,0))))+IF(G884=1,30,IF(G884=2,20,IF(G884=3,10,IF(G884&lt;&gt;"",1,0))))+IF(H884=1,30,IF(H884=2,20,IF(H884=3,10,IF(H884&lt;&gt;"",1,0))))))</f>
        <v/>
      </c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14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>
        <f>IF(AND(C885="",OR(E885="",E885=0)),"",(IF(E885=1,30,IF(E885=2,20,IF(E885=3,10,IF(E885&lt;&gt;"",1,0))))+IF(F885=1,30,IF(F885=2,20,IF(F885=3,10,IF(F885&lt;&gt;"",1,0))))+IF(G885=1,30,IF(G885=2,20,IF(G885=3,10,IF(G885&lt;&gt;"",1,0))))+IF(H885=1,30,IF(H885=2,20,IF(H885=3,10,IF(H885&lt;&gt;"",1,0))))))</f>
        <v/>
      </c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14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>
        <f>IF(AND(C886="",OR(E886="",E886=0)),"",(IF(E886=1,30,IF(E886=2,20,IF(E886=3,10,IF(E886&lt;&gt;"",1,0))))+IF(F886=1,30,IF(F886=2,20,IF(F886=3,10,IF(F886&lt;&gt;"",1,0))))+IF(G886=1,30,IF(G886=2,20,IF(G886=3,10,IF(G886&lt;&gt;"",1,0))))+IF(H886=1,30,IF(H886=2,20,IF(H886=3,10,IF(H886&lt;&gt;"",1,0))))))</f>
        <v/>
      </c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14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>
        <f>IF(AND(C887="",OR(E887="",E887=0)),"",(IF(E887=1,30,IF(E887=2,20,IF(E887=3,10,IF(E887&lt;&gt;"",1,0))))+IF(F887=1,30,IF(F887=2,20,IF(F887=3,10,IF(F887&lt;&gt;"",1,0))))+IF(G887=1,30,IF(G887=2,20,IF(G887=3,10,IF(G887&lt;&gt;"",1,0))))+IF(H887=1,30,IF(H887=2,20,IF(H887=3,10,IF(H887&lt;&gt;"",1,0))))))</f>
        <v/>
      </c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14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>
        <f>IF(AND(C888="",OR(E888="",E888=0)),"",(IF(E888=1,30,IF(E888=2,20,IF(E888=3,10,IF(E888&lt;&gt;"",1,0))))+IF(F888=1,30,IF(F888=2,20,IF(F888=3,10,IF(F888&lt;&gt;"",1,0))))+IF(G888=1,30,IF(G888=2,20,IF(G888=3,10,IF(G888&lt;&gt;"",1,0))))+IF(H888=1,30,IF(H888=2,20,IF(H888=3,10,IF(H888&lt;&gt;"",1,0))))))</f>
        <v/>
      </c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14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>
        <f>IF(AND(C889="",OR(E889="",E889=0)),"",(IF(E889=1,30,IF(E889=2,20,IF(E889=3,10,IF(E889&lt;&gt;"",1,0))))+IF(F889=1,30,IF(F889=2,20,IF(F889=3,10,IF(F889&lt;&gt;"",1,0))))+IF(G889=1,30,IF(G889=2,20,IF(G889=3,10,IF(G889&lt;&gt;"",1,0))))+IF(H889=1,30,IF(H889=2,20,IF(H889=3,10,IF(H889&lt;&gt;"",1,0))))))</f>
        <v/>
      </c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14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>
        <f>IF(AND(C890="",OR(E890="",E890=0)),"",(IF(E890=1,30,IF(E890=2,20,IF(E890=3,10,IF(E890&lt;&gt;"",1,0))))+IF(F890=1,30,IF(F890=2,20,IF(F890=3,10,IF(F890&lt;&gt;"",1,0))))+IF(G890=1,30,IF(G890=2,20,IF(G890=3,10,IF(G890&lt;&gt;"",1,0))))+IF(H890=1,30,IF(H890=2,20,IF(H890=3,10,IF(H890&lt;&gt;"",1,0))))))</f>
        <v/>
      </c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14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>
        <f>IF(AND(C891="",OR(E891="",E891=0)),"",(IF(E891=1,30,IF(E891=2,20,IF(E891=3,10,IF(E891&lt;&gt;"",1,0))))+IF(F891=1,30,IF(F891=2,20,IF(F891=3,10,IF(F891&lt;&gt;"",1,0))))+IF(G891=1,30,IF(G891=2,20,IF(G891=3,10,IF(G891&lt;&gt;"",1,0))))+IF(H891=1,30,IF(H891=2,20,IF(H891=3,10,IF(H891&lt;&gt;"",1,0))))))</f>
        <v/>
      </c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14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>
        <f>IF(AND(C892="",OR(E892="",E892=0)),"",(IF(E892=1,30,IF(E892=2,20,IF(E892=3,10,IF(E892&lt;&gt;"",1,0))))+IF(F892=1,30,IF(F892=2,20,IF(F892=3,10,IF(F892&lt;&gt;"",1,0))))+IF(G892=1,30,IF(G892=2,20,IF(G892=3,10,IF(G892&lt;&gt;"",1,0))))+IF(H892=1,30,IF(H892=2,20,IF(H892=3,10,IF(H892&lt;&gt;"",1,0))))))</f>
        <v/>
      </c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14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>
        <f>IF(AND(C893="",OR(E893="",E893=0)),"",(IF(E893=1,30,IF(E893=2,20,IF(E893=3,10,IF(E893&lt;&gt;"",1,0))))+IF(F893=1,30,IF(F893=2,20,IF(F893=3,10,IF(F893&lt;&gt;"",1,0))))+IF(G893=1,30,IF(G893=2,20,IF(G893=3,10,IF(G893&lt;&gt;"",1,0))))+IF(H893=1,30,IF(H893=2,20,IF(H893=3,10,IF(H893&lt;&gt;"",1,0))))))</f>
        <v/>
      </c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14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>
        <f>IF(AND(C894="",OR(E894="",E894=0)),"",(IF(E894=1,30,IF(E894=2,20,IF(E894=3,10,IF(E894&lt;&gt;"",1,0))))+IF(F894=1,30,IF(F894=2,20,IF(F894=3,10,IF(F894&lt;&gt;"",1,0))))+IF(G894=1,30,IF(G894=2,20,IF(G894=3,10,IF(G894&lt;&gt;"",1,0))))+IF(H894=1,30,IF(H894=2,20,IF(H894=3,10,IF(H894&lt;&gt;"",1,0))))))</f>
        <v/>
      </c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14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>
        <f>IF(AND(C895="",OR(E895="",E895=0)),"",(IF(E895=1,30,IF(E895=2,20,IF(E895=3,10,IF(E895&lt;&gt;"",1,0))))+IF(F895=1,30,IF(F895=2,20,IF(F895=3,10,IF(F895&lt;&gt;"",1,0))))+IF(G895=1,30,IF(G895=2,20,IF(G895=3,10,IF(G895&lt;&gt;"",1,0))))+IF(H895=1,30,IF(H895=2,20,IF(H895=3,10,IF(H895&lt;&gt;"",1,0))))))</f>
        <v/>
      </c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14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>
        <f>IF(AND(C896="",OR(E896="",E896=0)),"",(IF(E896=1,30,IF(E896=2,20,IF(E896=3,10,IF(E896&lt;&gt;"",1,0))))+IF(F896=1,30,IF(F896=2,20,IF(F896=3,10,IF(F896&lt;&gt;"",1,0))))+IF(G896=1,30,IF(G896=2,20,IF(G896=3,10,IF(G896&lt;&gt;"",1,0))))+IF(H896=1,30,IF(H896=2,20,IF(H896=3,10,IF(H896&lt;&gt;"",1,0))))))</f>
        <v/>
      </c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14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>
        <f>IF(AND(C897="",OR(E897="",E897=0)),"",(IF(E897=1,30,IF(E897=2,20,IF(E897=3,10,IF(E897&lt;&gt;"",1,0))))+IF(F897=1,30,IF(F897=2,20,IF(F897=3,10,IF(F897&lt;&gt;"",1,0))))+IF(G897=1,30,IF(G897=2,20,IF(G897=3,10,IF(G897&lt;&gt;"",1,0))))+IF(H897=1,30,IF(H897=2,20,IF(H897=3,10,IF(H897&lt;&gt;"",1,0))))))</f>
        <v/>
      </c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14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>
        <f>IF(AND(C898="",OR(E898="",E898=0)),"",(IF(E898=1,30,IF(E898=2,20,IF(E898=3,10,IF(E898&lt;&gt;"",1,0))))+IF(F898=1,30,IF(F898=2,20,IF(F898=3,10,IF(F898&lt;&gt;"",1,0))))+IF(G898=1,30,IF(G898=2,20,IF(G898=3,10,IF(G898&lt;&gt;"",1,0))))+IF(H898=1,30,IF(H898=2,20,IF(H898=3,10,IF(H898&lt;&gt;"",1,0))))))</f>
        <v/>
      </c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14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>
        <f>IF(AND(C899="",OR(E899="",E899=0)),"",(IF(E899=1,30,IF(E899=2,20,IF(E899=3,10,IF(E899&lt;&gt;"",1,0))))+IF(F899=1,30,IF(F899=2,20,IF(F899=3,10,IF(F899&lt;&gt;"",1,0))))+IF(G899=1,30,IF(G899=2,20,IF(G899=3,10,IF(G899&lt;&gt;"",1,0))))+IF(H899=1,30,IF(H899=2,20,IF(H899=3,10,IF(H899&lt;&gt;"",1,0))))))</f>
        <v/>
      </c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14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>
        <f>IF(AND(C900="",OR(E900="",E900=0)),"",(IF(E900=1,30,IF(E900=2,20,IF(E900=3,10,IF(E900&lt;&gt;"",1,0))))+IF(F900=1,30,IF(F900=2,20,IF(F900=3,10,IF(F900&lt;&gt;"",1,0))))+IF(G900=1,30,IF(G900=2,20,IF(G900=3,10,IF(G900&lt;&gt;"",1,0))))+IF(H900=1,30,IF(H900=2,20,IF(H900=3,10,IF(H900&lt;&gt;"",1,0))))))</f>
        <v/>
      </c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14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>
        <f>IF(AND(C901="",OR(E901="",E901=0)),"",(IF(E901=1,30,IF(E901=2,20,IF(E901=3,10,IF(E901&lt;&gt;"",1,0))))+IF(F901=1,30,IF(F901=2,20,IF(F901=3,10,IF(F901&lt;&gt;"",1,0))))+IF(G901=1,30,IF(G901=2,20,IF(G901=3,10,IF(G901&lt;&gt;"",1,0))))+IF(H901=1,30,IF(H901=2,20,IF(H901=3,10,IF(H901&lt;&gt;"",1,0))))))</f>
        <v/>
      </c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14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>
        <f>IF(AND(C902="",OR(E902="",E902=0)),"",(IF(E902=1,30,IF(E902=2,20,IF(E902=3,10,IF(E902&lt;&gt;"",1,0))))+IF(F902=1,30,IF(F902=2,20,IF(F902=3,10,IF(F902&lt;&gt;"",1,0))))+IF(G902=1,30,IF(G902=2,20,IF(G902=3,10,IF(G902&lt;&gt;"",1,0))))+IF(H902=1,30,IF(H902=2,20,IF(H902=3,10,IF(H902&lt;&gt;"",1,0))))))</f>
        <v/>
      </c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14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>
        <f>IF(AND(C903="",OR(E903="",E903=0)),"",(IF(E903=1,30,IF(E903=2,20,IF(E903=3,10,IF(E903&lt;&gt;"",1,0))))+IF(F903=1,30,IF(F903=2,20,IF(F903=3,10,IF(F903&lt;&gt;"",1,0))))+IF(G903=1,30,IF(G903=2,20,IF(G903=3,10,IF(G903&lt;&gt;"",1,0))))+IF(H903=1,30,IF(H903=2,20,IF(H903=3,10,IF(H903&lt;&gt;"",1,0))))))</f>
        <v/>
      </c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14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>
        <f>IF(AND(C904="",OR(E904="",E904=0)),"",(IF(E904=1,30,IF(E904=2,20,IF(E904=3,10,IF(E904&lt;&gt;"",1,0))))+IF(F904=1,30,IF(F904=2,20,IF(F904=3,10,IF(F904&lt;&gt;"",1,0))))+IF(G904=1,30,IF(G904=2,20,IF(G904=3,10,IF(G904&lt;&gt;"",1,0))))+IF(H904=1,30,IF(H904=2,20,IF(H904=3,10,IF(H904&lt;&gt;"",1,0))))))</f>
        <v/>
      </c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14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>
        <f>IF(AND(C905="",OR(E905="",E905=0)),"",(IF(E905=1,30,IF(E905=2,20,IF(E905=3,10,IF(E905&lt;&gt;"",1,0))))+IF(F905=1,30,IF(F905=2,20,IF(F905=3,10,IF(F905&lt;&gt;"",1,0))))+IF(G905=1,30,IF(G905=2,20,IF(G905=3,10,IF(G905&lt;&gt;"",1,0))))+IF(H905=1,30,IF(H905=2,20,IF(H905=3,10,IF(H905&lt;&gt;"",1,0))))))</f>
        <v/>
      </c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14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>
        <f>IF(AND(C906="",OR(E906="",E906=0)),"",(IF(E906=1,30,IF(E906=2,20,IF(E906=3,10,IF(E906&lt;&gt;"",1,0))))+IF(F906=1,30,IF(F906=2,20,IF(F906=3,10,IF(F906&lt;&gt;"",1,0))))+IF(G906=1,30,IF(G906=2,20,IF(G906=3,10,IF(G906&lt;&gt;"",1,0))))+IF(H906=1,30,IF(H906=2,20,IF(H906=3,10,IF(H906&lt;&gt;"",1,0))))))</f>
        <v/>
      </c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14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>
        <f>IF(AND(C907="",OR(E907="",E907=0)),"",(IF(E907=1,30,IF(E907=2,20,IF(E907=3,10,IF(E907&lt;&gt;"",1,0))))+IF(F907=1,30,IF(F907=2,20,IF(F907=3,10,IF(F907&lt;&gt;"",1,0))))+IF(G907=1,30,IF(G907=2,20,IF(G907=3,10,IF(G907&lt;&gt;"",1,0))))+IF(H907=1,30,IF(H907=2,20,IF(H907=3,10,IF(H907&lt;&gt;"",1,0))))))</f>
        <v/>
      </c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14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>
        <f>IF(AND(C908="",OR(E908="",E908=0)),"",(IF(E908=1,30,IF(E908=2,20,IF(E908=3,10,IF(E908&lt;&gt;"",1,0))))+IF(F908=1,30,IF(F908=2,20,IF(F908=3,10,IF(F908&lt;&gt;"",1,0))))+IF(G908=1,30,IF(G908=2,20,IF(G908=3,10,IF(G908&lt;&gt;"",1,0))))+IF(H908=1,30,IF(H908=2,20,IF(H908=3,10,IF(H908&lt;&gt;"",1,0))))))</f>
        <v/>
      </c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14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>
        <f>IF(AND(C909="",OR(E909="",E909=0)),"",(IF(E909=1,30,IF(E909=2,20,IF(E909=3,10,IF(E909&lt;&gt;"",1,0))))+IF(F909=1,30,IF(F909=2,20,IF(F909=3,10,IF(F909&lt;&gt;"",1,0))))+IF(G909=1,30,IF(G909=2,20,IF(G909=3,10,IF(G909&lt;&gt;"",1,0))))+IF(H909=1,30,IF(H909=2,20,IF(H909=3,10,IF(H909&lt;&gt;"",1,0))))))</f>
        <v/>
      </c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14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>
        <f>IF(AND(C910="",OR(E910="",E910=0)),"",(IF(E910=1,30,IF(E910=2,20,IF(E910=3,10,IF(E910&lt;&gt;"",1,0))))+IF(F910=1,30,IF(F910=2,20,IF(F910=3,10,IF(F910&lt;&gt;"",1,0))))+IF(G910=1,30,IF(G910=2,20,IF(G910=3,10,IF(G910&lt;&gt;"",1,0))))+IF(H910=1,30,IF(H910=2,20,IF(H910=3,10,IF(H910&lt;&gt;"",1,0))))))</f>
        <v/>
      </c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14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>
        <f>IF(AND(C911="",OR(E911="",E911=0)),"",(IF(E911=1,30,IF(E911=2,20,IF(E911=3,10,IF(E911&lt;&gt;"",1,0))))+IF(F911=1,30,IF(F911=2,20,IF(F911=3,10,IF(F911&lt;&gt;"",1,0))))+IF(G911=1,30,IF(G911=2,20,IF(G911=3,10,IF(G911&lt;&gt;"",1,0))))+IF(H911=1,30,IF(H911=2,20,IF(H911=3,10,IF(H911&lt;&gt;"",1,0))))))</f>
        <v/>
      </c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14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>
        <f>IF(AND(C912="",OR(E912="",E912=0)),"",(IF(E912=1,30,IF(E912=2,20,IF(E912=3,10,IF(E912&lt;&gt;"",1,0))))+IF(F912=1,30,IF(F912=2,20,IF(F912=3,10,IF(F912&lt;&gt;"",1,0))))+IF(G912=1,30,IF(G912=2,20,IF(G912=3,10,IF(G912&lt;&gt;"",1,0))))+IF(H912=1,30,IF(H912=2,20,IF(H912=3,10,IF(H912&lt;&gt;"",1,0))))))</f>
        <v/>
      </c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14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>
        <f>IF(AND(C913="",OR(E913="",E913=0)),"",(IF(E913=1,30,IF(E913=2,20,IF(E913=3,10,IF(E913&lt;&gt;"",1,0))))+IF(F913=1,30,IF(F913=2,20,IF(F913=3,10,IF(F913&lt;&gt;"",1,0))))+IF(G913=1,30,IF(G913=2,20,IF(G913=3,10,IF(G913&lt;&gt;"",1,0))))+IF(H913=1,30,IF(H913=2,20,IF(H913=3,10,IF(H913&lt;&gt;"",1,0))))))</f>
        <v/>
      </c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14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>
        <f>IF(AND(C914="",OR(E914="",E914=0)),"",(IF(E914=1,30,IF(E914=2,20,IF(E914=3,10,IF(E914&lt;&gt;"",1,0))))+IF(F914=1,30,IF(F914=2,20,IF(F914=3,10,IF(F914&lt;&gt;"",1,0))))+IF(G914=1,30,IF(G914=2,20,IF(G914=3,10,IF(G914&lt;&gt;"",1,0))))+IF(H914=1,30,IF(H914=2,20,IF(H914=3,10,IF(H914&lt;&gt;"",1,0))))))</f>
        <v/>
      </c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14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>
        <f>IF(AND(C915="",OR(E915="",E915=0)),"",(IF(E915=1,30,IF(E915=2,20,IF(E915=3,10,IF(E915&lt;&gt;"",1,0))))+IF(F915=1,30,IF(F915=2,20,IF(F915=3,10,IF(F915&lt;&gt;"",1,0))))+IF(G915=1,30,IF(G915=2,20,IF(G915=3,10,IF(G915&lt;&gt;"",1,0))))+IF(H915=1,30,IF(H915=2,20,IF(H915=3,10,IF(H915&lt;&gt;"",1,0))))))</f>
        <v/>
      </c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14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>
        <f>IF(AND(C916="",OR(E916="",E916=0)),"",(IF(E916=1,30,IF(E916=2,20,IF(E916=3,10,IF(E916&lt;&gt;"",1,0))))+IF(F916=1,30,IF(F916=2,20,IF(F916=3,10,IF(F916&lt;&gt;"",1,0))))+IF(G916=1,30,IF(G916=2,20,IF(G916=3,10,IF(G916&lt;&gt;"",1,0))))+IF(H916=1,30,IF(H916=2,20,IF(H916=3,10,IF(H916&lt;&gt;"",1,0))))))</f>
        <v/>
      </c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14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>
        <f>IF(AND(C917="",OR(E917="",E917=0)),"",(IF(E917=1,30,IF(E917=2,20,IF(E917=3,10,IF(E917&lt;&gt;"",1,0))))+IF(F917=1,30,IF(F917=2,20,IF(F917=3,10,IF(F917&lt;&gt;"",1,0))))+IF(G917=1,30,IF(G917=2,20,IF(G917=3,10,IF(G917&lt;&gt;"",1,0))))+IF(H917=1,30,IF(H917=2,20,IF(H917=3,10,IF(H917&lt;&gt;"",1,0))))))</f>
        <v/>
      </c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14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>
        <f>IF(AND(C918="",OR(E918="",E918=0)),"",(IF(E918=1,30,IF(E918=2,20,IF(E918=3,10,IF(E918&lt;&gt;"",1,0))))+IF(F918=1,30,IF(F918=2,20,IF(F918=3,10,IF(F918&lt;&gt;"",1,0))))+IF(G918=1,30,IF(G918=2,20,IF(G918=3,10,IF(G918&lt;&gt;"",1,0))))+IF(H918=1,30,IF(H918=2,20,IF(H918=3,10,IF(H918&lt;&gt;"",1,0))))))</f>
        <v/>
      </c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14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>
        <f>IF(AND(C919="",OR(E919="",E919=0)),"",(IF(E919=1,30,IF(E919=2,20,IF(E919=3,10,IF(E919&lt;&gt;"",1,0))))+IF(F919=1,30,IF(F919=2,20,IF(F919=3,10,IF(F919&lt;&gt;"",1,0))))+IF(G919=1,30,IF(G919=2,20,IF(G919=3,10,IF(G919&lt;&gt;"",1,0))))+IF(H919=1,30,IF(H919=2,20,IF(H919=3,10,IF(H919&lt;&gt;"",1,0))))))</f>
        <v/>
      </c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14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>
        <f>IF(AND(C920="",OR(E920="",E920=0)),"",(IF(E920=1,30,IF(E920=2,20,IF(E920=3,10,IF(E920&lt;&gt;"",1,0))))+IF(F920=1,30,IF(F920=2,20,IF(F920=3,10,IF(F920&lt;&gt;"",1,0))))+IF(G920=1,30,IF(G920=2,20,IF(G920=3,10,IF(G920&lt;&gt;"",1,0))))+IF(H920=1,30,IF(H920=2,20,IF(H920=3,10,IF(H920&lt;&gt;"",1,0))))))</f>
        <v/>
      </c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14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>
        <f>IF(AND(C921="",OR(E921="",E921=0)),"",(IF(E921=1,30,IF(E921=2,20,IF(E921=3,10,IF(E921&lt;&gt;"",1,0))))+IF(F921=1,30,IF(F921=2,20,IF(F921=3,10,IF(F921&lt;&gt;"",1,0))))+IF(G921=1,30,IF(G921=2,20,IF(G921=3,10,IF(G921&lt;&gt;"",1,0))))+IF(H921=1,30,IF(H921=2,20,IF(H921=3,10,IF(H921&lt;&gt;"",1,0))))))</f>
        <v/>
      </c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14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>
        <f>IF(AND(C922="",OR(E922="",E922=0)),"",(IF(E922=1,30,IF(E922=2,20,IF(E922=3,10,IF(E922&lt;&gt;"",1,0))))+IF(F922=1,30,IF(F922=2,20,IF(F922=3,10,IF(F922&lt;&gt;"",1,0))))+IF(G922=1,30,IF(G922=2,20,IF(G922=3,10,IF(G922&lt;&gt;"",1,0))))+IF(H922=1,30,IF(H922=2,20,IF(H922=3,10,IF(H922&lt;&gt;"",1,0))))))</f>
        <v/>
      </c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14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>
        <f>IF(AND(C923="",OR(E923="",E923=0)),"",(IF(E923=1,30,IF(E923=2,20,IF(E923=3,10,IF(E923&lt;&gt;"",1,0))))+IF(F923=1,30,IF(F923=2,20,IF(F923=3,10,IF(F923&lt;&gt;"",1,0))))+IF(G923=1,30,IF(G923=2,20,IF(G923=3,10,IF(G923&lt;&gt;"",1,0))))+IF(H923=1,30,IF(H923=2,20,IF(H923=3,10,IF(H923&lt;&gt;"",1,0))))))</f>
        <v/>
      </c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14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>
        <f>IF(AND(C924="",OR(E924="",E924=0)),"",(IF(E924=1,30,IF(E924=2,20,IF(E924=3,10,IF(E924&lt;&gt;"",1,0))))+IF(F924=1,30,IF(F924=2,20,IF(F924=3,10,IF(F924&lt;&gt;"",1,0))))+IF(G924=1,30,IF(G924=2,20,IF(G924=3,10,IF(G924&lt;&gt;"",1,0))))+IF(H924=1,30,IF(H924=2,20,IF(H924=3,10,IF(H924&lt;&gt;"",1,0))))))</f>
        <v/>
      </c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14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>
        <f>IF(AND(C925="",OR(E925="",E925=0)),"",(IF(E925=1,30,IF(E925=2,20,IF(E925=3,10,IF(E925&lt;&gt;"",1,0))))+IF(F925=1,30,IF(F925=2,20,IF(F925=3,10,IF(F925&lt;&gt;"",1,0))))+IF(G925=1,30,IF(G925=2,20,IF(G925=3,10,IF(G925&lt;&gt;"",1,0))))+IF(H925=1,30,IF(H925=2,20,IF(H925=3,10,IF(H925&lt;&gt;"",1,0))))))</f>
        <v/>
      </c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14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>
        <f>IF(AND(C926="",OR(E926="",E926=0)),"",(IF(E926=1,30,IF(E926=2,20,IF(E926=3,10,IF(E926&lt;&gt;"",1,0))))+IF(F926=1,30,IF(F926=2,20,IF(F926=3,10,IF(F926&lt;&gt;"",1,0))))+IF(G926=1,30,IF(G926=2,20,IF(G926=3,10,IF(G926&lt;&gt;"",1,0))))+IF(H926=1,30,IF(H926=2,20,IF(H926=3,10,IF(H926&lt;&gt;"",1,0))))))</f>
        <v/>
      </c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14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>
        <f>IF(AND(C927="",OR(E927="",E927=0)),"",(IF(E927=1,30,IF(E927=2,20,IF(E927=3,10,IF(E927&lt;&gt;"",1,0))))+IF(F927=1,30,IF(F927=2,20,IF(F927=3,10,IF(F927&lt;&gt;"",1,0))))+IF(G927=1,30,IF(G927=2,20,IF(G927=3,10,IF(G927&lt;&gt;"",1,0))))+IF(H927=1,30,IF(H927=2,20,IF(H927=3,10,IF(H927&lt;&gt;"",1,0))))))</f>
        <v/>
      </c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14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>
        <f>IF(AND(C928="",OR(E928="",E928=0)),"",(IF(E928=1,30,IF(E928=2,20,IF(E928=3,10,IF(E928&lt;&gt;"",1,0))))+IF(F928=1,30,IF(F928=2,20,IF(F928=3,10,IF(F928&lt;&gt;"",1,0))))+IF(G928=1,30,IF(G928=2,20,IF(G928=3,10,IF(G928&lt;&gt;"",1,0))))+IF(H928=1,30,IF(H928=2,20,IF(H928=3,10,IF(H928&lt;&gt;"",1,0))))))</f>
        <v/>
      </c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14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>
        <f>IF(AND(C929="",OR(E929="",E929=0)),"",(IF(E929=1,30,IF(E929=2,20,IF(E929=3,10,IF(E929&lt;&gt;"",1,0))))+IF(F929=1,30,IF(F929=2,20,IF(F929=3,10,IF(F929&lt;&gt;"",1,0))))+IF(G929=1,30,IF(G929=2,20,IF(G929=3,10,IF(G929&lt;&gt;"",1,0))))+IF(H929=1,30,IF(H929=2,20,IF(H929=3,10,IF(H929&lt;&gt;"",1,0))))))</f>
        <v/>
      </c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14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>
        <f>IF(AND(C930="",OR(E930="",E930=0)),"",(IF(E930=1,30,IF(E930=2,20,IF(E930=3,10,IF(E930&lt;&gt;"",1,0))))+IF(F930=1,30,IF(F930=2,20,IF(F930=3,10,IF(F930&lt;&gt;"",1,0))))+IF(G930=1,30,IF(G930=2,20,IF(G930=3,10,IF(G930&lt;&gt;"",1,0))))+IF(H930=1,30,IF(H930=2,20,IF(H930=3,10,IF(H930&lt;&gt;"",1,0))))))</f>
        <v/>
      </c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14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>
        <f>IF(AND(C931="",OR(E931="",E931=0)),"",(IF(E931=1,30,IF(E931=2,20,IF(E931=3,10,IF(E931&lt;&gt;"",1,0))))+IF(F931=1,30,IF(F931=2,20,IF(F931=3,10,IF(F931&lt;&gt;"",1,0))))+IF(G931=1,30,IF(G931=2,20,IF(G931=3,10,IF(G931&lt;&gt;"",1,0))))+IF(H931=1,30,IF(H931=2,20,IF(H931=3,10,IF(H931&lt;&gt;"",1,0))))))</f>
        <v/>
      </c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14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>
        <f>IF(AND(C932="",OR(E932="",E932=0)),"",(IF(E932=1,30,IF(E932=2,20,IF(E932=3,10,IF(E932&lt;&gt;"",1,0))))+IF(F932=1,30,IF(F932=2,20,IF(F932=3,10,IF(F932&lt;&gt;"",1,0))))+IF(G932=1,30,IF(G932=2,20,IF(G932=3,10,IF(G932&lt;&gt;"",1,0))))+IF(H932=1,30,IF(H932=2,20,IF(H932=3,10,IF(H932&lt;&gt;"",1,0))))))</f>
        <v/>
      </c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14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>
        <f>IF(AND(C933="",OR(E933="",E933=0)),"",(IF(E933=1,30,IF(E933=2,20,IF(E933=3,10,IF(E933&lt;&gt;"",1,0))))+IF(F933=1,30,IF(F933=2,20,IF(F933=3,10,IF(F933&lt;&gt;"",1,0))))+IF(G933=1,30,IF(G933=2,20,IF(G933=3,10,IF(G933&lt;&gt;"",1,0))))+IF(H933=1,30,IF(H933=2,20,IF(H933=3,10,IF(H933&lt;&gt;"",1,0))))))</f>
        <v/>
      </c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14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>
        <f>IF(AND(C934="",OR(E934="",E934=0)),"",(IF(E934=1,30,IF(E934=2,20,IF(E934=3,10,IF(E934&lt;&gt;"",1,0))))+IF(F934=1,30,IF(F934=2,20,IF(F934=3,10,IF(F934&lt;&gt;"",1,0))))+IF(G934=1,30,IF(G934=2,20,IF(G934=3,10,IF(G934&lt;&gt;"",1,0))))+IF(H934=1,30,IF(H934=2,20,IF(H934=3,10,IF(H934&lt;&gt;"",1,0))))))</f>
        <v/>
      </c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14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>
        <f>IF(AND(C935="",OR(E935="",E935=0)),"",(IF(E935=1,30,IF(E935=2,20,IF(E935=3,10,IF(E935&lt;&gt;"",1,0))))+IF(F935=1,30,IF(F935=2,20,IF(F935=3,10,IF(F935&lt;&gt;"",1,0))))+IF(G935=1,30,IF(G935=2,20,IF(G935=3,10,IF(G935&lt;&gt;"",1,0))))+IF(H935=1,30,IF(H935=2,20,IF(H935=3,10,IF(H935&lt;&gt;"",1,0))))))</f>
        <v/>
      </c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14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>
        <f>IF(AND(C936="",OR(E936="",E936=0)),"",(IF(E936=1,30,IF(E936=2,20,IF(E936=3,10,IF(E936&lt;&gt;"",1,0))))+IF(F936=1,30,IF(F936=2,20,IF(F936=3,10,IF(F936&lt;&gt;"",1,0))))+IF(G936=1,30,IF(G936=2,20,IF(G936=3,10,IF(G936&lt;&gt;"",1,0))))+IF(H936=1,30,IF(H936=2,20,IF(H936=3,10,IF(H936&lt;&gt;"",1,0))))))</f>
        <v/>
      </c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14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>
        <f>IF(AND(C937="",OR(E937="",E937=0)),"",(IF(E937=1,30,IF(E937=2,20,IF(E937=3,10,IF(E937&lt;&gt;"",1,0))))+IF(F937=1,30,IF(F937=2,20,IF(F937=3,10,IF(F937&lt;&gt;"",1,0))))+IF(G937=1,30,IF(G937=2,20,IF(G937=3,10,IF(G937&lt;&gt;"",1,0))))+IF(H937=1,30,IF(H937=2,20,IF(H937=3,10,IF(H937&lt;&gt;"",1,0))))))</f>
        <v/>
      </c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14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>
        <f>IF(AND(C938="",OR(E938="",E938=0)),"",(IF(E938=1,30,IF(E938=2,20,IF(E938=3,10,IF(E938&lt;&gt;"",1,0))))+IF(F938=1,30,IF(F938=2,20,IF(F938=3,10,IF(F938&lt;&gt;"",1,0))))+IF(G938=1,30,IF(G938=2,20,IF(G938=3,10,IF(G938&lt;&gt;"",1,0))))+IF(H938=1,30,IF(H938=2,20,IF(H938=3,10,IF(H938&lt;&gt;"",1,0))))))</f>
        <v/>
      </c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14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>
        <f>IF(AND(C939="",OR(E939="",E939=0)),"",(IF(E939=1,30,IF(E939=2,20,IF(E939=3,10,IF(E939&lt;&gt;"",1,0))))+IF(F939=1,30,IF(F939=2,20,IF(F939=3,10,IF(F939&lt;&gt;"",1,0))))+IF(G939=1,30,IF(G939=2,20,IF(G939=3,10,IF(G939&lt;&gt;"",1,0))))+IF(H939=1,30,IF(H939=2,20,IF(H939=3,10,IF(H939&lt;&gt;"",1,0))))))</f>
        <v/>
      </c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14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>
        <f>IF(AND(C940="",OR(E940="",E940=0)),"",(IF(E940=1,30,IF(E940=2,20,IF(E940=3,10,IF(E940&lt;&gt;"",1,0))))+IF(F940=1,30,IF(F940=2,20,IF(F940=3,10,IF(F940&lt;&gt;"",1,0))))+IF(G940=1,30,IF(G940=2,20,IF(G940=3,10,IF(G940&lt;&gt;"",1,0))))+IF(H940=1,30,IF(H940=2,20,IF(H940=3,10,IF(H940&lt;&gt;"",1,0))))))</f>
        <v/>
      </c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14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>
        <f>IF(AND(C941="",OR(E941="",E941=0)),"",(IF(E941=1,30,IF(E941=2,20,IF(E941=3,10,IF(E941&lt;&gt;"",1,0))))+IF(F941=1,30,IF(F941=2,20,IF(F941=3,10,IF(F941&lt;&gt;"",1,0))))+IF(G941=1,30,IF(G941=2,20,IF(G941=3,10,IF(G941&lt;&gt;"",1,0))))+IF(H941=1,30,IF(H941=2,20,IF(H941=3,10,IF(H941&lt;&gt;"",1,0))))))</f>
        <v/>
      </c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14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>
        <f>IF(AND(C942="",OR(E942="",E942=0)),"",(IF(E942=1,30,IF(E942=2,20,IF(E942=3,10,IF(E942&lt;&gt;"",1,0))))+IF(F942=1,30,IF(F942=2,20,IF(F942=3,10,IF(F942&lt;&gt;"",1,0))))+IF(G942=1,30,IF(G942=2,20,IF(G942=3,10,IF(G942&lt;&gt;"",1,0))))+IF(H942=1,30,IF(H942=2,20,IF(H942=3,10,IF(H942&lt;&gt;"",1,0))))))</f>
        <v/>
      </c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1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>
        <f>IF(AND(C943="",OR(E943="",E943=0)),"",(IF(E943=1,30,IF(E943=2,20,IF(E943=3,10,IF(E943&lt;&gt;"",1,0))))+IF(F943=1,30,IF(F943=2,20,IF(F943=3,10,IF(F943&lt;&gt;"",1,0))))+IF(G943=1,30,IF(G943=2,20,IF(G943=3,10,IF(G943&lt;&gt;"",1,0))))+IF(H943=1,30,IF(H943=2,20,IF(H943=3,10,IF(H943&lt;&gt;"",1,0))))))</f>
        <v/>
      </c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14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>
        <f>IF(AND(C944="",OR(E944="",E944=0)),"",(IF(E944=1,30,IF(E944=2,20,IF(E944=3,10,IF(E944&lt;&gt;"",1,0))))+IF(F944=1,30,IF(F944=2,20,IF(F944=3,10,IF(F944&lt;&gt;"",1,0))))+IF(G944=1,30,IF(G944=2,20,IF(G944=3,10,IF(G944&lt;&gt;"",1,0))))+IF(H944=1,30,IF(H944=2,20,IF(H944=3,10,IF(H944&lt;&gt;"",1,0))))))</f>
        <v/>
      </c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14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>
        <f>IF(AND(C945="",OR(E945="",E945=0)),"",(IF(E945=1,30,IF(E945=2,20,IF(E945=3,10,IF(E945&lt;&gt;"",1,0))))+IF(F945=1,30,IF(F945=2,20,IF(F945=3,10,IF(F945&lt;&gt;"",1,0))))+IF(G945=1,30,IF(G945=2,20,IF(G945=3,10,IF(G945&lt;&gt;"",1,0))))+IF(H945=1,30,IF(H945=2,20,IF(H945=3,10,IF(H945&lt;&gt;"",1,0))))))</f>
        <v/>
      </c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14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>
        <f>IF(AND(C946="",OR(E946="",E946=0)),"",(IF(E946=1,30,IF(E946=2,20,IF(E946=3,10,IF(E946&lt;&gt;"",1,0))))+IF(F946=1,30,IF(F946=2,20,IF(F946=3,10,IF(F946&lt;&gt;"",1,0))))+IF(G946=1,30,IF(G946=2,20,IF(G946=3,10,IF(G946&lt;&gt;"",1,0))))+IF(H946=1,30,IF(H946=2,20,IF(H946=3,10,IF(H946&lt;&gt;"",1,0))))))</f>
        <v/>
      </c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14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>
        <f>IF(AND(C947="",OR(E947="",E947=0)),"",(IF(E947=1,30,IF(E947=2,20,IF(E947=3,10,IF(E947&lt;&gt;"",1,0))))+IF(F947=1,30,IF(F947=2,20,IF(F947=3,10,IF(F947&lt;&gt;"",1,0))))+IF(G947=1,30,IF(G947=2,20,IF(G947=3,10,IF(G947&lt;&gt;"",1,0))))+IF(H947=1,30,IF(H947=2,20,IF(H947=3,10,IF(H947&lt;&gt;"",1,0))))))</f>
        <v/>
      </c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14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>
        <f>IF(AND(C948="",OR(E948="",E948=0)),"",(IF(E948=1,30,IF(E948=2,20,IF(E948=3,10,IF(E948&lt;&gt;"",1,0))))+IF(F948=1,30,IF(F948=2,20,IF(F948=3,10,IF(F948&lt;&gt;"",1,0))))+IF(G948=1,30,IF(G948=2,20,IF(G948=3,10,IF(G948&lt;&gt;"",1,0))))+IF(H948=1,30,IF(H948=2,20,IF(H948=3,10,IF(H948&lt;&gt;"",1,0))))))</f>
        <v/>
      </c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14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>
        <f>IF(AND(C949="",OR(E949="",E949=0)),"",(IF(E949=1,30,IF(E949=2,20,IF(E949=3,10,IF(E949&lt;&gt;"",1,0))))+IF(F949=1,30,IF(F949=2,20,IF(F949=3,10,IF(F949&lt;&gt;"",1,0))))+IF(G949=1,30,IF(G949=2,20,IF(G949=3,10,IF(G949&lt;&gt;"",1,0))))+IF(H949=1,30,IF(H949=2,20,IF(H949=3,10,IF(H949&lt;&gt;"",1,0))))))</f>
        <v/>
      </c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14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>
        <f>IF(AND(C950="",OR(E950="",E950=0)),"",(IF(E950=1,30,IF(E950=2,20,IF(E950=3,10,IF(E950&lt;&gt;"",1,0))))+IF(F950=1,30,IF(F950=2,20,IF(F950=3,10,IF(F950&lt;&gt;"",1,0))))+IF(G950=1,30,IF(G950=2,20,IF(G950=3,10,IF(G950&lt;&gt;"",1,0))))+IF(H950=1,30,IF(H950=2,20,IF(H950=3,10,IF(H950&lt;&gt;"",1,0))))))</f>
        <v/>
      </c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14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>
        <f>IF(AND(C951="",OR(E951="",E951=0)),"",(IF(E951=1,30,IF(E951=2,20,IF(E951=3,10,IF(E951&lt;&gt;"",1,0))))+IF(F951=1,30,IF(F951=2,20,IF(F951=3,10,IF(F951&lt;&gt;"",1,0))))+IF(G951=1,30,IF(G951=2,20,IF(G951=3,10,IF(G951&lt;&gt;"",1,0))))+IF(H951=1,30,IF(H951=2,20,IF(H951=3,10,IF(H951&lt;&gt;"",1,0))))))</f>
        <v/>
      </c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14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>
        <f>IF(AND(C952="",OR(E952="",E952=0)),"",(IF(E952=1,30,IF(E952=2,20,IF(E952=3,10,IF(E952&lt;&gt;"",1,0))))+IF(F952=1,30,IF(F952=2,20,IF(F952=3,10,IF(F952&lt;&gt;"",1,0))))+IF(G952=1,30,IF(G952=2,20,IF(G952=3,10,IF(G952&lt;&gt;"",1,0))))+IF(H952=1,30,IF(H952=2,20,IF(H952=3,10,IF(H952&lt;&gt;"",1,0))))))</f>
        <v/>
      </c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14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>
        <f>IF(AND(C953="",OR(E953="",E953=0)),"",(IF(E953=1,30,IF(E953=2,20,IF(E953=3,10,IF(E953&lt;&gt;"",1,0))))+IF(F953=1,30,IF(F953=2,20,IF(F953=3,10,IF(F953&lt;&gt;"",1,0))))+IF(G953=1,30,IF(G953=2,20,IF(G953=3,10,IF(G953&lt;&gt;"",1,0))))+IF(H953=1,30,IF(H953=2,20,IF(H953=3,10,IF(H953&lt;&gt;"",1,0))))))</f>
        <v/>
      </c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14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>
        <f>IF(AND(C954="",OR(E954="",E954=0)),"",(IF(E954=1,30,IF(E954=2,20,IF(E954=3,10,IF(E954&lt;&gt;"",1,0))))+IF(F954=1,30,IF(F954=2,20,IF(F954=3,10,IF(F954&lt;&gt;"",1,0))))+IF(G954=1,30,IF(G954=2,20,IF(G954=3,10,IF(G954&lt;&gt;"",1,0))))+IF(H954=1,30,IF(H954=2,20,IF(H954=3,10,IF(H954&lt;&gt;"",1,0))))))</f>
        <v/>
      </c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14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>
        <f>IF(AND(C955="",OR(E955="",E955=0)),"",(IF(E955=1,30,IF(E955=2,20,IF(E955=3,10,IF(E955&lt;&gt;"",1,0))))+IF(F955=1,30,IF(F955=2,20,IF(F955=3,10,IF(F955&lt;&gt;"",1,0))))+IF(G955=1,30,IF(G955=2,20,IF(G955=3,10,IF(G955&lt;&gt;"",1,0))))+IF(H955=1,30,IF(H955=2,20,IF(H955=3,10,IF(H955&lt;&gt;"",1,0))))))</f>
        <v/>
      </c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14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>
        <f>IF(AND(C956="",OR(E956="",E956=0)),"",(IF(E956=1,30,IF(E956=2,20,IF(E956=3,10,IF(E956&lt;&gt;"",1,0))))+IF(F956=1,30,IF(F956=2,20,IF(F956=3,10,IF(F956&lt;&gt;"",1,0))))+IF(G956=1,30,IF(G956=2,20,IF(G956=3,10,IF(G956&lt;&gt;"",1,0))))+IF(H956=1,30,IF(H956=2,20,IF(H956=3,10,IF(H956&lt;&gt;"",1,0))))))</f>
        <v/>
      </c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14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>
        <f>IF(AND(C957="",OR(E957="",E957=0)),"",(IF(E957=1,30,IF(E957=2,20,IF(E957=3,10,IF(E957&lt;&gt;"",1,0))))+IF(F957=1,30,IF(F957=2,20,IF(F957=3,10,IF(F957&lt;&gt;"",1,0))))+IF(G957=1,30,IF(G957=2,20,IF(G957=3,10,IF(G957&lt;&gt;"",1,0))))+IF(H957=1,30,IF(H957=2,20,IF(H957=3,10,IF(H957&lt;&gt;"",1,0))))))</f>
        <v/>
      </c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14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>
        <f>IF(AND(C958="",OR(E958="",E958=0)),"",(IF(E958=1,30,IF(E958=2,20,IF(E958=3,10,IF(E958&lt;&gt;"",1,0))))+IF(F958=1,30,IF(F958=2,20,IF(F958=3,10,IF(F958&lt;&gt;"",1,0))))+IF(G958=1,30,IF(G958=2,20,IF(G958=3,10,IF(G958&lt;&gt;"",1,0))))+IF(H958=1,30,IF(H958=2,20,IF(H958=3,10,IF(H958&lt;&gt;"",1,0))))))</f>
        <v/>
      </c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14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>
        <f>IF(AND(C959="",OR(E959="",E959=0)),"",(IF(E959=1,30,IF(E959=2,20,IF(E959=3,10,IF(E959&lt;&gt;"",1,0))))+IF(F959=1,30,IF(F959=2,20,IF(F959=3,10,IF(F959&lt;&gt;"",1,0))))+IF(G959=1,30,IF(G959=2,20,IF(G959=3,10,IF(G959&lt;&gt;"",1,0))))+IF(H959=1,30,IF(H959=2,20,IF(H959=3,10,IF(H959&lt;&gt;"",1,0))))))</f>
        <v/>
      </c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14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>
        <f>IF(AND(C960="",OR(E960="",E960=0)),"",(IF(E960=1,30,IF(E960=2,20,IF(E960=3,10,IF(E960&lt;&gt;"",1,0))))+IF(F960=1,30,IF(F960=2,20,IF(F960=3,10,IF(F960&lt;&gt;"",1,0))))+IF(G960=1,30,IF(G960=2,20,IF(G960=3,10,IF(G960&lt;&gt;"",1,0))))+IF(H960=1,30,IF(H960=2,20,IF(H960=3,10,IF(H960&lt;&gt;"",1,0))))))</f>
        <v/>
      </c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14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>
        <f>IF(AND(C961="",OR(E961="",E961=0)),"",(IF(E961=1,30,IF(E961=2,20,IF(E961=3,10,IF(E961&lt;&gt;"",1,0))))+IF(F961=1,30,IF(F961=2,20,IF(F961=3,10,IF(F961&lt;&gt;"",1,0))))+IF(G961=1,30,IF(G961=2,20,IF(G961=3,10,IF(G961&lt;&gt;"",1,0))))+IF(H961=1,30,IF(H961=2,20,IF(H961=3,10,IF(H961&lt;&gt;"",1,0))))))</f>
        <v/>
      </c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14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>
        <f>IF(AND(C962="",OR(E962="",E962=0)),"",(IF(E962=1,30,IF(E962=2,20,IF(E962=3,10,IF(E962&lt;&gt;"",1,0))))+IF(F962=1,30,IF(F962=2,20,IF(F962=3,10,IF(F962&lt;&gt;"",1,0))))+IF(G962=1,30,IF(G962=2,20,IF(G962=3,10,IF(G962&lt;&gt;"",1,0))))+IF(H962=1,30,IF(H962=2,20,IF(H962=3,10,IF(H962&lt;&gt;"",1,0))))))</f>
        <v/>
      </c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14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>
        <f>IF(AND(C963="",OR(E963="",E963=0)),"",(IF(E963=1,30,IF(E963=2,20,IF(E963=3,10,IF(E963&lt;&gt;"",1,0))))+IF(F963=1,30,IF(F963=2,20,IF(F963=3,10,IF(F963&lt;&gt;"",1,0))))+IF(G963=1,30,IF(G963=2,20,IF(G963=3,10,IF(G963&lt;&gt;"",1,0))))+IF(H963=1,30,IF(H963=2,20,IF(H963=3,10,IF(H963&lt;&gt;"",1,0))))))</f>
        <v/>
      </c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14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>
        <f>IF(AND(C964="",OR(E964="",E964=0)),"",(IF(E964=1,30,IF(E964=2,20,IF(E964=3,10,IF(E964&lt;&gt;"",1,0))))+IF(F964=1,30,IF(F964=2,20,IF(F964=3,10,IF(F964&lt;&gt;"",1,0))))+IF(G964=1,30,IF(G964=2,20,IF(G964=3,10,IF(G964&lt;&gt;"",1,0))))+IF(H964=1,30,IF(H964=2,20,IF(H964=3,10,IF(H964&lt;&gt;"",1,0))))))</f>
        <v/>
      </c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14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>
        <f>IF(AND(C965="",OR(E965="",E965=0)),"",(IF(E965=1,30,IF(E965=2,20,IF(E965=3,10,IF(E965&lt;&gt;"",1,0))))+IF(F965=1,30,IF(F965=2,20,IF(F965=3,10,IF(F965&lt;&gt;"",1,0))))+IF(G965=1,30,IF(G965=2,20,IF(G965=3,10,IF(G965&lt;&gt;"",1,0))))+IF(H965=1,30,IF(H965=2,20,IF(H965=3,10,IF(H965&lt;&gt;"",1,0))))))</f>
        <v/>
      </c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14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>
        <f>IF(AND(C966="",OR(E966="",E966=0)),"",(IF(E966=1,30,IF(E966=2,20,IF(E966=3,10,IF(E966&lt;&gt;"",1,0))))+IF(F966=1,30,IF(F966=2,20,IF(F966=3,10,IF(F966&lt;&gt;"",1,0))))+IF(G966=1,30,IF(G966=2,20,IF(G966=3,10,IF(G966&lt;&gt;"",1,0))))+IF(H966=1,30,IF(H966=2,20,IF(H966=3,10,IF(H966&lt;&gt;"",1,0))))))</f>
        <v/>
      </c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14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>
        <f>IF(AND(C967="",OR(E967="",E967=0)),"",(IF(E967=1,30,IF(E967=2,20,IF(E967=3,10,IF(E967&lt;&gt;"",1,0))))+IF(F967=1,30,IF(F967=2,20,IF(F967=3,10,IF(F967&lt;&gt;"",1,0))))+IF(G967=1,30,IF(G967=2,20,IF(G967=3,10,IF(G967&lt;&gt;"",1,0))))+IF(H967=1,30,IF(H967=2,20,IF(H967=3,10,IF(H967&lt;&gt;"",1,0))))))</f>
        <v/>
      </c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14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>
        <f>IF(AND(C968="",OR(E968="",E968=0)),"",(IF(E968=1,30,IF(E968=2,20,IF(E968=3,10,IF(E968&lt;&gt;"",1,0))))+IF(F968=1,30,IF(F968=2,20,IF(F968=3,10,IF(F968&lt;&gt;"",1,0))))+IF(G968=1,30,IF(G968=2,20,IF(G968=3,10,IF(G968&lt;&gt;"",1,0))))+IF(H968=1,30,IF(H968=2,20,IF(H968=3,10,IF(H968&lt;&gt;"",1,0))))))</f>
        <v/>
      </c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14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>
        <f>IF(AND(C969="",OR(E969="",E969=0)),"",(IF(E969=1,30,IF(E969=2,20,IF(E969=3,10,IF(E969&lt;&gt;"",1,0))))+IF(F969=1,30,IF(F969=2,20,IF(F969=3,10,IF(F969&lt;&gt;"",1,0))))+IF(G969=1,30,IF(G969=2,20,IF(G969=3,10,IF(G969&lt;&gt;"",1,0))))+IF(H969=1,30,IF(H969=2,20,IF(H969=3,10,IF(H969&lt;&gt;"",1,0))))))</f>
        <v/>
      </c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14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>
        <f>IF(AND(C970="",OR(E970="",E970=0)),"",(IF(E970=1,30,IF(E970=2,20,IF(E970=3,10,IF(E970&lt;&gt;"",1,0))))+IF(F970=1,30,IF(F970=2,20,IF(F970=3,10,IF(F970&lt;&gt;"",1,0))))+IF(G970=1,30,IF(G970=2,20,IF(G970=3,10,IF(G970&lt;&gt;"",1,0))))+IF(H970=1,30,IF(H970=2,20,IF(H970=3,10,IF(H970&lt;&gt;"",1,0))))))</f>
        <v/>
      </c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14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>
        <f>IF(AND(C971="",OR(E971="",E971=0)),"",(IF(E971=1,30,IF(E971=2,20,IF(E971=3,10,IF(E971&lt;&gt;"",1,0))))+IF(F971=1,30,IF(F971=2,20,IF(F971=3,10,IF(F971&lt;&gt;"",1,0))))+IF(G971=1,30,IF(G971=2,20,IF(G971=3,10,IF(G971&lt;&gt;"",1,0))))+IF(H971=1,30,IF(H971=2,20,IF(H971=3,10,IF(H971&lt;&gt;"",1,0))))))</f>
        <v/>
      </c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14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>
        <f>IF(AND(C972="",OR(E972="",E972=0)),"",(IF(E972=1,30,IF(E972=2,20,IF(E972=3,10,IF(E972&lt;&gt;"",1,0))))+IF(F972=1,30,IF(F972=2,20,IF(F972=3,10,IF(F972&lt;&gt;"",1,0))))+IF(G972=1,30,IF(G972=2,20,IF(G972=3,10,IF(G972&lt;&gt;"",1,0))))+IF(H972=1,30,IF(H972=2,20,IF(H972=3,10,IF(H972&lt;&gt;"",1,0))))))</f>
        <v/>
      </c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14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>
        <f>IF(AND(C973="",OR(E973="",E973=0)),"",(IF(E973=1,30,IF(E973=2,20,IF(E973=3,10,IF(E973&lt;&gt;"",1,0))))+IF(F973=1,30,IF(F973=2,20,IF(F973=3,10,IF(F973&lt;&gt;"",1,0))))+IF(G973=1,30,IF(G973=2,20,IF(G973=3,10,IF(G973&lt;&gt;"",1,0))))+IF(H973=1,30,IF(H973=2,20,IF(H973=3,10,IF(H973&lt;&gt;"",1,0))))))</f>
        <v/>
      </c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14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>
        <f>IF(AND(C974="",OR(E974="",E974=0)),"",(IF(E974=1,30,IF(E974=2,20,IF(E974=3,10,IF(E974&lt;&gt;"",1,0))))+IF(F974=1,30,IF(F974=2,20,IF(F974=3,10,IF(F974&lt;&gt;"",1,0))))+IF(G974=1,30,IF(G974=2,20,IF(G974=3,10,IF(G974&lt;&gt;"",1,0))))+IF(H974=1,30,IF(H974=2,20,IF(H974=3,10,IF(H974&lt;&gt;"",1,0))))))</f>
        <v/>
      </c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14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>
        <f>IF(AND(C975="",OR(E975="",E975=0)),"",(IF(E975=1,30,IF(E975=2,20,IF(E975=3,10,IF(E975&lt;&gt;"",1,0))))+IF(F975=1,30,IF(F975=2,20,IF(F975=3,10,IF(F975&lt;&gt;"",1,0))))+IF(G975=1,30,IF(G975=2,20,IF(G975=3,10,IF(G975&lt;&gt;"",1,0))))+IF(H975=1,30,IF(H975=2,20,IF(H975=3,10,IF(H975&lt;&gt;"",1,0))))))</f>
        <v/>
      </c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14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>
        <f>IF(AND(C976="",OR(E976="",E976=0)),"",(IF(E976=1,30,IF(E976=2,20,IF(E976=3,10,IF(E976&lt;&gt;"",1,0))))+IF(F976=1,30,IF(F976=2,20,IF(F976=3,10,IF(F976&lt;&gt;"",1,0))))+IF(G976=1,30,IF(G976=2,20,IF(G976=3,10,IF(G976&lt;&gt;"",1,0))))+IF(H976=1,30,IF(H976=2,20,IF(H976=3,10,IF(H976&lt;&gt;"",1,0))))))</f>
        <v/>
      </c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14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>
        <f>IF(AND(C977="",OR(E977="",E977=0)),"",(IF(E977=1,30,IF(E977=2,20,IF(E977=3,10,IF(E977&lt;&gt;"",1,0))))+IF(F977=1,30,IF(F977=2,20,IF(F977=3,10,IF(F977&lt;&gt;"",1,0))))+IF(G977=1,30,IF(G977=2,20,IF(G977=3,10,IF(G977&lt;&gt;"",1,0))))+IF(H977=1,30,IF(H977=2,20,IF(H977=3,10,IF(H977&lt;&gt;"",1,0))))))</f>
        <v/>
      </c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14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>
        <f>IF(AND(C978="",OR(E978="",E978=0)),"",(IF(E978=1,30,IF(E978=2,20,IF(E978=3,10,IF(E978&lt;&gt;"",1,0))))+IF(F978=1,30,IF(F978=2,20,IF(F978=3,10,IF(F978&lt;&gt;"",1,0))))+IF(G978=1,30,IF(G978=2,20,IF(G978=3,10,IF(G978&lt;&gt;"",1,0))))+IF(H978=1,30,IF(H978=2,20,IF(H978=3,10,IF(H978&lt;&gt;"",1,0))))))</f>
        <v/>
      </c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14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>
        <f>IF(AND(C979="",OR(E979="",E979=0)),"",(IF(E979=1,30,IF(E979=2,20,IF(E979=3,10,IF(E979&lt;&gt;"",1,0))))+IF(F979=1,30,IF(F979=2,20,IF(F979=3,10,IF(F979&lt;&gt;"",1,0))))+IF(G979=1,30,IF(G979=2,20,IF(G979=3,10,IF(G979&lt;&gt;"",1,0))))+IF(H979=1,30,IF(H979=2,20,IF(H979=3,10,IF(H979&lt;&gt;"",1,0))))))</f>
        <v/>
      </c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14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>
        <f>IF(AND(C980="",OR(E980="",E980=0)),"",(IF(E980=1,30,IF(E980=2,20,IF(E980=3,10,IF(E980&lt;&gt;"",1,0))))+IF(F980=1,30,IF(F980=2,20,IF(F980=3,10,IF(F980&lt;&gt;"",1,0))))+IF(G980=1,30,IF(G980=2,20,IF(G980=3,10,IF(G980&lt;&gt;"",1,0))))+IF(H980=1,30,IF(H980=2,20,IF(H980=3,10,IF(H980&lt;&gt;"",1,0))))))</f>
        <v/>
      </c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14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>
        <f>IF(AND(C981="",OR(E981="",E981=0)),"",(IF(E981=1,30,IF(E981=2,20,IF(E981=3,10,IF(E981&lt;&gt;"",1,0))))+IF(F981=1,30,IF(F981=2,20,IF(F981=3,10,IF(F981&lt;&gt;"",1,0))))+IF(G981=1,30,IF(G981=2,20,IF(G981=3,10,IF(G981&lt;&gt;"",1,0))))+IF(H981=1,30,IF(H981=2,20,IF(H981=3,10,IF(H981&lt;&gt;"",1,0))))))</f>
        <v/>
      </c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14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>
        <f>IF(AND(C982="",OR(E982="",E982=0)),"",(IF(E982=1,30,IF(E982=2,20,IF(E982=3,10,IF(E982&lt;&gt;"",1,0))))+IF(F982=1,30,IF(F982=2,20,IF(F982=3,10,IF(F982&lt;&gt;"",1,0))))+IF(G982=1,30,IF(G982=2,20,IF(G982=3,10,IF(G982&lt;&gt;"",1,0))))+IF(H982=1,30,IF(H982=2,20,IF(H982=3,10,IF(H982&lt;&gt;"",1,0))))))</f>
        <v/>
      </c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14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>
        <f>IF(AND(C983="",OR(E983="",E983=0)),"",(IF(E983=1,30,IF(E983=2,20,IF(E983=3,10,IF(E983&lt;&gt;"",1,0))))+IF(F983=1,30,IF(F983=2,20,IF(F983=3,10,IF(F983&lt;&gt;"",1,0))))+IF(G983=1,30,IF(G983=2,20,IF(G983=3,10,IF(G983&lt;&gt;"",1,0))))+IF(H983=1,30,IF(H983=2,20,IF(H983=3,10,IF(H983&lt;&gt;"",1,0))))))</f>
        <v/>
      </c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14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>
        <f>IF(AND(C984="",OR(E984="",E984=0)),"",(IF(E984=1,30,IF(E984=2,20,IF(E984=3,10,IF(E984&lt;&gt;"",1,0))))+IF(F984=1,30,IF(F984=2,20,IF(F984=3,10,IF(F984&lt;&gt;"",1,0))))+IF(G984=1,30,IF(G984=2,20,IF(G984=3,10,IF(G984&lt;&gt;"",1,0))))+IF(H984=1,30,IF(H984=2,20,IF(H984=3,10,IF(H984&lt;&gt;"",1,0))))))</f>
        <v/>
      </c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14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>
        <f>IF(AND(C985="",OR(E985="",E985=0)),"",(IF(E985=1,30,IF(E985=2,20,IF(E985=3,10,IF(E985&lt;&gt;"",1,0))))+IF(F985=1,30,IF(F985=2,20,IF(F985=3,10,IF(F985&lt;&gt;"",1,0))))+IF(G985=1,30,IF(G985=2,20,IF(G985=3,10,IF(G985&lt;&gt;"",1,0))))+IF(H985=1,30,IF(H985=2,20,IF(H985=3,10,IF(H985&lt;&gt;"",1,0))))))</f>
        <v/>
      </c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14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>
        <f>IF(AND(C986="",OR(E986="",E986=0)),"",(IF(E986=1,30,IF(E986=2,20,IF(E986=3,10,IF(E986&lt;&gt;"",1,0))))+IF(F986=1,30,IF(F986=2,20,IF(F986=3,10,IF(F986&lt;&gt;"",1,0))))+IF(G986=1,30,IF(G986=2,20,IF(G986=3,10,IF(G986&lt;&gt;"",1,0))))+IF(H986=1,30,IF(H986=2,20,IF(H986=3,10,IF(H986&lt;&gt;"",1,0))))))</f>
        <v/>
      </c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14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>
        <f>IF(AND(C987="",OR(E987="",E987=0)),"",(IF(E987=1,30,IF(E987=2,20,IF(E987=3,10,IF(E987&lt;&gt;"",1,0))))+IF(F987=1,30,IF(F987=2,20,IF(F987=3,10,IF(F987&lt;&gt;"",1,0))))+IF(G987=1,30,IF(G987=2,20,IF(G987=3,10,IF(G987&lt;&gt;"",1,0))))+IF(H987=1,30,IF(H987=2,20,IF(H987=3,10,IF(H987&lt;&gt;"",1,0))))))</f>
        <v/>
      </c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14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>
        <f>IF(AND(C988="",OR(E988="",E988=0)),"",(IF(E988=1,30,IF(E988=2,20,IF(E988=3,10,IF(E988&lt;&gt;"",1,0))))+IF(F988=1,30,IF(F988=2,20,IF(F988=3,10,IF(F988&lt;&gt;"",1,0))))+IF(G988=1,30,IF(G988=2,20,IF(G988=3,10,IF(G988&lt;&gt;"",1,0))))+IF(H988=1,30,IF(H988=2,20,IF(H988=3,10,IF(H988&lt;&gt;"",1,0))))))</f>
        <v/>
      </c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14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>
        <f>IF(AND(C989="",OR(E989="",E989=0)),"",(IF(E989=1,30,IF(E989=2,20,IF(E989=3,10,IF(E989&lt;&gt;"",1,0))))+IF(F989=1,30,IF(F989=2,20,IF(F989=3,10,IF(F989&lt;&gt;"",1,0))))+IF(G989=1,30,IF(G989=2,20,IF(G989=3,10,IF(G989&lt;&gt;"",1,0))))+IF(H989=1,30,IF(H989=2,20,IF(H989=3,10,IF(H989&lt;&gt;"",1,0))))))</f>
        <v/>
      </c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14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>
        <f>IF(AND(C990="",OR(E990="",E990=0)),"",(IF(E990=1,30,IF(E990=2,20,IF(E990=3,10,IF(E990&lt;&gt;"",1,0))))+IF(F990=1,30,IF(F990=2,20,IF(F990=3,10,IF(F990&lt;&gt;"",1,0))))+IF(G990=1,30,IF(G990=2,20,IF(G990=3,10,IF(G990&lt;&gt;"",1,0))))+IF(H990=1,30,IF(H990=2,20,IF(H990=3,10,IF(H990&lt;&gt;"",1,0))))))</f>
        <v/>
      </c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14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>
        <f>IF(AND(C991="",OR(E991="",E991=0)),"",(IF(E991=1,30,IF(E991=2,20,IF(E991=3,10,IF(E991&lt;&gt;"",1,0))))+IF(F991=1,30,IF(F991=2,20,IF(F991=3,10,IF(F991&lt;&gt;"",1,0))))+IF(G991=1,30,IF(G991=2,20,IF(G991=3,10,IF(G991&lt;&gt;"",1,0))))+IF(H991=1,30,IF(H991=2,20,IF(H991=3,10,IF(H991&lt;&gt;"",1,0))))))</f>
        <v/>
      </c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14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>
        <f>IF(AND(C992="",OR(E992="",E992=0)),"",(IF(E992=1,30,IF(E992=2,20,IF(E992=3,10,IF(E992&lt;&gt;"",1,0))))+IF(F992=1,30,IF(F992=2,20,IF(F992=3,10,IF(F992&lt;&gt;"",1,0))))+IF(G992=1,30,IF(G992=2,20,IF(G992=3,10,IF(G992&lt;&gt;"",1,0))))+IF(H992=1,30,IF(H992=2,20,IF(H992=3,10,IF(H992&lt;&gt;"",1,0))))))</f>
        <v/>
      </c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14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>
        <f>IF(AND(C993="",OR(E993="",E993=0)),"",(IF(E993=1,30,IF(E993=2,20,IF(E993=3,10,IF(E993&lt;&gt;"",1,0))))+IF(F993=1,30,IF(F993=2,20,IF(F993=3,10,IF(F993&lt;&gt;"",1,0))))+IF(G993=1,30,IF(G993=2,20,IF(G993=3,10,IF(G993&lt;&gt;"",1,0))))+IF(H993=1,30,IF(H993=2,20,IF(H993=3,10,IF(H993&lt;&gt;"",1,0))))))</f>
        <v/>
      </c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14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>
        <f>IF(AND(C994="",OR(E994="",E994=0)),"",(IF(E994=1,30,IF(E994=2,20,IF(E994=3,10,IF(E994&lt;&gt;"",1,0))))+IF(F994=1,30,IF(F994=2,20,IF(F994=3,10,IF(F994&lt;&gt;"",1,0))))+IF(G994=1,30,IF(G994=2,20,IF(G994=3,10,IF(G994&lt;&gt;"",1,0))))+IF(H994=1,30,IF(H994=2,20,IF(H994=3,10,IF(H994&lt;&gt;"",1,0))))))</f>
        <v/>
      </c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14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>
        <f>IF(AND(C995="",OR(E995="",E995=0)),"",(IF(E995=1,30,IF(E995=2,20,IF(E995=3,10,IF(E995&lt;&gt;"",1,0))))+IF(F995=1,30,IF(F995=2,20,IF(F995=3,10,IF(F995&lt;&gt;"",1,0))))+IF(G995=1,30,IF(G995=2,20,IF(G995=3,10,IF(G995&lt;&gt;"",1,0))))+IF(H995=1,30,IF(H995=2,20,IF(H995=3,10,IF(H995&lt;&gt;"",1,0))))))</f>
        <v/>
      </c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14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>
        <f>IF(AND(C996="",OR(E996="",E996=0)),"",(IF(E996=1,30,IF(E996=2,20,IF(E996=3,10,IF(E996&lt;&gt;"",1,0))))+IF(F996=1,30,IF(F996=2,20,IF(F996=3,10,IF(F996&lt;&gt;"",1,0))))+IF(G996=1,30,IF(G996=2,20,IF(G996=3,10,IF(G996&lt;&gt;"",1,0))))+IF(H996=1,30,IF(H996=2,20,IF(H996=3,10,IF(H996&lt;&gt;"",1,0))))))</f>
        <v/>
      </c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14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>
        <f>IF(AND(C997="",OR(E997="",E997=0)),"",(IF(E997=1,30,IF(E997=2,20,IF(E997=3,10,IF(E997&lt;&gt;"",1,0))))+IF(F997=1,30,IF(F997=2,20,IF(F997=3,10,IF(F997&lt;&gt;"",1,0))))+IF(G997=1,30,IF(G997=2,20,IF(G997=3,10,IF(G997&lt;&gt;"",1,0))))+IF(H997=1,30,IF(H997=2,20,IF(H997=3,10,IF(H997&lt;&gt;"",1,0))))))</f>
        <v/>
      </c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14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>
        <f>IF(AND(C998="",OR(E998="",E998=0)),"",(IF(E998=1,30,IF(E998=2,20,IF(E998=3,10,IF(E998&lt;&gt;"",1,0))))+IF(F998=1,30,IF(F998=2,20,IF(F998=3,10,IF(F998&lt;&gt;"",1,0))))+IF(G998=1,30,IF(G998=2,20,IF(G998=3,10,IF(G998&lt;&gt;"",1,0))))+IF(H998=1,30,IF(H998=2,20,IF(H998=3,10,IF(H998&lt;&gt;"",1,0))))))</f>
        <v/>
      </c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14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>
        <f>IF(AND(C999="",OR(E999="",E999=0)),"",(IF(E999=1,30,IF(E999=2,20,IF(E999=3,10,IF(E999&lt;&gt;"",1,0))))+IF(F999=1,30,IF(F999=2,20,IF(F999=3,10,IF(F999&lt;&gt;"",1,0))))+IF(G999=1,30,IF(G999=2,20,IF(G999=3,10,IF(G999&lt;&gt;"",1,0))))+IF(H999=1,30,IF(H999=2,20,IF(H999=3,10,IF(H999&lt;&gt;"",1,0))))))</f>
        <v/>
      </c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14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>
        <f>IF(AND(C1000="",OR(E1000="",E1000=0)),"",(IF(E1000=1,30,IF(E1000=2,20,IF(E1000=3,10,IF(E1000&lt;&gt;"",1,0))))+IF(F1000=1,30,IF(F1000=2,20,IF(F1000=3,10,IF(F1000&lt;&gt;"",1,0))))+IF(G1000=1,30,IF(G1000=2,20,IF(G1000=3,10,IF(G1000&lt;&gt;"",1,0))))+IF(H1000=1,30,IF(H1000=2,20,IF(H1000=3,10,IF(H1000&lt;&gt;"",1,0))))))</f>
        <v/>
      </c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B$3:$I$103"/>
  <mergeCells count="1">
    <mergeCell ref="B2:I2"/>
  </mergeCells>
  <conditionalFormatting sqref="B4:I103">
    <cfRule type="expression" priority="1" dxfId="0">
      <formula>$D4="Bgirl"</formula>
    </cfRule>
  </conditionalFormatting>
  <dataValidations count="1">
    <dataValidation sqref="D4:D103" showDropDown="0" showInputMessage="0" showErrorMessage="0" allowBlank="1" type="list">
      <formula1>"1 год обучения,до 3 лет опыта,до 6 лет,7-9 лет,10-13 лет,Kids Pro,Bgirl"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3" min="1" max="1"/>
    <col width="5" customWidth="1" style="143" min="2" max="2"/>
    <col width="22" customWidth="1" style="143" min="3" max="3"/>
    <col width="16" customWidth="1" style="143" min="4" max="4"/>
    <col width="23.86" customWidth="1" style="143" min="5" max="8"/>
    <col width="19.43" customWidth="1" style="143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3" customHeight="1" s="143">
      <c r="A2" s="1" t="n"/>
      <c r="B2" s="160" t="inlineStr">
        <is>
          <t>🔥 Final  —  РЕЗУЛЬТАТЫ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30" customHeight="1" s="143">
      <c r="A3" s="1" t="n"/>
      <c r="B3" s="31" t="inlineStr">
        <is>
          <t>№</t>
        </is>
      </c>
      <c r="C3" s="31" t="inlineStr">
        <is>
          <t>Имя участника</t>
        </is>
      </c>
      <c r="D3" s="31" t="inlineStr">
        <is>
          <t>Номинация</t>
        </is>
      </c>
      <c r="E3" s="41" t="inlineStr">
        <is>
          <t>Место (осн.)</t>
        </is>
      </c>
      <c r="F3" s="41" t="inlineStr">
        <is>
          <t>Доп. ном.1</t>
        </is>
      </c>
      <c r="G3" s="41" t="inlineStr">
        <is>
          <t>Доп. ном.2</t>
        </is>
      </c>
      <c r="H3" s="41" t="inlineStr">
        <is>
          <t>Доп. ном.3</t>
        </is>
      </c>
      <c r="I3" s="31" t="inlineStr">
        <is>
          <t>Баллы
(x2 (Финал))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143">
      <c r="A4" s="1" t="n"/>
      <c r="B4" s="32">
        <f>'👥 Участники'!B4</f>
        <v/>
      </c>
      <c r="C4" s="33">
        <f>'👥 Участники'!C4</f>
        <v/>
      </c>
      <c r="D4" s="34">
        <f>'👥 Участники'!D4</f>
        <v/>
      </c>
      <c r="E4" s="42" t="n"/>
      <c r="F4" s="42" t="n"/>
      <c r="G4" s="42" t="n"/>
      <c r="H4" s="42" t="n"/>
      <c r="I4" s="43">
        <f>IF(AND(C4="",OR(E4="",E4=0)),"",(IF(E4=1,30,IF(E4=2,20,IF(E4=3,10,IF(E4&lt;&gt;"",1,0))))+IF(F4=1,30,IF(F4=2,20,IF(F4=3,10,IF(F4&lt;&gt;"",1,0))))+IF(G4=1,30,IF(G4=2,20,IF(G4=3,10,IF(G4&lt;&gt;"",1,0))))+IF(H4=1,30,IF(H4=2,20,IF(H4=3,10,IF(H4&lt;&gt;"",1,0)))))*2)</f>
        <v/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143">
      <c r="A5" s="1" t="n"/>
      <c r="B5" s="37">
        <f>'👥 Участники'!B5</f>
        <v/>
      </c>
      <c r="C5" s="38">
        <f>'👥 Участники'!C5</f>
        <v/>
      </c>
      <c r="D5" s="39">
        <f>'👥 Участники'!D5</f>
        <v/>
      </c>
      <c r="E5" s="42" t="n"/>
      <c r="F5" s="42" t="n"/>
      <c r="G5" s="42" t="n"/>
      <c r="H5" s="42" t="n"/>
      <c r="I5" s="43">
        <f>IF(AND(C5="",OR(E5="",E5=0)),"",(IF(E5=1,30,IF(E5=2,20,IF(E5=3,10,IF(E5&lt;&gt;"",1,0))))+IF(F5=1,30,IF(F5=2,20,IF(F5=3,10,IF(F5&lt;&gt;"",1,0))))+IF(G5=1,30,IF(G5=2,20,IF(G5=3,10,IF(G5&lt;&gt;"",1,0))))+IF(H5=1,30,IF(H5=2,20,IF(H5=3,10,IF(H5&lt;&gt;"",1,0)))))*2)</f>
        <v/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9.5" customHeight="1" s="143">
      <c r="A6" s="1" t="n"/>
      <c r="B6" s="32">
        <f>'👥 Участники'!B6</f>
        <v/>
      </c>
      <c r="C6" s="33">
        <f>'👥 Участники'!C6</f>
        <v/>
      </c>
      <c r="D6" s="34">
        <f>'👥 Участники'!D6</f>
        <v/>
      </c>
      <c r="E6" s="42" t="n"/>
      <c r="F6" s="42" t="n"/>
      <c r="G6" s="42" t="n"/>
      <c r="H6" s="42" t="n"/>
      <c r="I6" s="43">
        <f>IF(AND(C6="",OR(E6="",E6=0)),"",(IF(E6=1,30,IF(E6=2,20,IF(E6=3,10,IF(E6&lt;&gt;"",1,0))))+IF(F6=1,30,IF(F6=2,20,IF(F6=3,10,IF(F6&lt;&gt;"",1,0))))+IF(G6=1,30,IF(G6=2,20,IF(G6=3,10,IF(G6&lt;&gt;"",1,0))))+IF(H6=1,30,IF(H6=2,20,IF(H6=3,10,IF(H6&lt;&gt;"",1,0)))))*2)</f>
        <v/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143">
      <c r="A7" s="1" t="n"/>
      <c r="B7" s="37">
        <f>'👥 Участники'!B7</f>
        <v/>
      </c>
      <c r="C7" s="38">
        <f>'👥 Участники'!C7</f>
        <v/>
      </c>
      <c r="D7" s="39">
        <f>'👥 Участники'!D7</f>
        <v/>
      </c>
      <c r="E7" s="42" t="n"/>
      <c r="F7" s="42" t="n"/>
      <c r="G7" s="42" t="n"/>
      <c r="H7" s="42" t="n"/>
      <c r="I7" s="43">
        <f>IF(AND(C7="",OR(E7="",E7=0)),"",(IF(E7=1,30,IF(E7=2,20,IF(E7=3,10,IF(E7&lt;&gt;"",1,0))))+IF(F7=1,30,IF(F7=2,20,IF(F7=3,10,IF(F7&lt;&gt;"",1,0))))+IF(G7=1,30,IF(G7=2,20,IF(G7=3,10,IF(G7&lt;&gt;"",1,0))))+IF(H7=1,30,IF(H7=2,20,IF(H7=3,10,IF(H7&lt;&gt;"",1,0)))))*2)</f>
        <v/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143">
      <c r="A8" s="1" t="n"/>
      <c r="B8" s="32">
        <f>'👥 Участники'!B8</f>
        <v/>
      </c>
      <c r="C8" s="33">
        <f>'👥 Участники'!C8</f>
        <v/>
      </c>
      <c r="D8" s="34">
        <f>'👥 Участники'!D8</f>
        <v/>
      </c>
      <c r="E8" s="42" t="n"/>
      <c r="F8" s="42" t="n"/>
      <c r="G8" s="42" t="n"/>
      <c r="H8" s="42" t="n"/>
      <c r="I8" s="43">
        <f>IF(AND(C8="",OR(E8="",E8=0)),"",(IF(E8=1,30,IF(E8=2,20,IF(E8=3,10,IF(E8&lt;&gt;"",1,0))))+IF(F8=1,30,IF(F8=2,20,IF(F8=3,10,IF(F8&lt;&gt;"",1,0))))+IF(G8=1,30,IF(G8=2,20,IF(G8=3,10,IF(G8&lt;&gt;"",1,0))))+IF(H8=1,30,IF(H8=2,20,IF(H8=3,10,IF(H8&lt;&gt;"",1,0)))))*2)</f>
        <v/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143">
      <c r="A9" s="1" t="n"/>
      <c r="B9" s="37">
        <f>'👥 Участники'!B9</f>
        <v/>
      </c>
      <c r="C9" s="38">
        <f>'👥 Участники'!C9</f>
        <v/>
      </c>
      <c r="D9" s="39">
        <f>'👥 Участники'!D9</f>
        <v/>
      </c>
      <c r="E9" s="42" t="n"/>
      <c r="F9" s="42" t="n"/>
      <c r="G9" s="42" t="n"/>
      <c r="H9" s="42" t="n"/>
      <c r="I9" s="43">
        <f>IF(AND(C9="",OR(E9="",E9=0)),"",(IF(E9=1,30,IF(E9=2,20,IF(E9=3,10,IF(E9&lt;&gt;"",1,0))))+IF(F9=1,30,IF(F9=2,20,IF(F9=3,10,IF(F9&lt;&gt;"",1,0))))+IF(G9=1,30,IF(G9=2,20,IF(G9=3,10,IF(G9&lt;&gt;"",1,0))))+IF(H9=1,30,IF(H9=2,20,IF(H9=3,10,IF(H9&lt;&gt;"",1,0)))))*2)</f>
        <v/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143">
      <c r="A10" s="1" t="n"/>
      <c r="B10" s="32">
        <f>'👥 Участники'!B10</f>
        <v/>
      </c>
      <c r="C10" s="33">
        <f>'👥 Участники'!C10</f>
        <v/>
      </c>
      <c r="D10" s="34">
        <f>'👥 Участники'!D10</f>
        <v/>
      </c>
      <c r="E10" s="42" t="n"/>
      <c r="F10" s="42" t="n"/>
      <c r="G10" s="42" t="n"/>
      <c r="H10" s="42" t="n"/>
      <c r="I10" s="43">
        <f>IF(AND(C10="",OR(E10="",E10=0)),"",(IF(E10=1,30,IF(E10=2,20,IF(E10=3,10,IF(E10&lt;&gt;"",1,0))))+IF(F10=1,30,IF(F10=2,20,IF(F10=3,10,IF(F10&lt;&gt;"",1,0))))+IF(G10=1,30,IF(G10=2,20,IF(G10=3,10,IF(G10&lt;&gt;"",1,0))))+IF(H10=1,30,IF(H10=2,20,IF(H10=3,10,IF(H10&lt;&gt;"",1,0)))))*2)</f>
        <v/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143">
      <c r="A11" s="1" t="n"/>
      <c r="B11" s="37">
        <f>'👥 Участники'!B11</f>
        <v/>
      </c>
      <c r="C11" s="38">
        <f>'👥 Участники'!C11</f>
        <v/>
      </c>
      <c r="D11" s="39">
        <f>'👥 Участники'!D11</f>
        <v/>
      </c>
      <c r="E11" s="42" t="n"/>
      <c r="F11" s="42" t="n"/>
      <c r="G11" s="42" t="n"/>
      <c r="H11" s="42" t="n"/>
      <c r="I11" s="43">
        <f>IF(AND(C11="",OR(E11="",E11=0)),"",(IF(E11=1,30,IF(E11=2,20,IF(E11=3,10,IF(E11&lt;&gt;"",1,0))))+IF(F11=1,30,IF(F11=2,20,IF(F11=3,10,IF(F11&lt;&gt;"",1,0))))+IF(G11=1,30,IF(G11=2,20,IF(G11=3,10,IF(G11&lt;&gt;"",1,0))))+IF(H11=1,30,IF(H11=2,20,IF(H11=3,10,IF(H11&lt;&gt;"",1,0)))))*2)</f>
        <v/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9.5" customHeight="1" s="143">
      <c r="A12" s="1" t="n"/>
      <c r="B12" s="32">
        <f>'👥 Участники'!B12</f>
        <v/>
      </c>
      <c r="C12" s="33">
        <f>'👥 Участники'!C12</f>
        <v/>
      </c>
      <c r="D12" s="34">
        <f>'👥 Участники'!D12</f>
        <v/>
      </c>
      <c r="E12" s="42" t="n"/>
      <c r="F12" s="42" t="n"/>
      <c r="G12" s="42" t="n"/>
      <c r="H12" s="42" t="n"/>
      <c r="I12" s="43">
        <f>IF(AND(C12="",OR(E12="",E12=0)),"",(IF(E12=1,30,IF(E12=2,20,IF(E12=3,10,IF(E12&lt;&gt;"",1,0))))+IF(F12=1,30,IF(F12=2,20,IF(F12=3,10,IF(F12&lt;&gt;"",1,0))))+IF(G12=1,30,IF(G12=2,20,IF(G12=3,10,IF(G12&lt;&gt;"",1,0))))+IF(H12=1,30,IF(H12=2,20,IF(H12=3,10,IF(H12&lt;&gt;"",1,0)))))*2)</f>
        <v/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9.5" customHeight="1" s="143">
      <c r="A13" s="1" t="n"/>
      <c r="B13" s="37">
        <f>'👥 Участники'!B13</f>
        <v/>
      </c>
      <c r="C13" s="38">
        <f>'👥 Участники'!C13</f>
        <v/>
      </c>
      <c r="D13" s="39">
        <f>'👥 Участники'!D13</f>
        <v/>
      </c>
      <c r="E13" s="42" t="n"/>
      <c r="F13" s="42" t="n"/>
      <c r="G13" s="42" t="n"/>
      <c r="H13" s="42" t="n"/>
      <c r="I13" s="43">
        <f>IF(AND(C13="",OR(E13="",E13=0)),"",(IF(E13=1,30,IF(E13=2,20,IF(E13=3,10,IF(E13&lt;&gt;"",1,0))))+IF(F13=1,30,IF(F13=2,20,IF(F13=3,10,IF(F13&lt;&gt;"",1,0))))+IF(G13=1,30,IF(G13=2,20,IF(G13=3,10,IF(G13&lt;&gt;"",1,0))))+IF(H13=1,30,IF(H13=2,20,IF(H13=3,10,IF(H13&lt;&gt;"",1,0)))))*2)</f>
        <v/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9.5" customHeight="1" s="143">
      <c r="A14" s="1" t="n"/>
      <c r="B14" s="32">
        <f>'👥 Участники'!B14</f>
        <v/>
      </c>
      <c r="C14" s="33">
        <f>'👥 Участники'!C14</f>
        <v/>
      </c>
      <c r="D14" s="34">
        <f>'👥 Участники'!D14</f>
        <v/>
      </c>
      <c r="E14" s="42" t="n"/>
      <c r="F14" s="42" t="n"/>
      <c r="G14" s="42" t="n"/>
      <c r="H14" s="42" t="n"/>
      <c r="I14" s="43">
        <f>IF(AND(C14="",OR(E14="",E14=0)),"",(IF(E14=1,30,IF(E14=2,20,IF(E14=3,10,IF(E14&lt;&gt;"",1,0))))+IF(F14=1,30,IF(F14=2,20,IF(F14=3,10,IF(F14&lt;&gt;"",1,0))))+IF(G14=1,30,IF(G14=2,20,IF(G14=3,10,IF(G14&lt;&gt;"",1,0))))+IF(H14=1,30,IF(H14=2,20,IF(H14=3,10,IF(H14&lt;&gt;"",1,0)))))*2)</f>
        <v/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9.5" customHeight="1" s="143">
      <c r="A15" s="1" t="n"/>
      <c r="B15" s="37">
        <f>'👥 Участники'!B15</f>
        <v/>
      </c>
      <c r="C15" s="38">
        <f>'👥 Участники'!C15</f>
        <v/>
      </c>
      <c r="D15" s="39">
        <f>'👥 Участники'!D15</f>
        <v/>
      </c>
      <c r="E15" s="42" t="n"/>
      <c r="F15" s="42" t="n"/>
      <c r="G15" s="42" t="n"/>
      <c r="H15" s="42" t="n"/>
      <c r="I15" s="43">
        <f>IF(AND(C15="",OR(E15="",E15=0)),"",(IF(E15=1,30,IF(E15=2,20,IF(E15=3,10,IF(E15&lt;&gt;"",1,0))))+IF(F15=1,30,IF(F15=2,20,IF(F15=3,10,IF(F15&lt;&gt;"",1,0))))+IF(G15=1,30,IF(G15=2,20,IF(G15=3,10,IF(G15&lt;&gt;"",1,0))))+IF(H15=1,30,IF(H15=2,20,IF(H15=3,10,IF(H15&lt;&gt;"",1,0)))))*2)</f>
        <v/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9.5" customHeight="1" s="143">
      <c r="A16" s="1" t="n"/>
      <c r="B16" s="32">
        <f>'👥 Участники'!B16</f>
        <v/>
      </c>
      <c r="C16" s="33">
        <f>'👥 Участники'!C16</f>
        <v/>
      </c>
      <c r="D16" s="34">
        <f>'👥 Участники'!D16</f>
        <v/>
      </c>
      <c r="E16" s="42" t="n"/>
      <c r="F16" s="42" t="n"/>
      <c r="G16" s="42" t="n"/>
      <c r="H16" s="42" t="n"/>
      <c r="I16" s="43">
        <f>IF(AND(C16="",OR(E16="",E16=0)),"",(IF(E16=1,30,IF(E16=2,20,IF(E16=3,10,IF(E16&lt;&gt;"",1,0))))+IF(F16=1,30,IF(F16=2,20,IF(F16=3,10,IF(F16&lt;&gt;"",1,0))))+IF(G16=1,30,IF(G16=2,20,IF(G16=3,10,IF(G16&lt;&gt;"",1,0))))+IF(H16=1,30,IF(H16=2,20,IF(H16=3,10,IF(H16&lt;&gt;"",1,0)))))*2)</f>
        <v/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9.5" customHeight="1" s="143">
      <c r="A17" s="1" t="n"/>
      <c r="B17" s="37">
        <f>'👥 Участники'!B17</f>
        <v/>
      </c>
      <c r="C17" s="38">
        <f>'👥 Участники'!C17</f>
        <v/>
      </c>
      <c r="D17" s="39">
        <f>'👥 Участники'!D17</f>
        <v/>
      </c>
      <c r="E17" s="42" t="n"/>
      <c r="F17" s="42" t="n"/>
      <c r="G17" s="42" t="n"/>
      <c r="H17" s="42" t="n"/>
      <c r="I17" s="43">
        <f>IF(AND(C17="",OR(E17="",E17=0)),"",(IF(E17=1,30,IF(E17=2,20,IF(E17=3,10,IF(E17&lt;&gt;"",1,0))))+IF(F17=1,30,IF(F17=2,20,IF(F17=3,10,IF(F17&lt;&gt;"",1,0))))+IF(G17=1,30,IF(G17=2,20,IF(G17=3,10,IF(G17&lt;&gt;"",1,0))))+IF(H17=1,30,IF(H17=2,20,IF(H17=3,10,IF(H17&lt;&gt;"",1,0)))))*2)</f>
        <v/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9.5" customHeight="1" s="143">
      <c r="A18" s="1" t="n"/>
      <c r="B18" s="32">
        <f>'👥 Участники'!B18</f>
        <v/>
      </c>
      <c r="C18" s="33">
        <f>'👥 Участники'!C18</f>
        <v/>
      </c>
      <c r="D18" s="34">
        <f>'👥 Участники'!D18</f>
        <v/>
      </c>
      <c r="E18" s="42" t="n"/>
      <c r="F18" s="42" t="n"/>
      <c r="G18" s="42" t="n"/>
      <c r="H18" s="42" t="n"/>
      <c r="I18" s="43">
        <f>IF(AND(C18="",OR(E18="",E18=0)),"",(IF(E18=1,30,IF(E18=2,20,IF(E18=3,10,IF(E18&lt;&gt;"",1,0))))+IF(F18=1,30,IF(F18=2,20,IF(F18=3,10,IF(F18&lt;&gt;"",1,0))))+IF(G18=1,30,IF(G18=2,20,IF(G18=3,10,IF(G18&lt;&gt;"",1,0))))+IF(H18=1,30,IF(H18=2,20,IF(H18=3,10,IF(H18&lt;&gt;"",1,0)))))*2)</f>
        <v/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9.5" customHeight="1" s="143">
      <c r="A19" s="1" t="n"/>
      <c r="B19" s="37">
        <f>'👥 Участники'!B19</f>
        <v/>
      </c>
      <c r="C19" s="38">
        <f>'👥 Участники'!C19</f>
        <v/>
      </c>
      <c r="D19" s="39">
        <f>'👥 Участники'!D19</f>
        <v/>
      </c>
      <c r="E19" s="42" t="n"/>
      <c r="F19" s="42" t="n"/>
      <c r="G19" s="42" t="n"/>
      <c r="H19" s="42" t="n"/>
      <c r="I19" s="43">
        <f>IF(AND(C19="",OR(E19="",E19=0)),"",(IF(E19=1,30,IF(E19=2,20,IF(E19=3,10,IF(E19&lt;&gt;"",1,0))))+IF(F19=1,30,IF(F19=2,20,IF(F19=3,10,IF(F19&lt;&gt;"",1,0))))+IF(G19=1,30,IF(G19=2,20,IF(G19=3,10,IF(G19&lt;&gt;"",1,0))))+IF(H19=1,30,IF(H19=2,20,IF(H19=3,10,IF(H19&lt;&gt;"",1,0)))))*2)</f>
        <v/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9.5" customHeight="1" s="143">
      <c r="A20" s="1" t="n"/>
      <c r="B20" s="32">
        <f>'👥 Участники'!B20</f>
        <v/>
      </c>
      <c r="C20" s="33">
        <f>'👥 Участники'!C20</f>
        <v/>
      </c>
      <c r="D20" s="34">
        <f>'👥 Участники'!D20</f>
        <v/>
      </c>
      <c r="E20" s="42" t="n"/>
      <c r="F20" s="42" t="n"/>
      <c r="G20" s="42" t="n"/>
      <c r="H20" s="42" t="n"/>
      <c r="I20" s="43">
        <f>IF(AND(C20="",OR(E20="",E20=0)),"",(IF(E20=1,30,IF(E20=2,20,IF(E20=3,10,IF(E20&lt;&gt;"",1,0))))+IF(F20=1,30,IF(F20=2,20,IF(F20=3,10,IF(F20&lt;&gt;"",1,0))))+IF(G20=1,30,IF(G20=2,20,IF(G20=3,10,IF(G20&lt;&gt;"",1,0))))+IF(H20=1,30,IF(H20=2,20,IF(H20=3,10,IF(H20&lt;&gt;"",1,0)))))*2)</f>
        <v/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9.5" customHeight="1" s="143">
      <c r="A21" s="1" t="n"/>
      <c r="B21" s="37">
        <f>'👥 Участники'!B21</f>
        <v/>
      </c>
      <c r="C21" s="38">
        <f>'👥 Участники'!C21</f>
        <v/>
      </c>
      <c r="D21" s="39">
        <f>'👥 Участники'!D21</f>
        <v/>
      </c>
      <c r="E21" s="42" t="n"/>
      <c r="F21" s="42" t="n"/>
      <c r="G21" s="42" t="n"/>
      <c r="H21" s="42" t="n"/>
      <c r="I21" s="43">
        <f>IF(AND(C21="",OR(E21="",E21=0)),"",(IF(E21=1,30,IF(E21=2,20,IF(E21=3,10,IF(E21&lt;&gt;"",1,0))))+IF(F21=1,30,IF(F21=2,20,IF(F21=3,10,IF(F21&lt;&gt;"",1,0))))+IF(G21=1,30,IF(G21=2,20,IF(G21=3,10,IF(G21&lt;&gt;"",1,0))))+IF(H21=1,30,IF(H21=2,20,IF(H21=3,10,IF(H21&lt;&gt;"",1,0)))))*2)</f>
        <v/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9.5" customHeight="1" s="143">
      <c r="A22" s="1" t="n"/>
      <c r="B22" s="32">
        <f>'👥 Участники'!B22</f>
        <v/>
      </c>
      <c r="C22" s="33">
        <f>'👥 Участники'!C22</f>
        <v/>
      </c>
      <c r="D22" s="34">
        <f>'👥 Участники'!D22</f>
        <v/>
      </c>
      <c r="E22" s="42" t="n"/>
      <c r="F22" s="42" t="n"/>
      <c r="G22" s="42" t="n"/>
      <c r="H22" s="42" t="n"/>
      <c r="I22" s="43">
        <f>IF(AND(C22="",OR(E22="",E22=0)),"",(IF(E22=1,30,IF(E22=2,20,IF(E22=3,10,IF(E22&lt;&gt;"",1,0))))+IF(F22=1,30,IF(F22=2,20,IF(F22=3,10,IF(F22&lt;&gt;"",1,0))))+IF(G22=1,30,IF(G22=2,20,IF(G22=3,10,IF(G22&lt;&gt;"",1,0))))+IF(H22=1,30,IF(H22=2,20,IF(H22=3,10,IF(H22&lt;&gt;"",1,0)))))*2)</f>
        <v/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9.5" customHeight="1" s="143">
      <c r="A23" s="1" t="n"/>
      <c r="B23" s="37">
        <f>'👥 Участники'!B23</f>
        <v/>
      </c>
      <c r="C23" s="38">
        <f>'👥 Участники'!C23</f>
        <v/>
      </c>
      <c r="D23" s="39">
        <f>'👥 Участники'!D23</f>
        <v/>
      </c>
      <c r="E23" s="42" t="n"/>
      <c r="F23" s="42" t="n"/>
      <c r="G23" s="42" t="n"/>
      <c r="H23" s="42" t="n"/>
      <c r="I23" s="43">
        <f>IF(AND(C23="",OR(E23="",E23=0)),"",(IF(E23=1,30,IF(E23=2,20,IF(E23=3,10,IF(E23&lt;&gt;"",1,0))))+IF(F23=1,30,IF(F23=2,20,IF(F23=3,10,IF(F23&lt;&gt;"",1,0))))+IF(G23=1,30,IF(G23=2,20,IF(G23=3,10,IF(G23&lt;&gt;"",1,0))))+IF(H23=1,30,IF(H23=2,20,IF(H23=3,10,IF(H23&lt;&gt;"",1,0)))))*2)</f>
        <v/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9.5" customHeight="1" s="143">
      <c r="A24" s="1" t="n"/>
      <c r="B24" s="32">
        <f>'👥 Участники'!B24</f>
        <v/>
      </c>
      <c r="C24" s="33">
        <f>'👥 Участники'!C24</f>
        <v/>
      </c>
      <c r="D24" s="34">
        <f>'👥 Участники'!D24</f>
        <v/>
      </c>
      <c r="E24" s="42" t="n"/>
      <c r="F24" s="42" t="n"/>
      <c r="G24" s="42" t="n"/>
      <c r="H24" s="42" t="n"/>
      <c r="I24" s="43">
        <f>IF(AND(C24="",OR(E24="",E24=0)),"",(IF(E24=1,30,IF(E24=2,20,IF(E24=3,10,IF(E24&lt;&gt;"",1,0))))+IF(F24=1,30,IF(F24=2,20,IF(F24=3,10,IF(F24&lt;&gt;"",1,0))))+IF(G24=1,30,IF(G24=2,20,IF(G24=3,10,IF(G24&lt;&gt;"",1,0))))+IF(H24=1,30,IF(H24=2,20,IF(H24=3,10,IF(H24&lt;&gt;"",1,0)))))*2)</f>
        <v/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9.5" customHeight="1" s="143">
      <c r="A25" s="1" t="n"/>
      <c r="B25" s="37">
        <f>'👥 Участники'!B25</f>
        <v/>
      </c>
      <c r="C25" s="38">
        <f>'👥 Участники'!C25</f>
        <v/>
      </c>
      <c r="D25" s="39">
        <f>'👥 Участники'!D25</f>
        <v/>
      </c>
      <c r="E25" s="42" t="n"/>
      <c r="F25" s="42" t="n"/>
      <c r="G25" s="42" t="n"/>
      <c r="H25" s="42" t="n"/>
      <c r="I25" s="43">
        <f>IF(AND(C25="",OR(E25="",E25=0)),"",(IF(E25=1,30,IF(E25=2,20,IF(E25=3,10,IF(E25&lt;&gt;"",1,0))))+IF(F25=1,30,IF(F25=2,20,IF(F25=3,10,IF(F25&lt;&gt;"",1,0))))+IF(G25=1,30,IF(G25=2,20,IF(G25=3,10,IF(G25&lt;&gt;"",1,0))))+IF(H25=1,30,IF(H25=2,20,IF(H25=3,10,IF(H25&lt;&gt;"",1,0)))))*2)</f>
        <v/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9.5" customHeight="1" s="143">
      <c r="A26" s="1" t="n"/>
      <c r="B26" s="32">
        <f>'👥 Участники'!B26</f>
        <v/>
      </c>
      <c r="C26" s="33">
        <f>'👥 Участники'!C26</f>
        <v/>
      </c>
      <c r="D26" s="34">
        <f>'👥 Участники'!D26</f>
        <v/>
      </c>
      <c r="E26" s="42" t="n"/>
      <c r="F26" s="42" t="n"/>
      <c r="G26" s="42" t="n"/>
      <c r="H26" s="42" t="n"/>
      <c r="I26" s="43">
        <f>IF(AND(C26="",OR(E26="",E26=0)),"",(IF(E26=1,30,IF(E26=2,20,IF(E26=3,10,IF(E26&lt;&gt;"",1,0))))+IF(F26=1,30,IF(F26=2,20,IF(F26=3,10,IF(F26&lt;&gt;"",1,0))))+IF(G26=1,30,IF(G26=2,20,IF(G26=3,10,IF(G26&lt;&gt;"",1,0))))+IF(H26=1,30,IF(H26=2,20,IF(H26=3,10,IF(H26&lt;&gt;"",1,0)))))*2)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9.5" customHeight="1" s="143">
      <c r="A27" s="1" t="n"/>
      <c r="B27" s="37">
        <f>'👥 Участники'!B27</f>
        <v/>
      </c>
      <c r="C27" s="38">
        <f>'👥 Участники'!C27</f>
        <v/>
      </c>
      <c r="D27" s="39">
        <f>'👥 Участники'!D27</f>
        <v/>
      </c>
      <c r="E27" s="42" t="n"/>
      <c r="F27" s="42" t="n"/>
      <c r="G27" s="42" t="n"/>
      <c r="H27" s="42" t="n"/>
      <c r="I27" s="43">
        <f>IF(AND(C27="",OR(E27="",E27=0)),"",(IF(E27=1,30,IF(E27=2,20,IF(E27=3,10,IF(E27&lt;&gt;"",1,0))))+IF(F27=1,30,IF(F27=2,20,IF(F27=3,10,IF(F27&lt;&gt;"",1,0))))+IF(G27=1,30,IF(G27=2,20,IF(G27=3,10,IF(G27&lt;&gt;"",1,0))))+IF(H27=1,30,IF(H27=2,20,IF(H27=3,10,IF(H27&lt;&gt;"",1,0)))))*2)</f>
        <v/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9.5" customHeight="1" s="143">
      <c r="A28" s="1" t="n"/>
      <c r="B28" s="32">
        <f>'👥 Участники'!B28</f>
        <v/>
      </c>
      <c r="C28" s="33">
        <f>'👥 Участники'!C28</f>
        <v/>
      </c>
      <c r="D28" s="34">
        <f>'👥 Участники'!D28</f>
        <v/>
      </c>
      <c r="E28" s="42" t="n"/>
      <c r="F28" s="42" t="n"/>
      <c r="G28" s="42" t="n"/>
      <c r="H28" s="42" t="n"/>
      <c r="I28" s="43">
        <f>IF(AND(C28="",OR(E28="",E28=0)),"",(IF(E28=1,30,IF(E28=2,20,IF(E28=3,10,IF(E28&lt;&gt;"",1,0))))+IF(F28=1,30,IF(F28=2,20,IF(F28=3,10,IF(F28&lt;&gt;"",1,0))))+IF(G28=1,30,IF(G28=2,20,IF(G28=3,10,IF(G28&lt;&gt;"",1,0))))+IF(H28=1,30,IF(H28=2,20,IF(H28=3,10,IF(H28&lt;&gt;"",1,0)))))*2)</f>
        <v/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9.5" customHeight="1" s="143">
      <c r="A29" s="1" t="n"/>
      <c r="B29" s="37">
        <f>'👥 Участники'!B29</f>
        <v/>
      </c>
      <c r="C29" s="38">
        <f>'👥 Участники'!C29</f>
        <v/>
      </c>
      <c r="D29" s="39">
        <f>'👥 Участники'!D29</f>
        <v/>
      </c>
      <c r="E29" s="42" t="n"/>
      <c r="F29" s="42" t="n"/>
      <c r="G29" s="42" t="n"/>
      <c r="H29" s="42" t="n"/>
      <c r="I29" s="43">
        <f>IF(AND(C29="",OR(E29="",E29=0)),"",(IF(E29=1,30,IF(E29=2,20,IF(E29=3,10,IF(E29&lt;&gt;"",1,0))))+IF(F29=1,30,IF(F29=2,20,IF(F29=3,10,IF(F29&lt;&gt;"",1,0))))+IF(G29=1,30,IF(G29=2,20,IF(G29=3,10,IF(G29&lt;&gt;"",1,0))))+IF(H29=1,30,IF(H29=2,20,IF(H29=3,10,IF(H29&lt;&gt;"",1,0)))))*2)</f>
        <v/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9.5" customHeight="1" s="143">
      <c r="A30" s="1" t="n"/>
      <c r="B30" s="32">
        <f>'👥 Участники'!B30</f>
        <v/>
      </c>
      <c r="C30" s="33">
        <f>'👥 Участники'!C30</f>
        <v/>
      </c>
      <c r="D30" s="34">
        <f>'👥 Участники'!D30</f>
        <v/>
      </c>
      <c r="E30" s="42" t="n"/>
      <c r="F30" s="42" t="n"/>
      <c r="G30" s="42" t="n"/>
      <c r="H30" s="42" t="n"/>
      <c r="I30" s="43">
        <f>IF(AND(C30="",OR(E30="",E30=0)),"",(IF(E30=1,30,IF(E30=2,20,IF(E30=3,10,IF(E30&lt;&gt;"",1,0))))+IF(F30=1,30,IF(F30=2,20,IF(F30=3,10,IF(F30&lt;&gt;"",1,0))))+IF(G30=1,30,IF(G30=2,20,IF(G30=3,10,IF(G30&lt;&gt;"",1,0))))+IF(H30=1,30,IF(H30=2,20,IF(H30=3,10,IF(H30&lt;&gt;"",1,0)))))*2)</f>
        <v/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9.5" customHeight="1" s="143">
      <c r="A31" s="1" t="n"/>
      <c r="B31" s="37">
        <f>'👥 Участники'!B31</f>
        <v/>
      </c>
      <c r="C31" s="38">
        <f>'👥 Участники'!C31</f>
        <v/>
      </c>
      <c r="D31" s="39">
        <f>'👥 Участники'!D31</f>
        <v/>
      </c>
      <c r="E31" s="42" t="n"/>
      <c r="F31" s="42" t="n"/>
      <c r="G31" s="42" t="n"/>
      <c r="H31" s="42" t="n"/>
      <c r="I31" s="43">
        <f>IF(AND(C31="",OR(E31="",E31=0)),"",(IF(E31=1,30,IF(E31=2,20,IF(E31=3,10,IF(E31&lt;&gt;"",1,0))))+IF(F31=1,30,IF(F31=2,20,IF(F31=3,10,IF(F31&lt;&gt;"",1,0))))+IF(G31=1,30,IF(G31=2,20,IF(G31=3,10,IF(G31&lt;&gt;"",1,0))))+IF(H31=1,30,IF(H31=2,20,IF(H31=3,10,IF(H31&lt;&gt;"",1,0)))))*2)</f>
        <v/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9.5" customHeight="1" s="143">
      <c r="A32" s="1" t="n"/>
      <c r="B32" s="32">
        <f>'👥 Участники'!B32</f>
        <v/>
      </c>
      <c r="C32" s="33">
        <f>'👥 Участники'!C32</f>
        <v/>
      </c>
      <c r="D32" s="34">
        <f>'👥 Участники'!D32</f>
        <v/>
      </c>
      <c r="E32" s="42" t="n"/>
      <c r="F32" s="42" t="n"/>
      <c r="G32" s="42" t="n"/>
      <c r="H32" s="42" t="n"/>
      <c r="I32" s="43">
        <f>IF(AND(C32="",OR(E32="",E32=0)),"",(IF(E32=1,30,IF(E32=2,20,IF(E32=3,10,IF(E32&lt;&gt;"",1,0))))+IF(F32=1,30,IF(F32=2,20,IF(F32=3,10,IF(F32&lt;&gt;"",1,0))))+IF(G32=1,30,IF(G32=2,20,IF(G32=3,10,IF(G32&lt;&gt;"",1,0))))+IF(H32=1,30,IF(H32=2,20,IF(H32=3,10,IF(H32&lt;&gt;"",1,0)))))*2)</f>
        <v/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9.5" customHeight="1" s="143">
      <c r="A33" s="1" t="n"/>
      <c r="B33" s="37">
        <f>'👥 Участники'!B33</f>
        <v/>
      </c>
      <c r="C33" s="38">
        <f>'👥 Участники'!C33</f>
        <v/>
      </c>
      <c r="D33" s="39">
        <f>'👥 Участники'!D33</f>
        <v/>
      </c>
      <c r="E33" s="42" t="n"/>
      <c r="F33" s="42" t="n"/>
      <c r="G33" s="42" t="n"/>
      <c r="H33" s="42" t="n"/>
      <c r="I33" s="43">
        <f>IF(AND(C33="",OR(E33="",E33=0)),"",(IF(E33=1,30,IF(E33=2,20,IF(E33=3,10,IF(E33&lt;&gt;"",1,0))))+IF(F33=1,30,IF(F33=2,20,IF(F33=3,10,IF(F33&lt;&gt;"",1,0))))+IF(G33=1,30,IF(G33=2,20,IF(G33=3,10,IF(G33&lt;&gt;"",1,0))))+IF(H33=1,30,IF(H33=2,20,IF(H33=3,10,IF(H33&lt;&gt;"",1,0)))))*2)</f>
        <v/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9.5" customHeight="1" s="143">
      <c r="A34" s="1" t="n"/>
      <c r="B34" s="32">
        <f>'👥 Участники'!B34</f>
        <v/>
      </c>
      <c r="C34" s="33">
        <f>'👥 Участники'!C34</f>
        <v/>
      </c>
      <c r="D34" s="34">
        <f>'👥 Участники'!D34</f>
        <v/>
      </c>
      <c r="E34" s="42" t="n"/>
      <c r="F34" s="42" t="n"/>
      <c r="G34" s="42" t="n"/>
      <c r="H34" s="42" t="n"/>
      <c r="I34" s="43">
        <f>IF(AND(C34="",OR(E34="",E34=0)),"",(IF(E34=1,30,IF(E34=2,20,IF(E34=3,10,IF(E34&lt;&gt;"",1,0))))+IF(F34=1,30,IF(F34=2,20,IF(F34=3,10,IF(F34&lt;&gt;"",1,0))))+IF(G34=1,30,IF(G34=2,20,IF(G34=3,10,IF(G34&lt;&gt;"",1,0))))+IF(H34=1,30,IF(H34=2,20,IF(H34=3,10,IF(H34&lt;&gt;"",1,0)))))*2)</f>
        <v/>
      </c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9.5" customHeight="1" s="143">
      <c r="A35" s="1" t="n"/>
      <c r="B35" s="37">
        <f>'👥 Участники'!B35</f>
        <v/>
      </c>
      <c r="C35" s="38">
        <f>'👥 Участники'!C35</f>
        <v/>
      </c>
      <c r="D35" s="39">
        <f>'👥 Участники'!D35</f>
        <v/>
      </c>
      <c r="E35" s="42" t="n"/>
      <c r="F35" s="42" t="n"/>
      <c r="G35" s="42" t="n"/>
      <c r="H35" s="42" t="n"/>
      <c r="I35" s="43">
        <f>IF(AND(C35="",OR(E35="",E35=0)),"",(IF(E35=1,30,IF(E35=2,20,IF(E35=3,10,IF(E35&lt;&gt;"",1,0))))+IF(F35=1,30,IF(F35=2,20,IF(F35=3,10,IF(F35&lt;&gt;"",1,0))))+IF(G35=1,30,IF(G35=2,20,IF(G35=3,10,IF(G35&lt;&gt;"",1,0))))+IF(H35=1,30,IF(H35=2,20,IF(H35=3,10,IF(H35&lt;&gt;"",1,0)))))*2)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9.5" customHeight="1" s="143">
      <c r="A36" s="1" t="n"/>
      <c r="B36" s="32">
        <f>'👥 Участники'!B36</f>
        <v/>
      </c>
      <c r="C36" s="33">
        <f>'👥 Участники'!C36</f>
        <v/>
      </c>
      <c r="D36" s="34">
        <f>'👥 Участники'!D36</f>
        <v/>
      </c>
      <c r="E36" s="42" t="n"/>
      <c r="F36" s="42" t="n"/>
      <c r="G36" s="42" t="n"/>
      <c r="H36" s="42" t="n"/>
      <c r="I36" s="43">
        <f>IF(AND(C36="",OR(E36="",E36=0)),"",(IF(E36=1,30,IF(E36=2,20,IF(E36=3,10,IF(E36&lt;&gt;"",1,0))))+IF(F36=1,30,IF(F36=2,20,IF(F36=3,10,IF(F36&lt;&gt;"",1,0))))+IF(G36=1,30,IF(G36=2,20,IF(G36=3,10,IF(G36&lt;&gt;"",1,0))))+IF(H36=1,30,IF(H36=2,20,IF(H36=3,10,IF(H36&lt;&gt;"",1,0)))))*2)</f>
        <v/>
      </c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9.5" customHeight="1" s="143">
      <c r="A37" s="1" t="n"/>
      <c r="B37" s="37">
        <f>'👥 Участники'!B37</f>
        <v/>
      </c>
      <c r="C37" s="38">
        <f>'👥 Участники'!C37</f>
        <v/>
      </c>
      <c r="D37" s="39">
        <f>'👥 Участники'!D37</f>
        <v/>
      </c>
      <c r="E37" s="42" t="n"/>
      <c r="F37" s="42" t="n"/>
      <c r="G37" s="42" t="n"/>
      <c r="H37" s="42" t="n"/>
      <c r="I37" s="43">
        <f>IF(AND(C37="",OR(E37="",E37=0)),"",(IF(E37=1,30,IF(E37=2,20,IF(E37=3,10,IF(E37&lt;&gt;"",1,0))))+IF(F37=1,30,IF(F37=2,20,IF(F37=3,10,IF(F37&lt;&gt;"",1,0))))+IF(G37=1,30,IF(G37=2,20,IF(G37=3,10,IF(G37&lt;&gt;"",1,0))))+IF(H37=1,30,IF(H37=2,20,IF(H37=3,10,IF(H37&lt;&gt;"",1,0)))))*2)</f>
        <v/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9.5" customHeight="1" s="143">
      <c r="A38" s="1" t="n"/>
      <c r="B38" s="32">
        <f>'👥 Участники'!B38</f>
        <v/>
      </c>
      <c r="C38" s="33">
        <f>'👥 Участники'!C38</f>
        <v/>
      </c>
      <c r="D38" s="34">
        <f>'👥 Участники'!D38</f>
        <v/>
      </c>
      <c r="E38" s="42" t="n"/>
      <c r="F38" s="42" t="n"/>
      <c r="G38" s="42" t="n"/>
      <c r="H38" s="42" t="n"/>
      <c r="I38" s="43">
        <f>IF(AND(C38="",OR(E38="",E38=0)),"",(IF(E38=1,30,IF(E38=2,20,IF(E38=3,10,IF(E38&lt;&gt;"",1,0))))+IF(F38=1,30,IF(F38=2,20,IF(F38=3,10,IF(F38&lt;&gt;"",1,0))))+IF(G38=1,30,IF(G38=2,20,IF(G38=3,10,IF(G38&lt;&gt;"",1,0))))+IF(H38=1,30,IF(H38=2,20,IF(H38=3,10,IF(H38&lt;&gt;"",1,0)))))*2)</f>
        <v/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9.5" customHeight="1" s="143">
      <c r="A39" s="1" t="n"/>
      <c r="B39" s="37">
        <f>'👥 Участники'!B39</f>
        <v/>
      </c>
      <c r="C39" s="38">
        <f>'👥 Участники'!C39</f>
        <v/>
      </c>
      <c r="D39" s="39">
        <f>'👥 Участники'!D39</f>
        <v/>
      </c>
      <c r="E39" s="42" t="n"/>
      <c r="F39" s="42" t="n"/>
      <c r="G39" s="42" t="n"/>
      <c r="H39" s="42" t="n"/>
      <c r="I39" s="43">
        <f>IF(AND(C39="",OR(E39="",E39=0)),"",(IF(E39=1,30,IF(E39=2,20,IF(E39=3,10,IF(E39&lt;&gt;"",1,0))))+IF(F39=1,30,IF(F39=2,20,IF(F39=3,10,IF(F39&lt;&gt;"",1,0))))+IF(G39=1,30,IF(G39=2,20,IF(G39=3,10,IF(G39&lt;&gt;"",1,0))))+IF(H39=1,30,IF(H39=2,20,IF(H39=3,10,IF(H39&lt;&gt;"",1,0)))))*2)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9.5" customHeight="1" s="143">
      <c r="A40" s="1" t="n"/>
      <c r="B40" s="32">
        <f>'👥 Участники'!B40</f>
        <v/>
      </c>
      <c r="C40" s="33">
        <f>'👥 Участники'!C40</f>
        <v/>
      </c>
      <c r="D40" s="34">
        <f>'👥 Участники'!D40</f>
        <v/>
      </c>
      <c r="E40" s="42" t="n"/>
      <c r="F40" s="42" t="n"/>
      <c r="G40" s="42" t="n"/>
      <c r="H40" s="42" t="n"/>
      <c r="I40" s="43">
        <f>IF(AND(C40="",OR(E40="",E40=0)),"",(IF(E40=1,30,IF(E40=2,20,IF(E40=3,10,IF(E40&lt;&gt;"",1,0))))+IF(F40=1,30,IF(F40=2,20,IF(F40=3,10,IF(F40&lt;&gt;"",1,0))))+IF(G40=1,30,IF(G40=2,20,IF(G40=3,10,IF(G40&lt;&gt;"",1,0))))+IF(H40=1,30,IF(H40=2,20,IF(H40=3,10,IF(H40&lt;&gt;"",1,0)))))*2)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9.5" customHeight="1" s="143">
      <c r="A41" s="1" t="n"/>
      <c r="B41" s="37">
        <f>'👥 Участники'!B41</f>
        <v/>
      </c>
      <c r="C41" s="38">
        <f>'👥 Участники'!C41</f>
        <v/>
      </c>
      <c r="D41" s="39">
        <f>'👥 Участники'!D41</f>
        <v/>
      </c>
      <c r="E41" s="42" t="n"/>
      <c r="F41" s="42" t="n"/>
      <c r="G41" s="42" t="n"/>
      <c r="H41" s="42" t="n"/>
      <c r="I41" s="43">
        <f>IF(AND(C41="",OR(E41="",E41=0)),"",(IF(E41=1,30,IF(E41=2,20,IF(E41=3,10,IF(E41&lt;&gt;"",1,0))))+IF(F41=1,30,IF(F41=2,20,IF(F41=3,10,IF(F41&lt;&gt;"",1,0))))+IF(G41=1,30,IF(G41=2,20,IF(G41=3,10,IF(G41&lt;&gt;"",1,0))))+IF(H41=1,30,IF(H41=2,20,IF(H41=3,10,IF(H41&lt;&gt;"",1,0)))))*2)</f>
        <v/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9.5" customHeight="1" s="143">
      <c r="A42" s="1" t="n"/>
      <c r="B42" s="32">
        <f>'👥 Участники'!B42</f>
        <v/>
      </c>
      <c r="C42" s="33">
        <f>'👥 Участники'!C42</f>
        <v/>
      </c>
      <c r="D42" s="34">
        <f>'👥 Участники'!D42</f>
        <v/>
      </c>
      <c r="E42" s="42" t="n"/>
      <c r="F42" s="42" t="n"/>
      <c r="G42" s="42" t="n"/>
      <c r="H42" s="42" t="n"/>
      <c r="I42" s="43">
        <f>IF(AND(C42="",OR(E42="",E42=0)),"",(IF(E42=1,30,IF(E42=2,20,IF(E42=3,10,IF(E42&lt;&gt;"",1,0))))+IF(F42=1,30,IF(F42=2,20,IF(F42=3,10,IF(F42&lt;&gt;"",1,0))))+IF(G42=1,30,IF(G42=2,20,IF(G42=3,10,IF(G42&lt;&gt;"",1,0))))+IF(H42=1,30,IF(H42=2,20,IF(H42=3,10,IF(H42&lt;&gt;"",1,0)))))*2)</f>
        <v/>
      </c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9.5" customHeight="1" s="143">
      <c r="A43" s="1" t="n"/>
      <c r="B43" s="37">
        <f>'👥 Участники'!B43</f>
        <v/>
      </c>
      <c r="C43" s="38">
        <f>'👥 Участники'!C43</f>
        <v/>
      </c>
      <c r="D43" s="39">
        <f>'👥 Участники'!D43</f>
        <v/>
      </c>
      <c r="E43" s="42" t="n"/>
      <c r="F43" s="42" t="n"/>
      <c r="G43" s="42" t="n"/>
      <c r="H43" s="42" t="n"/>
      <c r="I43" s="43">
        <f>IF(AND(C43="",OR(E43="",E43=0)),"",(IF(E43=1,30,IF(E43=2,20,IF(E43=3,10,IF(E43&lt;&gt;"",1,0))))+IF(F43=1,30,IF(F43=2,20,IF(F43=3,10,IF(F43&lt;&gt;"",1,0))))+IF(G43=1,30,IF(G43=2,20,IF(G43=3,10,IF(G43&lt;&gt;"",1,0))))+IF(H43=1,30,IF(H43=2,20,IF(H43=3,10,IF(H43&lt;&gt;"",1,0)))))*2)</f>
        <v/>
      </c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9.5" customHeight="1" s="143">
      <c r="A44" s="1" t="n"/>
      <c r="B44" s="32">
        <f>'👥 Участники'!B44</f>
        <v/>
      </c>
      <c r="C44" s="33">
        <f>'👥 Участники'!C44</f>
        <v/>
      </c>
      <c r="D44" s="34">
        <f>'👥 Участники'!D44</f>
        <v/>
      </c>
      <c r="E44" s="42" t="n"/>
      <c r="F44" s="42" t="n"/>
      <c r="G44" s="42" t="n"/>
      <c r="H44" s="42" t="n"/>
      <c r="I44" s="43">
        <f>IF(AND(C44="",OR(E44="",E44=0)),"",(IF(E44=1,30,IF(E44=2,20,IF(E44=3,10,IF(E44&lt;&gt;"",1,0))))+IF(F44=1,30,IF(F44=2,20,IF(F44=3,10,IF(F44&lt;&gt;"",1,0))))+IF(G44=1,30,IF(G44=2,20,IF(G44=3,10,IF(G44&lt;&gt;"",1,0))))+IF(H44=1,30,IF(H44=2,20,IF(H44=3,10,IF(H44&lt;&gt;"",1,0)))))*2)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9.5" customHeight="1" s="143">
      <c r="A45" s="1" t="n"/>
      <c r="B45" s="37">
        <f>'👥 Участники'!B45</f>
        <v/>
      </c>
      <c r="C45" s="38">
        <f>'👥 Участники'!C45</f>
        <v/>
      </c>
      <c r="D45" s="39">
        <f>'👥 Участники'!D45</f>
        <v/>
      </c>
      <c r="E45" s="42" t="n"/>
      <c r="F45" s="42" t="n"/>
      <c r="G45" s="42" t="n"/>
      <c r="H45" s="42" t="n"/>
      <c r="I45" s="43">
        <f>IF(AND(C45="",OR(E45="",E45=0)),"",(IF(E45=1,30,IF(E45=2,20,IF(E45=3,10,IF(E45&lt;&gt;"",1,0))))+IF(F45=1,30,IF(F45=2,20,IF(F45=3,10,IF(F45&lt;&gt;"",1,0))))+IF(G45=1,30,IF(G45=2,20,IF(G45=3,10,IF(G45&lt;&gt;"",1,0))))+IF(H45=1,30,IF(H45=2,20,IF(H45=3,10,IF(H45&lt;&gt;"",1,0)))))*2)</f>
        <v/>
      </c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9.5" customHeight="1" s="143">
      <c r="A46" s="1" t="n"/>
      <c r="B46" s="32">
        <f>'👥 Участники'!B46</f>
        <v/>
      </c>
      <c r="C46" s="33">
        <f>'👥 Участники'!C46</f>
        <v/>
      </c>
      <c r="D46" s="34">
        <f>'👥 Участники'!D46</f>
        <v/>
      </c>
      <c r="E46" s="42" t="n"/>
      <c r="F46" s="42" t="n"/>
      <c r="G46" s="42" t="n"/>
      <c r="H46" s="42" t="n"/>
      <c r="I46" s="43">
        <f>IF(AND(C46="",OR(E46="",E46=0)),"",(IF(E46=1,30,IF(E46=2,20,IF(E46=3,10,IF(E46&lt;&gt;"",1,0))))+IF(F46=1,30,IF(F46=2,20,IF(F46=3,10,IF(F46&lt;&gt;"",1,0))))+IF(G46=1,30,IF(G46=2,20,IF(G46=3,10,IF(G46&lt;&gt;"",1,0))))+IF(H46=1,30,IF(H46=2,20,IF(H46=3,10,IF(H46&lt;&gt;"",1,0)))))*2)</f>
        <v/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9.5" customHeight="1" s="143">
      <c r="A47" s="1" t="n"/>
      <c r="B47" s="37">
        <f>'👥 Участники'!B47</f>
        <v/>
      </c>
      <c r="C47" s="38">
        <f>'👥 Участники'!C47</f>
        <v/>
      </c>
      <c r="D47" s="39">
        <f>'👥 Участники'!D47</f>
        <v/>
      </c>
      <c r="E47" s="42" t="n"/>
      <c r="F47" s="42" t="n"/>
      <c r="G47" s="42" t="n"/>
      <c r="H47" s="42" t="n"/>
      <c r="I47" s="43">
        <f>IF(AND(C47="",OR(E47="",E47=0)),"",(IF(E47=1,30,IF(E47=2,20,IF(E47=3,10,IF(E47&lt;&gt;"",1,0))))+IF(F47=1,30,IF(F47=2,20,IF(F47=3,10,IF(F47&lt;&gt;"",1,0))))+IF(G47=1,30,IF(G47=2,20,IF(G47=3,10,IF(G47&lt;&gt;"",1,0))))+IF(H47=1,30,IF(H47=2,20,IF(H47=3,10,IF(H47&lt;&gt;"",1,0)))))*2)</f>
        <v/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9.5" customHeight="1" s="143">
      <c r="A48" s="1" t="n"/>
      <c r="B48" s="32">
        <f>'👥 Участники'!B48</f>
        <v/>
      </c>
      <c r="C48" s="33">
        <f>'👥 Участники'!C48</f>
        <v/>
      </c>
      <c r="D48" s="34">
        <f>'👥 Участники'!D48</f>
        <v/>
      </c>
      <c r="E48" s="42" t="n"/>
      <c r="F48" s="42" t="n"/>
      <c r="G48" s="42" t="n"/>
      <c r="H48" s="42" t="n"/>
      <c r="I48" s="43">
        <f>IF(AND(C48="",OR(E48="",E48=0)),"",(IF(E48=1,30,IF(E48=2,20,IF(E48=3,10,IF(E48&lt;&gt;"",1,0))))+IF(F48=1,30,IF(F48=2,20,IF(F48=3,10,IF(F48&lt;&gt;"",1,0))))+IF(G48=1,30,IF(G48=2,20,IF(G48=3,10,IF(G48&lt;&gt;"",1,0))))+IF(H48=1,30,IF(H48=2,20,IF(H48=3,10,IF(H48&lt;&gt;"",1,0)))))*2)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9.5" customHeight="1" s="143">
      <c r="A49" s="1" t="n"/>
      <c r="B49" s="37">
        <f>'👥 Участники'!B49</f>
        <v/>
      </c>
      <c r="C49" s="38">
        <f>'👥 Участники'!C49</f>
        <v/>
      </c>
      <c r="D49" s="39">
        <f>'👥 Участники'!D49</f>
        <v/>
      </c>
      <c r="E49" s="42" t="n"/>
      <c r="F49" s="42" t="n"/>
      <c r="G49" s="42" t="n"/>
      <c r="H49" s="42" t="n"/>
      <c r="I49" s="43">
        <f>IF(AND(C49="",OR(E49="",E49=0)),"",(IF(E49=1,30,IF(E49=2,20,IF(E49=3,10,IF(E49&lt;&gt;"",1,0))))+IF(F49=1,30,IF(F49=2,20,IF(F49=3,10,IF(F49&lt;&gt;"",1,0))))+IF(G49=1,30,IF(G49=2,20,IF(G49=3,10,IF(G49&lt;&gt;"",1,0))))+IF(H49=1,30,IF(H49=2,20,IF(H49=3,10,IF(H49&lt;&gt;"",1,0)))))*2)</f>
        <v/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9.5" customHeight="1" s="143">
      <c r="A50" s="1" t="n"/>
      <c r="B50" s="32">
        <f>'👥 Участники'!B50</f>
        <v/>
      </c>
      <c r="C50" s="33">
        <f>'👥 Участники'!C50</f>
        <v/>
      </c>
      <c r="D50" s="34">
        <f>'👥 Участники'!D50</f>
        <v/>
      </c>
      <c r="E50" s="42" t="n"/>
      <c r="F50" s="42" t="n"/>
      <c r="G50" s="42" t="n"/>
      <c r="H50" s="42" t="n"/>
      <c r="I50" s="43">
        <f>IF(AND(C50="",OR(E50="",E50=0)),"",(IF(E50=1,30,IF(E50=2,20,IF(E50=3,10,IF(E50&lt;&gt;"",1,0))))+IF(F50=1,30,IF(F50=2,20,IF(F50=3,10,IF(F50&lt;&gt;"",1,0))))+IF(G50=1,30,IF(G50=2,20,IF(G50=3,10,IF(G50&lt;&gt;"",1,0))))+IF(H50=1,30,IF(H50=2,20,IF(H50=3,10,IF(H50&lt;&gt;"",1,0)))))*2)</f>
        <v/>
      </c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9.5" customHeight="1" s="143">
      <c r="A51" s="1" t="n"/>
      <c r="B51" s="37">
        <f>'👥 Участники'!B51</f>
        <v/>
      </c>
      <c r="C51" s="38">
        <f>'👥 Участники'!C51</f>
        <v/>
      </c>
      <c r="D51" s="39">
        <f>'👥 Участники'!D51</f>
        <v/>
      </c>
      <c r="E51" s="42" t="n"/>
      <c r="F51" s="42" t="n"/>
      <c r="G51" s="42" t="n"/>
      <c r="H51" s="42" t="n"/>
      <c r="I51" s="43">
        <f>IF(AND(C51="",OR(E51="",E51=0)),"",(IF(E51=1,30,IF(E51=2,20,IF(E51=3,10,IF(E51&lt;&gt;"",1,0))))+IF(F51=1,30,IF(F51=2,20,IF(F51=3,10,IF(F51&lt;&gt;"",1,0))))+IF(G51=1,30,IF(G51=2,20,IF(G51=3,10,IF(G51&lt;&gt;"",1,0))))+IF(H51=1,30,IF(H51=2,20,IF(H51=3,10,IF(H51&lt;&gt;"",1,0)))))*2)</f>
        <v/>
      </c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9.5" customHeight="1" s="143">
      <c r="A52" s="1" t="n"/>
      <c r="B52" s="32">
        <f>'👥 Участники'!B52</f>
        <v/>
      </c>
      <c r="C52" s="33">
        <f>'👥 Участники'!C52</f>
        <v/>
      </c>
      <c r="D52" s="34">
        <f>'👥 Участники'!D52</f>
        <v/>
      </c>
      <c r="E52" s="42" t="n"/>
      <c r="F52" s="42" t="n"/>
      <c r="G52" s="42" t="n"/>
      <c r="H52" s="42" t="n"/>
      <c r="I52" s="43">
        <f>IF(AND(C52="",OR(E52="",E52=0)),"",(IF(E52=1,30,IF(E52=2,20,IF(E52=3,10,IF(E52&lt;&gt;"",1,0))))+IF(F52=1,30,IF(F52=2,20,IF(F52=3,10,IF(F52&lt;&gt;"",1,0))))+IF(G52=1,30,IF(G52=2,20,IF(G52=3,10,IF(G52&lt;&gt;"",1,0))))+IF(H52=1,30,IF(H52=2,20,IF(H52=3,10,IF(H52&lt;&gt;"",1,0)))))*2)</f>
        <v/>
      </c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9.5" customHeight="1" s="143">
      <c r="A53" s="1" t="n"/>
      <c r="B53" s="37">
        <f>'👥 Участники'!B53</f>
        <v/>
      </c>
      <c r="C53" s="38">
        <f>'👥 Участники'!C53</f>
        <v/>
      </c>
      <c r="D53" s="39">
        <f>'👥 Участники'!D53</f>
        <v/>
      </c>
      <c r="E53" s="42" t="n"/>
      <c r="F53" s="42" t="n"/>
      <c r="G53" s="42" t="n"/>
      <c r="H53" s="42" t="n"/>
      <c r="I53" s="43">
        <f>IF(AND(C53="",OR(E53="",E53=0)),"",(IF(E53=1,30,IF(E53=2,20,IF(E53=3,10,IF(E53&lt;&gt;"",1,0))))+IF(F53=1,30,IF(F53=2,20,IF(F53=3,10,IF(F53&lt;&gt;"",1,0))))+IF(G53=1,30,IF(G53=2,20,IF(G53=3,10,IF(G53&lt;&gt;"",1,0))))+IF(H53=1,30,IF(H53=2,20,IF(H53=3,10,IF(H53&lt;&gt;"",1,0)))))*2)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9.5" customHeight="1" s="143">
      <c r="A54" s="1" t="n"/>
      <c r="B54" s="32">
        <f>'👥 Участники'!B54</f>
        <v/>
      </c>
      <c r="C54" s="33">
        <f>'👥 Участники'!C54</f>
        <v/>
      </c>
      <c r="D54" s="34">
        <f>'👥 Участники'!D54</f>
        <v/>
      </c>
      <c r="E54" s="42" t="n"/>
      <c r="F54" s="42" t="n"/>
      <c r="G54" s="42" t="n"/>
      <c r="H54" s="42" t="n"/>
      <c r="I54" s="43">
        <f>IF(AND(C54="",OR(E54="",E54=0)),"",(IF(E54=1,30,IF(E54=2,20,IF(E54=3,10,IF(E54&lt;&gt;"",1,0))))+IF(F54=1,30,IF(F54=2,20,IF(F54=3,10,IF(F54&lt;&gt;"",1,0))))+IF(G54=1,30,IF(G54=2,20,IF(G54=3,10,IF(G54&lt;&gt;"",1,0))))+IF(H54=1,30,IF(H54=2,20,IF(H54=3,10,IF(H54&lt;&gt;"",1,0)))))*2)</f>
        <v/>
      </c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9.5" customHeight="1" s="143">
      <c r="A55" s="1" t="n"/>
      <c r="B55" s="37">
        <f>'👥 Участники'!B55</f>
        <v/>
      </c>
      <c r="C55" s="38">
        <f>'👥 Участники'!C55</f>
        <v/>
      </c>
      <c r="D55" s="39">
        <f>'👥 Участники'!D55</f>
        <v/>
      </c>
      <c r="E55" s="42" t="n"/>
      <c r="F55" s="42" t="n"/>
      <c r="G55" s="42" t="n"/>
      <c r="H55" s="42" t="n"/>
      <c r="I55" s="43">
        <f>IF(AND(C55="",OR(E55="",E55=0)),"",(IF(E55=1,30,IF(E55=2,20,IF(E55=3,10,IF(E55&lt;&gt;"",1,0))))+IF(F55=1,30,IF(F55=2,20,IF(F55=3,10,IF(F55&lt;&gt;"",1,0))))+IF(G55=1,30,IF(G55=2,20,IF(G55=3,10,IF(G55&lt;&gt;"",1,0))))+IF(H55=1,30,IF(H55=2,20,IF(H55=3,10,IF(H55&lt;&gt;"",1,0)))))*2)</f>
        <v/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9.5" customHeight="1" s="143">
      <c r="A56" s="1" t="n"/>
      <c r="B56" s="32">
        <f>'👥 Участники'!B56</f>
        <v/>
      </c>
      <c r="C56" s="33">
        <f>'👥 Участники'!C56</f>
        <v/>
      </c>
      <c r="D56" s="34">
        <f>'👥 Участники'!D56</f>
        <v/>
      </c>
      <c r="E56" s="42" t="n"/>
      <c r="F56" s="42" t="n"/>
      <c r="G56" s="42" t="n"/>
      <c r="H56" s="42" t="n"/>
      <c r="I56" s="43">
        <f>IF(AND(C56="",OR(E56="",E56=0)),"",(IF(E56=1,30,IF(E56=2,20,IF(E56=3,10,IF(E56&lt;&gt;"",1,0))))+IF(F56=1,30,IF(F56=2,20,IF(F56=3,10,IF(F56&lt;&gt;"",1,0))))+IF(G56=1,30,IF(G56=2,20,IF(G56=3,10,IF(G56&lt;&gt;"",1,0))))+IF(H56=1,30,IF(H56=2,20,IF(H56=3,10,IF(H56&lt;&gt;"",1,0)))))*2)</f>
        <v/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9.5" customHeight="1" s="143">
      <c r="A57" s="1" t="n"/>
      <c r="B57" s="37">
        <f>'👥 Участники'!B57</f>
        <v/>
      </c>
      <c r="C57" s="38">
        <f>'👥 Участники'!C57</f>
        <v/>
      </c>
      <c r="D57" s="39">
        <f>'👥 Участники'!D57</f>
        <v/>
      </c>
      <c r="E57" s="42" t="n"/>
      <c r="F57" s="42" t="n"/>
      <c r="G57" s="42" t="n"/>
      <c r="H57" s="42" t="n"/>
      <c r="I57" s="43">
        <f>IF(AND(C57="",OR(E57="",E57=0)),"",(IF(E57=1,30,IF(E57=2,20,IF(E57=3,10,IF(E57&lt;&gt;"",1,0))))+IF(F57=1,30,IF(F57=2,20,IF(F57=3,10,IF(F57&lt;&gt;"",1,0))))+IF(G57=1,30,IF(G57=2,20,IF(G57=3,10,IF(G57&lt;&gt;"",1,0))))+IF(H57=1,30,IF(H57=2,20,IF(H57=3,10,IF(H57&lt;&gt;"",1,0)))))*2)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9.5" customHeight="1" s="143">
      <c r="A58" s="1" t="n"/>
      <c r="B58" s="32">
        <f>'👥 Участники'!B58</f>
        <v/>
      </c>
      <c r="C58" s="33">
        <f>'👥 Участники'!C58</f>
        <v/>
      </c>
      <c r="D58" s="34">
        <f>'👥 Участники'!D58</f>
        <v/>
      </c>
      <c r="E58" s="42" t="n"/>
      <c r="F58" s="42" t="n"/>
      <c r="G58" s="42" t="n"/>
      <c r="H58" s="42" t="n"/>
      <c r="I58" s="43">
        <f>IF(AND(C58="",OR(E58="",E58=0)),"",(IF(E58=1,30,IF(E58=2,20,IF(E58=3,10,IF(E58&lt;&gt;"",1,0))))+IF(F58=1,30,IF(F58=2,20,IF(F58=3,10,IF(F58&lt;&gt;"",1,0))))+IF(G58=1,30,IF(G58=2,20,IF(G58=3,10,IF(G58&lt;&gt;"",1,0))))+IF(H58=1,30,IF(H58=2,20,IF(H58=3,10,IF(H58&lt;&gt;"",1,0)))))*2)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9.5" customHeight="1" s="143">
      <c r="A59" s="1" t="n"/>
      <c r="B59" s="37">
        <f>'👥 Участники'!B59</f>
        <v/>
      </c>
      <c r="C59" s="38">
        <f>'👥 Участники'!C59</f>
        <v/>
      </c>
      <c r="D59" s="39">
        <f>'👥 Участники'!D59</f>
        <v/>
      </c>
      <c r="E59" s="42" t="n"/>
      <c r="F59" s="42" t="n"/>
      <c r="G59" s="42" t="n"/>
      <c r="H59" s="42" t="n"/>
      <c r="I59" s="43">
        <f>IF(AND(C59="",OR(E59="",E59=0)),"",(IF(E59=1,30,IF(E59=2,20,IF(E59=3,10,IF(E59&lt;&gt;"",1,0))))+IF(F59=1,30,IF(F59=2,20,IF(F59=3,10,IF(F59&lt;&gt;"",1,0))))+IF(G59=1,30,IF(G59=2,20,IF(G59=3,10,IF(G59&lt;&gt;"",1,0))))+IF(H59=1,30,IF(H59=2,20,IF(H59=3,10,IF(H59&lt;&gt;"",1,0)))))*2)</f>
        <v/>
      </c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9.5" customHeight="1" s="143">
      <c r="A60" s="1" t="n"/>
      <c r="B60" s="32">
        <f>'👥 Участники'!B60</f>
        <v/>
      </c>
      <c r="C60" s="33">
        <f>'👥 Участники'!C60</f>
        <v/>
      </c>
      <c r="D60" s="34">
        <f>'👥 Участники'!D60</f>
        <v/>
      </c>
      <c r="E60" s="42" t="n"/>
      <c r="F60" s="42" t="n"/>
      <c r="G60" s="42" t="n"/>
      <c r="H60" s="42" t="n"/>
      <c r="I60" s="43">
        <f>IF(AND(C60="",OR(E60="",E60=0)),"",(IF(E60=1,30,IF(E60=2,20,IF(E60=3,10,IF(E60&lt;&gt;"",1,0))))+IF(F60=1,30,IF(F60=2,20,IF(F60=3,10,IF(F60&lt;&gt;"",1,0))))+IF(G60=1,30,IF(G60=2,20,IF(G60=3,10,IF(G60&lt;&gt;"",1,0))))+IF(H60=1,30,IF(H60=2,20,IF(H60=3,10,IF(H60&lt;&gt;"",1,0)))))*2)</f>
        <v/>
      </c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143">
      <c r="A61" s="1" t="n"/>
      <c r="B61" s="37">
        <f>'👥 Участники'!B61</f>
        <v/>
      </c>
      <c r="C61" s="38">
        <f>'👥 Участники'!C61</f>
        <v/>
      </c>
      <c r="D61" s="39">
        <f>'👥 Участники'!D61</f>
        <v/>
      </c>
      <c r="E61" s="42" t="n"/>
      <c r="F61" s="42" t="n"/>
      <c r="G61" s="42" t="n"/>
      <c r="H61" s="42" t="n"/>
      <c r="I61" s="43">
        <f>IF(AND(C61="",OR(E61="",E61=0)),"",(IF(E61=1,30,IF(E61=2,20,IF(E61=3,10,IF(E61&lt;&gt;"",1,0))))+IF(F61=1,30,IF(F61=2,20,IF(F61=3,10,IF(F61&lt;&gt;"",1,0))))+IF(G61=1,30,IF(G61=2,20,IF(G61=3,10,IF(G61&lt;&gt;"",1,0))))+IF(H61=1,30,IF(H61=2,20,IF(H61=3,10,IF(H61&lt;&gt;"",1,0)))))*2)</f>
        <v/>
      </c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9.5" customHeight="1" s="143">
      <c r="A62" s="1" t="n"/>
      <c r="B62" s="32">
        <f>'👥 Участники'!B62</f>
        <v/>
      </c>
      <c r="C62" s="33">
        <f>'👥 Участники'!C62</f>
        <v/>
      </c>
      <c r="D62" s="34">
        <f>'👥 Участники'!D62</f>
        <v/>
      </c>
      <c r="E62" s="42" t="n"/>
      <c r="F62" s="42" t="n"/>
      <c r="G62" s="42" t="n"/>
      <c r="H62" s="42" t="n"/>
      <c r="I62" s="43">
        <f>IF(AND(C62="",OR(E62="",E62=0)),"",(IF(E62=1,30,IF(E62=2,20,IF(E62=3,10,IF(E62&lt;&gt;"",1,0))))+IF(F62=1,30,IF(F62=2,20,IF(F62=3,10,IF(F62&lt;&gt;"",1,0))))+IF(G62=1,30,IF(G62=2,20,IF(G62=3,10,IF(G62&lt;&gt;"",1,0))))+IF(H62=1,30,IF(H62=2,20,IF(H62=3,10,IF(H62&lt;&gt;"",1,0)))))*2)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9.5" customHeight="1" s="143">
      <c r="A63" s="1" t="n"/>
      <c r="B63" s="37">
        <f>'👥 Участники'!B63</f>
        <v/>
      </c>
      <c r="C63" s="38">
        <f>'👥 Участники'!C63</f>
        <v/>
      </c>
      <c r="D63" s="39">
        <f>'👥 Участники'!D63</f>
        <v/>
      </c>
      <c r="E63" s="42" t="n"/>
      <c r="F63" s="42" t="n"/>
      <c r="G63" s="42" t="n"/>
      <c r="H63" s="42" t="n"/>
      <c r="I63" s="43">
        <f>IF(AND(C63="",OR(E63="",E63=0)),"",(IF(E63=1,30,IF(E63=2,20,IF(E63=3,10,IF(E63&lt;&gt;"",1,0))))+IF(F63=1,30,IF(F63=2,20,IF(F63=3,10,IF(F63&lt;&gt;"",1,0))))+IF(G63=1,30,IF(G63=2,20,IF(G63=3,10,IF(G63&lt;&gt;"",1,0))))+IF(H63=1,30,IF(H63=2,20,IF(H63=3,10,IF(H63&lt;&gt;"",1,0)))))*2)</f>
        <v/>
      </c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9.5" customHeight="1" s="143">
      <c r="A64" s="1" t="n"/>
      <c r="B64" s="32">
        <f>'👥 Участники'!B64</f>
        <v/>
      </c>
      <c r="C64" s="33">
        <f>'👥 Участники'!C64</f>
        <v/>
      </c>
      <c r="D64" s="34">
        <f>'👥 Участники'!D64</f>
        <v/>
      </c>
      <c r="E64" s="42" t="n"/>
      <c r="F64" s="42" t="n"/>
      <c r="G64" s="42" t="n"/>
      <c r="H64" s="42" t="n"/>
      <c r="I64" s="43">
        <f>IF(AND(C64="",OR(E64="",E64=0)),"",(IF(E64=1,30,IF(E64=2,20,IF(E64=3,10,IF(E64&lt;&gt;"",1,0))))+IF(F64=1,30,IF(F64=2,20,IF(F64=3,10,IF(F64&lt;&gt;"",1,0))))+IF(G64=1,30,IF(G64=2,20,IF(G64=3,10,IF(G64&lt;&gt;"",1,0))))+IF(H64=1,30,IF(H64=2,20,IF(H64=3,10,IF(H64&lt;&gt;"",1,0)))))*2)</f>
        <v/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9.5" customHeight="1" s="143">
      <c r="A65" s="1" t="n"/>
      <c r="B65" s="37">
        <f>'👥 Участники'!B65</f>
        <v/>
      </c>
      <c r="C65" s="38">
        <f>'👥 Участники'!C65</f>
        <v/>
      </c>
      <c r="D65" s="39">
        <f>'👥 Участники'!D65</f>
        <v/>
      </c>
      <c r="E65" s="42" t="n"/>
      <c r="F65" s="42" t="n"/>
      <c r="G65" s="42" t="n"/>
      <c r="H65" s="42" t="n"/>
      <c r="I65" s="43">
        <f>IF(AND(C65="",OR(E65="",E65=0)),"",(IF(E65=1,30,IF(E65=2,20,IF(E65=3,10,IF(E65&lt;&gt;"",1,0))))+IF(F65=1,30,IF(F65=2,20,IF(F65=3,10,IF(F65&lt;&gt;"",1,0))))+IF(G65=1,30,IF(G65=2,20,IF(G65=3,10,IF(G65&lt;&gt;"",1,0))))+IF(H65=1,30,IF(H65=2,20,IF(H65=3,10,IF(H65&lt;&gt;"",1,0)))))*2)</f>
        <v/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9.5" customHeight="1" s="143">
      <c r="A66" s="1" t="n"/>
      <c r="B66" s="32">
        <f>'👥 Участники'!B66</f>
        <v/>
      </c>
      <c r="C66" s="33">
        <f>'👥 Участники'!C66</f>
        <v/>
      </c>
      <c r="D66" s="34">
        <f>'👥 Участники'!D66</f>
        <v/>
      </c>
      <c r="E66" s="42" t="n"/>
      <c r="F66" s="42" t="n"/>
      <c r="G66" s="42" t="n"/>
      <c r="H66" s="42" t="n"/>
      <c r="I66" s="43">
        <f>IF(AND(C66="",OR(E66="",E66=0)),"",(IF(E66=1,30,IF(E66=2,20,IF(E66=3,10,IF(E66&lt;&gt;"",1,0))))+IF(F66=1,30,IF(F66=2,20,IF(F66=3,10,IF(F66&lt;&gt;"",1,0))))+IF(G66=1,30,IF(G66=2,20,IF(G66=3,10,IF(G66&lt;&gt;"",1,0))))+IF(H66=1,30,IF(H66=2,20,IF(H66=3,10,IF(H66&lt;&gt;"",1,0)))))*2)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9.5" customHeight="1" s="143">
      <c r="A67" s="1" t="n"/>
      <c r="B67" s="37">
        <f>'👥 Участники'!B67</f>
        <v/>
      </c>
      <c r="C67" s="38">
        <f>'👥 Участники'!C67</f>
        <v/>
      </c>
      <c r="D67" s="39">
        <f>'👥 Участники'!D67</f>
        <v/>
      </c>
      <c r="E67" s="42" t="n"/>
      <c r="F67" s="42" t="n"/>
      <c r="G67" s="42" t="n"/>
      <c r="H67" s="42" t="n"/>
      <c r="I67" s="43">
        <f>IF(AND(C67="",OR(E67="",E67=0)),"",(IF(E67=1,30,IF(E67=2,20,IF(E67=3,10,IF(E67&lt;&gt;"",1,0))))+IF(F67=1,30,IF(F67=2,20,IF(F67=3,10,IF(F67&lt;&gt;"",1,0))))+IF(G67=1,30,IF(G67=2,20,IF(G67=3,10,IF(G67&lt;&gt;"",1,0))))+IF(H67=1,30,IF(H67=2,20,IF(H67=3,10,IF(H67&lt;&gt;"",1,0)))))*2)</f>
        <v/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9.5" customHeight="1" s="143">
      <c r="A68" s="1" t="n"/>
      <c r="B68" s="32">
        <f>'👥 Участники'!B68</f>
        <v/>
      </c>
      <c r="C68" s="33">
        <f>'👥 Участники'!C68</f>
        <v/>
      </c>
      <c r="D68" s="34">
        <f>'👥 Участники'!D68</f>
        <v/>
      </c>
      <c r="E68" s="42" t="n"/>
      <c r="F68" s="42" t="n"/>
      <c r="G68" s="42" t="n"/>
      <c r="H68" s="42" t="n"/>
      <c r="I68" s="43">
        <f>IF(AND(C68="",OR(E68="",E68=0)),"",(IF(E68=1,30,IF(E68=2,20,IF(E68=3,10,IF(E68&lt;&gt;"",1,0))))+IF(F68=1,30,IF(F68=2,20,IF(F68=3,10,IF(F68&lt;&gt;"",1,0))))+IF(G68=1,30,IF(G68=2,20,IF(G68=3,10,IF(G68&lt;&gt;"",1,0))))+IF(H68=1,30,IF(H68=2,20,IF(H68=3,10,IF(H68&lt;&gt;"",1,0)))))*2)</f>
        <v/>
      </c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9.5" customHeight="1" s="143">
      <c r="A69" s="1" t="n"/>
      <c r="B69" s="37">
        <f>'👥 Участники'!B69</f>
        <v/>
      </c>
      <c r="C69" s="38">
        <f>'👥 Участники'!C69</f>
        <v/>
      </c>
      <c r="D69" s="39">
        <f>'👥 Участники'!D69</f>
        <v/>
      </c>
      <c r="E69" s="42" t="n"/>
      <c r="F69" s="42" t="n"/>
      <c r="G69" s="42" t="n"/>
      <c r="H69" s="42" t="n"/>
      <c r="I69" s="43">
        <f>IF(AND(C69="",OR(E69="",E69=0)),"",(IF(E69=1,30,IF(E69=2,20,IF(E69=3,10,IF(E69&lt;&gt;"",1,0))))+IF(F69=1,30,IF(F69=2,20,IF(F69=3,10,IF(F69&lt;&gt;"",1,0))))+IF(G69=1,30,IF(G69=2,20,IF(G69=3,10,IF(G69&lt;&gt;"",1,0))))+IF(H69=1,30,IF(H69=2,20,IF(H69=3,10,IF(H69&lt;&gt;"",1,0)))))*2)</f>
        <v/>
      </c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9.5" customHeight="1" s="143">
      <c r="A70" s="1" t="n"/>
      <c r="B70" s="32">
        <f>'👥 Участники'!B70</f>
        <v/>
      </c>
      <c r="C70" s="33">
        <f>'👥 Участники'!C70</f>
        <v/>
      </c>
      <c r="D70" s="34">
        <f>'👥 Участники'!D70</f>
        <v/>
      </c>
      <c r="E70" s="42" t="n"/>
      <c r="F70" s="42" t="n"/>
      <c r="G70" s="42" t="n"/>
      <c r="H70" s="42" t="n"/>
      <c r="I70" s="43">
        <f>IF(AND(C70="",OR(E70="",E70=0)),"",(IF(E70=1,30,IF(E70=2,20,IF(E70=3,10,IF(E70&lt;&gt;"",1,0))))+IF(F70=1,30,IF(F70=2,20,IF(F70=3,10,IF(F70&lt;&gt;"",1,0))))+IF(G70=1,30,IF(G70=2,20,IF(G70=3,10,IF(G70&lt;&gt;"",1,0))))+IF(H70=1,30,IF(H70=2,20,IF(H70=3,10,IF(H70&lt;&gt;"",1,0)))))*2)</f>
        <v/>
      </c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9.5" customHeight="1" s="143">
      <c r="A71" s="1" t="n"/>
      <c r="B71" s="37">
        <f>'👥 Участники'!B71</f>
        <v/>
      </c>
      <c r="C71" s="38">
        <f>'👥 Участники'!C71</f>
        <v/>
      </c>
      <c r="D71" s="39">
        <f>'👥 Участники'!D71</f>
        <v/>
      </c>
      <c r="E71" s="42" t="n"/>
      <c r="F71" s="42" t="n"/>
      <c r="G71" s="42" t="n"/>
      <c r="H71" s="42" t="n"/>
      <c r="I71" s="43">
        <f>IF(AND(C71="",OR(E71="",E71=0)),"",(IF(E71=1,30,IF(E71=2,20,IF(E71=3,10,IF(E71&lt;&gt;"",1,0))))+IF(F71=1,30,IF(F71=2,20,IF(F71=3,10,IF(F71&lt;&gt;"",1,0))))+IF(G71=1,30,IF(G71=2,20,IF(G71=3,10,IF(G71&lt;&gt;"",1,0))))+IF(H71=1,30,IF(H71=2,20,IF(H71=3,10,IF(H71&lt;&gt;"",1,0)))))*2)</f>
        <v/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9.5" customHeight="1" s="143">
      <c r="A72" s="1" t="n"/>
      <c r="B72" s="32">
        <f>'👥 Участники'!B72</f>
        <v/>
      </c>
      <c r="C72" s="33">
        <f>'👥 Участники'!C72</f>
        <v/>
      </c>
      <c r="D72" s="34">
        <f>'👥 Участники'!D72</f>
        <v/>
      </c>
      <c r="E72" s="42" t="n"/>
      <c r="F72" s="42" t="n"/>
      <c r="G72" s="42" t="n"/>
      <c r="H72" s="42" t="n"/>
      <c r="I72" s="43">
        <f>IF(AND(C72="",OR(E72="",E72=0)),"",(IF(E72=1,30,IF(E72=2,20,IF(E72=3,10,IF(E72&lt;&gt;"",1,0))))+IF(F72=1,30,IF(F72=2,20,IF(F72=3,10,IF(F72&lt;&gt;"",1,0))))+IF(G72=1,30,IF(G72=2,20,IF(G72=3,10,IF(G72&lt;&gt;"",1,0))))+IF(H72=1,30,IF(H72=2,20,IF(H72=3,10,IF(H72&lt;&gt;"",1,0)))))*2)</f>
        <v/>
      </c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9.5" customHeight="1" s="143">
      <c r="A73" s="1" t="n"/>
      <c r="B73" s="37">
        <f>'👥 Участники'!B73</f>
        <v/>
      </c>
      <c r="C73" s="38">
        <f>'👥 Участники'!C73</f>
        <v/>
      </c>
      <c r="D73" s="39">
        <f>'👥 Участники'!D73</f>
        <v/>
      </c>
      <c r="E73" s="42" t="n"/>
      <c r="F73" s="42" t="n"/>
      <c r="G73" s="42" t="n"/>
      <c r="H73" s="42" t="n"/>
      <c r="I73" s="43">
        <f>IF(AND(C73="",OR(E73="",E73=0)),"",(IF(E73=1,30,IF(E73=2,20,IF(E73=3,10,IF(E73&lt;&gt;"",1,0))))+IF(F73=1,30,IF(F73=2,20,IF(F73=3,10,IF(F73&lt;&gt;"",1,0))))+IF(G73=1,30,IF(G73=2,20,IF(G73=3,10,IF(G73&lt;&gt;"",1,0))))+IF(H73=1,30,IF(H73=2,20,IF(H73=3,10,IF(H73&lt;&gt;"",1,0)))))*2)</f>
        <v/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9.5" customHeight="1" s="143">
      <c r="A74" s="1" t="n"/>
      <c r="B74" s="32">
        <f>'👥 Участники'!B74</f>
        <v/>
      </c>
      <c r="C74" s="33">
        <f>'👥 Участники'!C74</f>
        <v/>
      </c>
      <c r="D74" s="34">
        <f>'👥 Участники'!D74</f>
        <v/>
      </c>
      <c r="E74" s="42" t="n"/>
      <c r="F74" s="42" t="n"/>
      <c r="G74" s="42" t="n"/>
      <c r="H74" s="42" t="n"/>
      <c r="I74" s="43">
        <f>IF(AND(C74="",OR(E74="",E74=0)),"",(IF(E74=1,30,IF(E74=2,20,IF(E74=3,10,IF(E74&lt;&gt;"",1,0))))+IF(F74=1,30,IF(F74=2,20,IF(F74=3,10,IF(F74&lt;&gt;"",1,0))))+IF(G74=1,30,IF(G74=2,20,IF(G74=3,10,IF(G74&lt;&gt;"",1,0))))+IF(H74=1,30,IF(H74=2,20,IF(H74=3,10,IF(H74&lt;&gt;"",1,0)))))*2)</f>
        <v/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9.5" customHeight="1" s="143">
      <c r="A75" s="1" t="n"/>
      <c r="B75" s="37">
        <f>'👥 Участники'!B75</f>
        <v/>
      </c>
      <c r="C75" s="38">
        <f>'👥 Участники'!C75</f>
        <v/>
      </c>
      <c r="D75" s="39">
        <f>'👥 Участники'!D75</f>
        <v/>
      </c>
      <c r="E75" s="42" t="n"/>
      <c r="F75" s="42" t="n"/>
      <c r="G75" s="42" t="n"/>
      <c r="H75" s="42" t="n"/>
      <c r="I75" s="43">
        <f>IF(AND(C75="",OR(E75="",E75=0)),"",(IF(E75=1,30,IF(E75=2,20,IF(E75=3,10,IF(E75&lt;&gt;"",1,0))))+IF(F75=1,30,IF(F75=2,20,IF(F75=3,10,IF(F75&lt;&gt;"",1,0))))+IF(G75=1,30,IF(G75=2,20,IF(G75=3,10,IF(G75&lt;&gt;"",1,0))))+IF(H75=1,30,IF(H75=2,20,IF(H75=3,10,IF(H75&lt;&gt;"",1,0)))))*2)</f>
        <v/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143">
      <c r="A76" s="1" t="n"/>
      <c r="B76" s="32">
        <f>'👥 Участники'!B76</f>
        <v/>
      </c>
      <c r="C76" s="33">
        <f>'👥 Участники'!C76</f>
        <v/>
      </c>
      <c r="D76" s="34">
        <f>'👥 Участники'!D76</f>
        <v/>
      </c>
      <c r="E76" s="42" t="n"/>
      <c r="F76" s="42" t="n"/>
      <c r="G76" s="42" t="n"/>
      <c r="H76" s="42" t="n"/>
      <c r="I76" s="43">
        <f>IF(AND(C76="",OR(E76="",E76=0)),"",(IF(E76=1,30,IF(E76=2,20,IF(E76=3,10,IF(E76&lt;&gt;"",1,0))))+IF(F76=1,30,IF(F76=2,20,IF(F76=3,10,IF(F76&lt;&gt;"",1,0))))+IF(G76=1,30,IF(G76=2,20,IF(G76=3,10,IF(G76&lt;&gt;"",1,0))))+IF(H76=1,30,IF(H76=2,20,IF(H76=3,10,IF(H76&lt;&gt;"",1,0)))))*2)</f>
        <v/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143">
      <c r="A77" s="1" t="n"/>
      <c r="B77" s="37">
        <f>'👥 Участники'!B77</f>
        <v/>
      </c>
      <c r="C77" s="38">
        <f>'👥 Участники'!C77</f>
        <v/>
      </c>
      <c r="D77" s="39">
        <f>'👥 Участники'!D77</f>
        <v/>
      </c>
      <c r="E77" s="42" t="n"/>
      <c r="F77" s="42" t="n"/>
      <c r="G77" s="42" t="n"/>
      <c r="H77" s="42" t="n"/>
      <c r="I77" s="43">
        <f>IF(AND(C77="",OR(E77="",E77=0)),"",(IF(E77=1,30,IF(E77=2,20,IF(E77=3,10,IF(E77&lt;&gt;"",1,0))))+IF(F77=1,30,IF(F77=2,20,IF(F77=3,10,IF(F77&lt;&gt;"",1,0))))+IF(G77=1,30,IF(G77=2,20,IF(G77=3,10,IF(G77&lt;&gt;"",1,0))))+IF(H77=1,30,IF(H77=2,20,IF(H77=3,10,IF(H77&lt;&gt;"",1,0)))))*2)</f>
        <v/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143">
      <c r="A78" s="1" t="n"/>
      <c r="B78" s="32">
        <f>'👥 Участники'!B78</f>
        <v/>
      </c>
      <c r="C78" s="33">
        <f>'👥 Участники'!C78</f>
        <v/>
      </c>
      <c r="D78" s="34">
        <f>'👥 Участники'!D78</f>
        <v/>
      </c>
      <c r="E78" s="42" t="n"/>
      <c r="F78" s="42" t="n"/>
      <c r="G78" s="42" t="n"/>
      <c r="H78" s="42" t="n"/>
      <c r="I78" s="43">
        <f>IF(AND(C78="",OR(E78="",E78=0)),"",(IF(E78=1,30,IF(E78=2,20,IF(E78=3,10,IF(E78&lt;&gt;"",1,0))))+IF(F78=1,30,IF(F78=2,20,IF(F78=3,10,IF(F78&lt;&gt;"",1,0))))+IF(G78=1,30,IF(G78=2,20,IF(G78=3,10,IF(G78&lt;&gt;"",1,0))))+IF(H78=1,30,IF(H78=2,20,IF(H78=3,10,IF(H78&lt;&gt;"",1,0)))))*2)</f>
        <v/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143">
      <c r="A79" s="1" t="n"/>
      <c r="B79" s="37">
        <f>'👥 Участники'!B79</f>
        <v/>
      </c>
      <c r="C79" s="38">
        <f>'👥 Участники'!C79</f>
        <v/>
      </c>
      <c r="D79" s="39">
        <f>'👥 Участники'!D79</f>
        <v/>
      </c>
      <c r="E79" s="42" t="n"/>
      <c r="F79" s="42" t="n"/>
      <c r="G79" s="42" t="n"/>
      <c r="H79" s="42" t="n"/>
      <c r="I79" s="43">
        <f>IF(AND(C79="",OR(E79="",E79=0)),"",(IF(E79=1,30,IF(E79=2,20,IF(E79=3,10,IF(E79&lt;&gt;"",1,0))))+IF(F79=1,30,IF(F79=2,20,IF(F79=3,10,IF(F79&lt;&gt;"",1,0))))+IF(G79=1,30,IF(G79=2,20,IF(G79=3,10,IF(G79&lt;&gt;"",1,0))))+IF(H79=1,30,IF(H79=2,20,IF(H79=3,10,IF(H79&lt;&gt;"",1,0)))))*2)</f>
        <v/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143">
      <c r="A80" s="1" t="n"/>
      <c r="B80" s="32">
        <f>'👥 Участники'!B80</f>
        <v/>
      </c>
      <c r="C80" s="33">
        <f>'👥 Участники'!C80</f>
        <v/>
      </c>
      <c r="D80" s="34">
        <f>'👥 Участники'!D80</f>
        <v/>
      </c>
      <c r="E80" s="42" t="n"/>
      <c r="F80" s="42" t="n"/>
      <c r="G80" s="42" t="n"/>
      <c r="H80" s="42" t="n"/>
      <c r="I80" s="43">
        <f>IF(AND(C80="",OR(E80="",E80=0)),"",(IF(E80=1,30,IF(E80=2,20,IF(E80=3,10,IF(E80&lt;&gt;"",1,0))))+IF(F80=1,30,IF(F80=2,20,IF(F80=3,10,IF(F80&lt;&gt;"",1,0))))+IF(G80=1,30,IF(G80=2,20,IF(G80=3,10,IF(G80&lt;&gt;"",1,0))))+IF(H80=1,30,IF(H80=2,20,IF(H80=3,10,IF(H80&lt;&gt;"",1,0)))))*2)</f>
        <v/>
      </c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143">
      <c r="A81" s="1" t="n"/>
      <c r="B81" s="37">
        <f>'👥 Участники'!B81</f>
        <v/>
      </c>
      <c r="C81" s="38">
        <f>'👥 Участники'!C81</f>
        <v/>
      </c>
      <c r="D81" s="39">
        <f>'👥 Участники'!D81</f>
        <v/>
      </c>
      <c r="E81" s="42" t="n"/>
      <c r="F81" s="42" t="n"/>
      <c r="G81" s="42" t="n"/>
      <c r="H81" s="42" t="n"/>
      <c r="I81" s="43">
        <f>IF(AND(C81="",OR(E81="",E81=0)),"",(IF(E81=1,30,IF(E81=2,20,IF(E81=3,10,IF(E81&lt;&gt;"",1,0))))+IF(F81=1,30,IF(F81=2,20,IF(F81=3,10,IF(F81&lt;&gt;"",1,0))))+IF(G81=1,30,IF(G81=2,20,IF(G81=3,10,IF(G81&lt;&gt;"",1,0))))+IF(H81=1,30,IF(H81=2,20,IF(H81=3,10,IF(H81&lt;&gt;"",1,0)))))*2)</f>
        <v/>
      </c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9.5" customHeight="1" s="143">
      <c r="A82" s="1" t="n"/>
      <c r="B82" s="32">
        <f>'👥 Участники'!B82</f>
        <v/>
      </c>
      <c r="C82" s="33">
        <f>'👥 Участники'!C82</f>
        <v/>
      </c>
      <c r="D82" s="34">
        <f>'👥 Участники'!D82</f>
        <v/>
      </c>
      <c r="E82" s="42" t="n"/>
      <c r="F82" s="42" t="n"/>
      <c r="G82" s="42" t="n"/>
      <c r="H82" s="42" t="n"/>
      <c r="I82" s="43">
        <f>IF(AND(C82="",OR(E82="",E82=0)),"",(IF(E82=1,30,IF(E82=2,20,IF(E82=3,10,IF(E82&lt;&gt;"",1,0))))+IF(F82=1,30,IF(F82=2,20,IF(F82=3,10,IF(F82&lt;&gt;"",1,0))))+IF(G82=1,30,IF(G82=2,20,IF(G82=3,10,IF(G82&lt;&gt;"",1,0))))+IF(H82=1,30,IF(H82=2,20,IF(H82=3,10,IF(H82&lt;&gt;"",1,0)))))*2)</f>
        <v/>
      </c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143">
      <c r="A83" s="1" t="n"/>
      <c r="B83" s="37">
        <f>'👥 Участники'!B83</f>
        <v/>
      </c>
      <c r="C83" s="38">
        <f>'👥 Участники'!C83</f>
        <v/>
      </c>
      <c r="D83" s="39">
        <f>'👥 Участники'!D83</f>
        <v/>
      </c>
      <c r="E83" s="42" t="n"/>
      <c r="F83" s="42" t="n"/>
      <c r="G83" s="42" t="n"/>
      <c r="H83" s="42" t="n"/>
      <c r="I83" s="43">
        <f>IF(AND(C83="",OR(E83="",E83=0)),"",(IF(E83=1,30,IF(E83=2,20,IF(E83=3,10,IF(E83&lt;&gt;"",1,0))))+IF(F83=1,30,IF(F83=2,20,IF(F83=3,10,IF(F83&lt;&gt;"",1,0))))+IF(G83=1,30,IF(G83=2,20,IF(G83=3,10,IF(G83&lt;&gt;"",1,0))))+IF(H83=1,30,IF(H83=2,20,IF(H83=3,10,IF(H83&lt;&gt;"",1,0)))))*2)</f>
        <v/>
      </c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143">
      <c r="A84" s="1" t="n"/>
      <c r="B84" s="32">
        <f>'👥 Участники'!B84</f>
        <v/>
      </c>
      <c r="C84" s="33">
        <f>'👥 Участники'!C84</f>
        <v/>
      </c>
      <c r="D84" s="34">
        <f>'👥 Участники'!D84</f>
        <v/>
      </c>
      <c r="E84" s="42" t="n"/>
      <c r="F84" s="42" t="n"/>
      <c r="G84" s="42" t="n"/>
      <c r="H84" s="42" t="n"/>
      <c r="I84" s="43">
        <f>IF(AND(C84="",OR(E84="",E84=0)),"",(IF(E84=1,30,IF(E84=2,20,IF(E84=3,10,IF(E84&lt;&gt;"",1,0))))+IF(F84=1,30,IF(F84=2,20,IF(F84=3,10,IF(F84&lt;&gt;"",1,0))))+IF(G84=1,30,IF(G84=2,20,IF(G84=3,10,IF(G84&lt;&gt;"",1,0))))+IF(H84=1,30,IF(H84=2,20,IF(H84=3,10,IF(H84&lt;&gt;"",1,0)))))*2)</f>
        <v/>
      </c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9.5" customHeight="1" s="143">
      <c r="A85" s="1" t="n"/>
      <c r="B85" s="37">
        <f>'👥 Участники'!B85</f>
        <v/>
      </c>
      <c r="C85" s="38">
        <f>'👥 Участники'!C85</f>
        <v/>
      </c>
      <c r="D85" s="39">
        <f>'👥 Участники'!D85</f>
        <v/>
      </c>
      <c r="E85" s="42" t="n"/>
      <c r="F85" s="42" t="n"/>
      <c r="G85" s="42" t="n"/>
      <c r="H85" s="42" t="n"/>
      <c r="I85" s="43">
        <f>IF(AND(C85="",OR(E85="",E85=0)),"",(IF(E85=1,30,IF(E85=2,20,IF(E85=3,10,IF(E85&lt;&gt;"",1,0))))+IF(F85=1,30,IF(F85=2,20,IF(F85=3,10,IF(F85&lt;&gt;"",1,0))))+IF(G85=1,30,IF(G85=2,20,IF(G85=3,10,IF(G85&lt;&gt;"",1,0))))+IF(H85=1,30,IF(H85=2,20,IF(H85=3,10,IF(H85&lt;&gt;"",1,0)))))*2)</f>
        <v/>
      </c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9.5" customHeight="1" s="143">
      <c r="A86" s="1" t="n"/>
      <c r="B86" s="32">
        <f>'👥 Участники'!B86</f>
        <v/>
      </c>
      <c r="C86" s="33">
        <f>'👥 Участники'!C86</f>
        <v/>
      </c>
      <c r="D86" s="34">
        <f>'👥 Участники'!D86</f>
        <v/>
      </c>
      <c r="E86" s="42" t="n"/>
      <c r="F86" s="42" t="n"/>
      <c r="G86" s="42" t="n"/>
      <c r="H86" s="42" t="n"/>
      <c r="I86" s="43">
        <f>IF(AND(C86="",OR(E86="",E86=0)),"",(IF(E86=1,30,IF(E86=2,20,IF(E86=3,10,IF(E86&lt;&gt;"",1,0))))+IF(F86=1,30,IF(F86=2,20,IF(F86=3,10,IF(F86&lt;&gt;"",1,0))))+IF(G86=1,30,IF(G86=2,20,IF(G86=3,10,IF(G86&lt;&gt;"",1,0))))+IF(H86=1,30,IF(H86=2,20,IF(H86=3,10,IF(H86&lt;&gt;"",1,0)))))*2)</f>
        <v/>
      </c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9.5" customHeight="1" s="143">
      <c r="A87" s="1" t="n"/>
      <c r="B87" s="37">
        <f>'👥 Участники'!B87</f>
        <v/>
      </c>
      <c r="C87" s="38">
        <f>'👥 Участники'!C87</f>
        <v/>
      </c>
      <c r="D87" s="39">
        <f>'👥 Участники'!D87</f>
        <v/>
      </c>
      <c r="E87" s="42" t="n"/>
      <c r="F87" s="42" t="n"/>
      <c r="G87" s="42" t="n"/>
      <c r="H87" s="42" t="n"/>
      <c r="I87" s="43">
        <f>IF(AND(C87="",OR(E87="",E87=0)),"",(IF(E87=1,30,IF(E87=2,20,IF(E87=3,10,IF(E87&lt;&gt;"",1,0))))+IF(F87=1,30,IF(F87=2,20,IF(F87=3,10,IF(F87&lt;&gt;"",1,0))))+IF(G87=1,30,IF(G87=2,20,IF(G87=3,10,IF(G87&lt;&gt;"",1,0))))+IF(H87=1,30,IF(H87=2,20,IF(H87=3,10,IF(H87&lt;&gt;"",1,0)))))*2)</f>
        <v/>
      </c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9.5" customHeight="1" s="143">
      <c r="A88" s="1" t="n"/>
      <c r="B88" s="32">
        <f>'👥 Участники'!B88</f>
        <v/>
      </c>
      <c r="C88" s="33">
        <f>'👥 Участники'!C88</f>
        <v/>
      </c>
      <c r="D88" s="34">
        <f>'👥 Участники'!D88</f>
        <v/>
      </c>
      <c r="E88" s="42" t="n"/>
      <c r="F88" s="42" t="n"/>
      <c r="G88" s="42" t="n"/>
      <c r="H88" s="42" t="n"/>
      <c r="I88" s="43">
        <f>IF(AND(C88="",OR(E88="",E88=0)),"",(IF(E88=1,30,IF(E88=2,20,IF(E88=3,10,IF(E88&lt;&gt;"",1,0))))+IF(F88=1,30,IF(F88=2,20,IF(F88=3,10,IF(F88&lt;&gt;"",1,0))))+IF(G88=1,30,IF(G88=2,20,IF(G88=3,10,IF(G88&lt;&gt;"",1,0))))+IF(H88=1,30,IF(H88=2,20,IF(H88=3,10,IF(H88&lt;&gt;"",1,0)))))*2)</f>
        <v/>
      </c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9.5" customHeight="1" s="143">
      <c r="A89" s="1" t="n"/>
      <c r="B89" s="37">
        <f>'👥 Участники'!B89</f>
        <v/>
      </c>
      <c r="C89" s="38">
        <f>'👥 Участники'!C89</f>
        <v/>
      </c>
      <c r="D89" s="39">
        <f>'👥 Участники'!D89</f>
        <v/>
      </c>
      <c r="E89" s="42" t="n"/>
      <c r="F89" s="42" t="n"/>
      <c r="G89" s="42" t="n"/>
      <c r="H89" s="42" t="n"/>
      <c r="I89" s="43">
        <f>IF(AND(C89="",OR(E89="",E89=0)),"",(IF(E89=1,30,IF(E89=2,20,IF(E89=3,10,IF(E89&lt;&gt;"",1,0))))+IF(F89=1,30,IF(F89=2,20,IF(F89=3,10,IF(F89&lt;&gt;"",1,0))))+IF(G89=1,30,IF(G89=2,20,IF(G89=3,10,IF(G89&lt;&gt;"",1,0))))+IF(H89=1,30,IF(H89=2,20,IF(H89=3,10,IF(H89&lt;&gt;"",1,0)))))*2)</f>
        <v/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9.5" customHeight="1" s="143">
      <c r="A90" s="1" t="n"/>
      <c r="B90" s="32">
        <f>'👥 Участники'!B90</f>
        <v/>
      </c>
      <c r="C90" s="33">
        <f>'👥 Участники'!C90</f>
        <v/>
      </c>
      <c r="D90" s="34">
        <f>'👥 Участники'!D90</f>
        <v/>
      </c>
      <c r="E90" s="42" t="n"/>
      <c r="F90" s="42" t="n"/>
      <c r="G90" s="42" t="n"/>
      <c r="H90" s="42" t="n"/>
      <c r="I90" s="43">
        <f>IF(AND(C90="",OR(E90="",E90=0)),"",(IF(E90=1,30,IF(E90=2,20,IF(E90=3,10,IF(E90&lt;&gt;"",1,0))))+IF(F90=1,30,IF(F90=2,20,IF(F90=3,10,IF(F90&lt;&gt;"",1,0))))+IF(G90=1,30,IF(G90=2,20,IF(G90=3,10,IF(G90&lt;&gt;"",1,0))))+IF(H90=1,30,IF(H90=2,20,IF(H90=3,10,IF(H90&lt;&gt;"",1,0)))))*2)</f>
        <v/>
      </c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9.5" customHeight="1" s="143">
      <c r="A91" s="1" t="n"/>
      <c r="B91" s="37">
        <f>'👥 Участники'!B91</f>
        <v/>
      </c>
      <c r="C91" s="38">
        <f>'👥 Участники'!C91</f>
        <v/>
      </c>
      <c r="D91" s="39">
        <f>'👥 Участники'!D91</f>
        <v/>
      </c>
      <c r="E91" s="42" t="n"/>
      <c r="F91" s="42" t="n"/>
      <c r="G91" s="42" t="n"/>
      <c r="H91" s="42" t="n"/>
      <c r="I91" s="43">
        <f>IF(AND(C91="",OR(E91="",E91=0)),"",(IF(E91=1,30,IF(E91=2,20,IF(E91=3,10,IF(E91&lt;&gt;"",1,0))))+IF(F91=1,30,IF(F91=2,20,IF(F91=3,10,IF(F91&lt;&gt;"",1,0))))+IF(G91=1,30,IF(G91=2,20,IF(G91=3,10,IF(G91&lt;&gt;"",1,0))))+IF(H91=1,30,IF(H91=2,20,IF(H91=3,10,IF(H91&lt;&gt;"",1,0)))))*2)</f>
        <v/>
      </c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9.5" customHeight="1" s="143">
      <c r="A92" s="1" t="n"/>
      <c r="B92" s="32">
        <f>'👥 Участники'!B92</f>
        <v/>
      </c>
      <c r="C92" s="33">
        <f>'👥 Участники'!C92</f>
        <v/>
      </c>
      <c r="D92" s="34">
        <f>'👥 Участники'!D92</f>
        <v/>
      </c>
      <c r="E92" s="42" t="n"/>
      <c r="F92" s="42" t="n"/>
      <c r="G92" s="42" t="n"/>
      <c r="H92" s="42" t="n"/>
      <c r="I92" s="43">
        <f>IF(AND(C92="",OR(E92="",E92=0)),"",(IF(E92=1,30,IF(E92=2,20,IF(E92=3,10,IF(E92&lt;&gt;"",1,0))))+IF(F92=1,30,IF(F92=2,20,IF(F92=3,10,IF(F92&lt;&gt;"",1,0))))+IF(G92=1,30,IF(G92=2,20,IF(G92=3,10,IF(G92&lt;&gt;"",1,0))))+IF(H92=1,30,IF(H92=2,20,IF(H92=3,10,IF(H92&lt;&gt;"",1,0)))))*2)</f>
        <v/>
      </c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9.5" customHeight="1" s="143">
      <c r="A93" s="1" t="n"/>
      <c r="B93" s="37">
        <f>'👥 Участники'!B93</f>
        <v/>
      </c>
      <c r="C93" s="38">
        <f>'👥 Участники'!C93</f>
        <v/>
      </c>
      <c r="D93" s="39">
        <f>'👥 Участники'!D93</f>
        <v/>
      </c>
      <c r="E93" s="42" t="n"/>
      <c r="F93" s="42" t="n"/>
      <c r="G93" s="42" t="n"/>
      <c r="H93" s="42" t="n"/>
      <c r="I93" s="43">
        <f>IF(AND(C93="",OR(E93="",E93=0)),"",(IF(E93=1,30,IF(E93=2,20,IF(E93=3,10,IF(E93&lt;&gt;"",1,0))))+IF(F93=1,30,IF(F93=2,20,IF(F93=3,10,IF(F93&lt;&gt;"",1,0))))+IF(G93=1,30,IF(G93=2,20,IF(G93=3,10,IF(G93&lt;&gt;"",1,0))))+IF(H93=1,30,IF(H93=2,20,IF(H93=3,10,IF(H93&lt;&gt;"",1,0)))))*2)</f>
        <v/>
      </c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9.5" customHeight="1" s="143">
      <c r="A94" s="1" t="n"/>
      <c r="B94" s="32">
        <f>'👥 Участники'!B94</f>
        <v/>
      </c>
      <c r="C94" s="33">
        <f>'👥 Участники'!C94</f>
        <v/>
      </c>
      <c r="D94" s="34">
        <f>'👥 Участники'!D94</f>
        <v/>
      </c>
      <c r="E94" s="42" t="n"/>
      <c r="F94" s="42" t="n"/>
      <c r="G94" s="42" t="n"/>
      <c r="H94" s="42" t="n"/>
      <c r="I94" s="43">
        <f>IF(AND(C94="",OR(E94="",E94=0)),"",(IF(E94=1,30,IF(E94=2,20,IF(E94=3,10,IF(E94&lt;&gt;"",1,0))))+IF(F94=1,30,IF(F94=2,20,IF(F94=3,10,IF(F94&lt;&gt;"",1,0))))+IF(G94=1,30,IF(G94=2,20,IF(G94=3,10,IF(G94&lt;&gt;"",1,0))))+IF(H94=1,30,IF(H94=2,20,IF(H94=3,10,IF(H94&lt;&gt;"",1,0)))))*2)</f>
        <v/>
      </c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9.5" customHeight="1" s="143">
      <c r="A95" s="1" t="n"/>
      <c r="B95" s="37">
        <f>'👥 Участники'!B95</f>
        <v/>
      </c>
      <c r="C95" s="38">
        <f>'👥 Участники'!C95</f>
        <v/>
      </c>
      <c r="D95" s="39">
        <f>'👥 Участники'!D95</f>
        <v/>
      </c>
      <c r="E95" s="42" t="n"/>
      <c r="F95" s="42" t="n"/>
      <c r="G95" s="42" t="n"/>
      <c r="H95" s="42" t="n"/>
      <c r="I95" s="43">
        <f>IF(AND(C95="",OR(E95="",E95=0)),"",(IF(E95=1,30,IF(E95=2,20,IF(E95=3,10,IF(E95&lt;&gt;"",1,0))))+IF(F95=1,30,IF(F95=2,20,IF(F95=3,10,IF(F95&lt;&gt;"",1,0))))+IF(G95=1,30,IF(G95=2,20,IF(G95=3,10,IF(G95&lt;&gt;"",1,0))))+IF(H95=1,30,IF(H95=2,20,IF(H95=3,10,IF(H95&lt;&gt;"",1,0)))))*2)</f>
        <v/>
      </c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9.5" customHeight="1" s="143">
      <c r="A96" s="1" t="n"/>
      <c r="B96" s="32">
        <f>'👥 Участники'!B96</f>
        <v/>
      </c>
      <c r="C96" s="33">
        <f>'👥 Участники'!C96</f>
        <v/>
      </c>
      <c r="D96" s="34">
        <f>'👥 Участники'!D96</f>
        <v/>
      </c>
      <c r="E96" s="42" t="n"/>
      <c r="F96" s="42" t="n"/>
      <c r="G96" s="42" t="n"/>
      <c r="H96" s="42" t="n"/>
      <c r="I96" s="43">
        <f>IF(AND(C96="",OR(E96="",E96=0)),"",(IF(E96=1,30,IF(E96=2,20,IF(E96=3,10,IF(E96&lt;&gt;"",1,0))))+IF(F96=1,30,IF(F96=2,20,IF(F96=3,10,IF(F96&lt;&gt;"",1,0))))+IF(G96=1,30,IF(G96=2,20,IF(G96=3,10,IF(G96&lt;&gt;"",1,0))))+IF(H96=1,30,IF(H96=2,20,IF(H96=3,10,IF(H96&lt;&gt;"",1,0)))))*2)</f>
        <v/>
      </c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9.5" customHeight="1" s="143">
      <c r="A97" s="1" t="n"/>
      <c r="B97" s="37">
        <f>'👥 Участники'!B97</f>
        <v/>
      </c>
      <c r="C97" s="38">
        <f>'👥 Участники'!C97</f>
        <v/>
      </c>
      <c r="D97" s="39">
        <f>'👥 Участники'!D97</f>
        <v/>
      </c>
      <c r="E97" s="42" t="n"/>
      <c r="F97" s="42" t="n"/>
      <c r="G97" s="42" t="n"/>
      <c r="H97" s="42" t="n"/>
      <c r="I97" s="43">
        <f>IF(AND(C97="",OR(E97="",E97=0)),"",(IF(E97=1,30,IF(E97=2,20,IF(E97=3,10,IF(E97&lt;&gt;"",1,0))))+IF(F97=1,30,IF(F97=2,20,IF(F97=3,10,IF(F97&lt;&gt;"",1,0))))+IF(G97=1,30,IF(G97=2,20,IF(G97=3,10,IF(G97&lt;&gt;"",1,0))))+IF(H97=1,30,IF(H97=2,20,IF(H97=3,10,IF(H97&lt;&gt;"",1,0)))))*2)</f>
        <v/>
      </c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9.5" customHeight="1" s="143">
      <c r="A98" s="1" t="n"/>
      <c r="B98" s="32">
        <f>'👥 Участники'!B98</f>
        <v/>
      </c>
      <c r="C98" s="33">
        <f>'👥 Участники'!C98</f>
        <v/>
      </c>
      <c r="D98" s="34">
        <f>'👥 Участники'!D98</f>
        <v/>
      </c>
      <c r="E98" s="42" t="n"/>
      <c r="F98" s="42" t="n"/>
      <c r="G98" s="42" t="n"/>
      <c r="H98" s="42" t="n"/>
      <c r="I98" s="43">
        <f>IF(AND(C98="",OR(E98="",E98=0)),"",(IF(E98=1,30,IF(E98=2,20,IF(E98=3,10,IF(E98&lt;&gt;"",1,0))))+IF(F98=1,30,IF(F98=2,20,IF(F98=3,10,IF(F98&lt;&gt;"",1,0))))+IF(G98=1,30,IF(G98=2,20,IF(G98=3,10,IF(G98&lt;&gt;"",1,0))))+IF(H98=1,30,IF(H98=2,20,IF(H98=3,10,IF(H98&lt;&gt;"",1,0)))))*2)</f>
        <v/>
      </c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9.5" customHeight="1" s="143">
      <c r="A99" s="1" t="n"/>
      <c r="B99" s="37">
        <f>'👥 Участники'!B99</f>
        <v/>
      </c>
      <c r="C99" s="38">
        <f>'👥 Участники'!C99</f>
        <v/>
      </c>
      <c r="D99" s="39">
        <f>'👥 Участники'!D99</f>
        <v/>
      </c>
      <c r="E99" s="42" t="n"/>
      <c r="F99" s="42" t="n"/>
      <c r="G99" s="42" t="n"/>
      <c r="H99" s="42" t="n"/>
      <c r="I99" s="43">
        <f>IF(AND(C99="",OR(E99="",E99=0)),"",(IF(E99=1,30,IF(E99=2,20,IF(E99=3,10,IF(E99&lt;&gt;"",1,0))))+IF(F99=1,30,IF(F99=2,20,IF(F99=3,10,IF(F99&lt;&gt;"",1,0))))+IF(G99=1,30,IF(G99=2,20,IF(G99=3,10,IF(G99&lt;&gt;"",1,0))))+IF(H99=1,30,IF(H99=2,20,IF(H99=3,10,IF(H99&lt;&gt;"",1,0)))))*2)</f>
        <v/>
      </c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9.5" customHeight="1" s="143">
      <c r="A100" s="1" t="n"/>
      <c r="B100" s="32">
        <f>'👥 Участники'!B100</f>
        <v/>
      </c>
      <c r="C100" s="33">
        <f>'👥 Участники'!C100</f>
        <v/>
      </c>
      <c r="D100" s="34">
        <f>'👥 Участники'!D100</f>
        <v/>
      </c>
      <c r="E100" s="42" t="n"/>
      <c r="F100" s="42" t="n"/>
      <c r="G100" s="42" t="n"/>
      <c r="H100" s="42" t="n"/>
      <c r="I100" s="43">
        <f>IF(AND(C100="",OR(E100="",E100=0)),"",(IF(E100=1,30,IF(E100=2,20,IF(E100=3,10,IF(E100&lt;&gt;"",1,0))))+IF(F100=1,30,IF(F100=2,20,IF(F100=3,10,IF(F100&lt;&gt;"",1,0))))+IF(G100=1,30,IF(G100=2,20,IF(G100=3,10,IF(G100&lt;&gt;"",1,0))))+IF(H100=1,30,IF(H100=2,20,IF(H100=3,10,IF(H100&lt;&gt;"",1,0)))))*2)</f>
        <v/>
      </c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9.5" customHeight="1" s="143">
      <c r="A101" s="1" t="n"/>
      <c r="B101" s="37">
        <f>'👥 Участники'!B101</f>
        <v/>
      </c>
      <c r="C101" s="38">
        <f>'👥 Участники'!C101</f>
        <v/>
      </c>
      <c r="D101" s="39">
        <f>'👥 Участники'!D101</f>
        <v/>
      </c>
      <c r="E101" s="42" t="n"/>
      <c r="F101" s="42" t="n"/>
      <c r="G101" s="42" t="n"/>
      <c r="H101" s="42" t="n"/>
      <c r="I101" s="43">
        <f>IF(AND(C101="",OR(E101="",E101=0)),"",(IF(E101=1,30,IF(E101=2,20,IF(E101=3,10,IF(E101&lt;&gt;"",1,0))))+IF(F101=1,30,IF(F101=2,20,IF(F101=3,10,IF(F101&lt;&gt;"",1,0))))+IF(G101=1,30,IF(G101=2,20,IF(G101=3,10,IF(G101&lt;&gt;"",1,0))))+IF(H101=1,30,IF(H101=2,20,IF(H101=3,10,IF(H101&lt;&gt;"",1,0)))))*2)</f>
        <v/>
      </c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9.5" customHeight="1" s="143">
      <c r="A102" s="1" t="n"/>
      <c r="B102" s="32">
        <f>'👥 Участники'!B102</f>
        <v/>
      </c>
      <c r="C102" s="33">
        <f>'👥 Участники'!C102</f>
        <v/>
      </c>
      <c r="D102" s="34">
        <f>'👥 Участники'!D102</f>
        <v/>
      </c>
      <c r="E102" s="42" t="n"/>
      <c r="F102" s="42" t="n"/>
      <c r="G102" s="42" t="n"/>
      <c r="H102" s="42" t="n"/>
      <c r="I102" s="43">
        <f>IF(AND(C102="",OR(E102="",E102=0)),"",(IF(E102=1,30,IF(E102=2,20,IF(E102=3,10,IF(E102&lt;&gt;"",1,0))))+IF(F102=1,30,IF(F102=2,20,IF(F102=3,10,IF(F102&lt;&gt;"",1,0))))+IF(G102=1,30,IF(G102=2,20,IF(G102=3,10,IF(G102&lt;&gt;"",1,0))))+IF(H102=1,30,IF(H102=2,20,IF(H102=3,10,IF(H102&lt;&gt;"",1,0)))))*2)</f>
        <v/>
      </c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9.5" customHeight="1" s="143">
      <c r="A103" s="1" t="n"/>
      <c r="B103" s="37">
        <f>'👥 Участники'!B103</f>
        <v/>
      </c>
      <c r="C103" s="38">
        <f>'👥 Участники'!C103</f>
        <v/>
      </c>
      <c r="D103" s="39">
        <f>'👥 Участники'!D103</f>
        <v/>
      </c>
      <c r="E103" s="42" t="n"/>
      <c r="F103" s="42" t="n"/>
      <c r="G103" s="42" t="n"/>
      <c r="H103" s="42" t="n"/>
      <c r="I103" s="43">
        <f>IF(AND(C103="",OR(E103="",E103=0)),"",(IF(E103=1,30,IF(E103=2,20,IF(E103=3,10,IF(E103&lt;&gt;"",1,0))))+IF(F103=1,30,IF(F103=2,20,IF(F103=3,10,IF(F103&lt;&gt;"",1,0))))+IF(G103=1,30,IF(G103=2,20,IF(G103=3,10,IF(G103&lt;&gt;"",1,0))))+IF(H103=1,30,IF(H103=2,20,IF(H103=3,10,IF(H103&lt;&gt;"",1,0)))))*2)</f>
        <v/>
      </c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>
        <f>IF(AND(C104="",OR(E104="",E104=0)),"",(IF(E104=1,30,IF(E104=2,20,IF(E104=3,10,IF(E104&lt;&gt;"",1,0))))+IF(F104=1,30,IF(F104=2,20,IF(F104=3,10,IF(F104&lt;&gt;"",1,0))))+IF(G104=1,30,IF(G104=2,20,IF(G104=3,10,IF(G104&lt;&gt;"",1,0))))+IF(H104=1,30,IF(H104=2,20,IF(H104=3,10,IF(H104&lt;&gt;"",1,0)))))*2)</f>
        <v/>
      </c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>
        <f>IF(AND(C105="",OR(E105="",E105=0)),"",(IF(E105=1,30,IF(E105=2,20,IF(E105=3,10,IF(E105&lt;&gt;"",1,0))))+IF(F105=1,30,IF(F105=2,20,IF(F105=3,10,IF(F105&lt;&gt;"",1,0))))+IF(G105=1,30,IF(G105=2,20,IF(G105=3,10,IF(G105&lt;&gt;"",1,0))))+IF(H105=1,30,IF(H105=2,20,IF(H105=3,10,IF(H105&lt;&gt;"",1,0)))))*2)</f>
        <v/>
      </c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>
        <f>IF(AND(C106="",OR(E106="",E106=0)),"",(IF(E106=1,30,IF(E106=2,20,IF(E106=3,10,IF(E106&lt;&gt;"",1,0))))+IF(F106=1,30,IF(F106=2,20,IF(F106=3,10,IF(F106&lt;&gt;"",1,0))))+IF(G106=1,30,IF(G106=2,20,IF(G106=3,10,IF(G106&lt;&gt;"",1,0))))+IF(H106=1,30,IF(H106=2,20,IF(H106=3,10,IF(H106&lt;&gt;"",1,0)))))*2)</f>
        <v/>
      </c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>
        <f>IF(AND(C107="",OR(E107="",E107=0)),"",(IF(E107=1,30,IF(E107=2,20,IF(E107=3,10,IF(E107&lt;&gt;"",1,0))))+IF(F107=1,30,IF(F107=2,20,IF(F107=3,10,IF(F107&lt;&gt;"",1,0))))+IF(G107=1,30,IF(G107=2,20,IF(G107=3,10,IF(G107&lt;&gt;"",1,0))))+IF(H107=1,30,IF(H107=2,20,IF(H107=3,10,IF(H107&lt;&gt;"",1,0)))))*2)</f>
        <v/>
      </c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>
        <f>IF(AND(C108="",OR(E108="",E108=0)),"",(IF(E108=1,30,IF(E108=2,20,IF(E108=3,10,IF(E108&lt;&gt;"",1,0))))+IF(F108=1,30,IF(F108=2,20,IF(F108=3,10,IF(F108&lt;&gt;"",1,0))))+IF(G108=1,30,IF(G108=2,20,IF(G108=3,10,IF(G108&lt;&gt;"",1,0))))+IF(H108=1,30,IF(H108=2,20,IF(H108=3,10,IF(H108&lt;&gt;"",1,0)))))*2)</f>
        <v/>
      </c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>
        <f>IF(AND(C109="",OR(E109="",E109=0)),"",(IF(E109=1,30,IF(E109=2,20,IF(E109=3,10,IF(E109&lt;&gt;"",1,0))))+IF(F109=1,30,IF(F109=2,20,IF(F109=3,10,IF(F109&lt;&gt;"",1,0))))+IF(G109=1,30,IF(G109=2,20,IF(G109=3,10,IF(G109&lt;&gt;"",1,0))))+IF(H109=1,30,IF(H109=2,20,IF(H109=3,10,IF(H109&lt;&gt;"",1,0)))))*2)</f>
        <v/>
      </c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>
        <f>IF(AND(C110="",OR(E110="",E110=0)),"",(IF(E110=1,30,IF(E110=2,20,IF(E110=3,10,IF(E110&lt;&gt;"",1,0))))+IF(F110=1,30,IF(F110=2,20,IF(F110=3,10,IF(F110&lt;&gt;"",1,0))))+IF(G110=1,30,IF(G110=2,20,IF(G110=3,10,IF(G110&lt;&gt;"",1,0))))+IF(H110=1,30,IF(H110=2,20,IF(H110=3,10,IF(H110&lt;&gt;"",1,0)))))*2)</f>
        <v/>
      </c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>
        <f>IF(AND(C111="",OR(E111="",E111=0)),"",(IF(E111=1,30,IF(E111=2,20,IF(E111=3,10,IF(E111&lt;&gt;"",1,0))))+IF(F111=1,30,IF(F111=2,20,IF(F111=3,10,IF(F111&lt;&gt;"",1,0))))+IF(G111=1,30,IF(G111=2,20,IF(G111=3,10,IF(G111&lt;&gt;"",1,0))))+IF(H111=1,30,IF(H111=2,20,IF(H111=3,10,IF(H111&lt;&gt;"",1,0)))))*2)</f>
        <v/>
      </c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>
        <f>IF(AND(C112="",OR(E112="",E112=0)),"",(IF(E112=1,30,IF(E112=2,20,IF(E112=3,10,IF(E112&lt;&gt;"",1,0))))+IF(F112=1,30,IF(F112=2,20,IF(F112=3,10,IF(F112&lt;&gt;"",1,0))))+IF(G112=1,30,IF(G112=2,20,IF(G112=3,10,IF(G112&lt;&gt;"",1,0))))+IF(H112=1,30,IF(H112=2,20,IF(H112=3,10,IF(H112&lt;&gt;"",1,0)))))*2)</f>
        <v/>
      </c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>
        <f>IF(AND(C113="",OR(E113="",E113=0)),"",(IF(E113=1,30,IF(E113=2,20,IF(E113=3,10,IF(E113&lt;&gt;"",1,0))))+IF(F113=1,30,IF(F113=2,20,IF(F113=3,10,IF(F113&lt;&gt;"",1,0))))+IF(G113=1,30,IF(G113=2,20,IF(G113=3,10,IF(G113&lt;&gt;"",1,0))))+IF(H113=1,30,IF(H113=2,20,IF(H113=3,10,IF(H113&lt;&gt;"",1,0)))))*2)</f>
        <v/>
      </c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>
        <f>IF(AND(C114="",OR(E114="",E114=0)),"",(IF(E114=1,30,IF(E114=2,20,IF(E114=3,10,IF(E114&lt;&gt;"",1,0))))+IF(F114=1,30,IF(F114=2,20,IF(F114=3,10,IF(F114&lt;&gt;"",1,0))))+IF(G114=1,30,IF(G114=2,20,IF(G114=3,10,IF(G114&lt;&gt;"",1,0))))+IF(H114=1,30,IF(H114=2,20,IF(H114=3,10,IF(H114&lt;&gt;"",1,0)))))*2)</f>
        <v/>
      </c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>
        <f>IF(AND(C115="",OR(E115="",E115=0)),"",(IF(E115=1,30,IF(E115=2,20,IF(E115=3,10,IF(E115&lt;&gt;"",1,0))))+IF(F115=1,30,IF(F115=2,20,IF(F115=3,10,IF(F115&lt;&gt;"",1,0))))+IF(G115=1,30,IF(G115=2,20,IF(G115=3,10,IF(G115&lt;&gt;"",1,0))))+IF(H115=1,30,IF(H115=2,20,IF(H115=3,10,IF(H115&lt;&gt;"",1,0)))))*2)</f>
        <v/>
      </c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>
        <f>IF(AND(C116="",OR(E116="",E116=0)),"",(IF(E116=1,30,IF(E116=2,20,IF(E116=3,10,IF(E116&lt;&gt;"",1,0))))+IF(F116=1,30,IF(F116=2,20,IF(F116=3,10,IF(F116&lt;&gt;"",1,0))))+IF(G116=1,30,IF(G116=2,20,IF(G116=3,10,IF(G116&lt;&gt;"",1,0))))+IF(H116=1,30,IF(H116=2,20,IF(H116=3,10,IF(H116&lt;&gt;"",1,0)))))*2)</f>
        <v/>
      </c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>
        <f>IF(AND(C117="",OR(E117="",E117=0)),"",(IF(E117=1,30,IF(E117=2,20,IF(E117=3,10,IF(E117&lt;&gt;"",1,0))))+IF(F117=1,30,IF(F117=2,20,IF(F117=3,10,IF(F117&lt;&gt;"",1,0))))+IF(G117=1,30,IF(G117=2,20,IF(G117=3,10,IF(G117&lt;&gt;"",1,0))))+IF(H117=1,30,IF(H117=2,20,IF(H117=3,10,IF(H117&lt;&gt;"",1,0)))))*2)</f>
        <v/>
      </c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>
        <f>IF(AND(C118="",OR(E118="",E118=0)),"",(IF(E118=1,30,IF(E118=2,20,IF(E118=3,10,IF(E118&lt;&gt;"",1,0))))+IF(F118=1,30,IF(F118=2,20,IF(F118=3,10,IF(F118&lt;&gt;"",1,0))))+IF(G118=1,30,IF(G118=2,20,IF(G118=3,10,IF(G118&lt;&gt;"",1,0))))+IF(H118=1,30,IF(H118=2,20,IF(H118=3,10,IF(H118&lt;&gt;"",1,0)))))*2)</f>
        <v/>
      </c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>
        <f>IF(AND(C119="",OR(E119="",E119=0)),"",(IF(E119=1,30,IF(E119=2,20,IF(E119=3,10,IF(E119&lt;&gt;"",1,0))))+IF(F119=1,30,IF(F119=2,20,IF(F119=3,10,IF(F119&lt;&gt;"",1,0))))+IF(G119=1,30,IF(G119=2,20,IF(G119=3,10,IF(G119&lt;&gt;"",1,0))))+IF(H119=1,30,IF(H119=2,20,IF(H119=3,10,IF(H119&lt;&gt;"",1,0)))))*2)</f>
        <v/>
      </c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>
        <f>IF(AND(C120="",OR(E120="",E120=0)),"",(IF(E120=1,30,IF(E120=2,20,IF(E120=3,10,IF(E120&lt;&gt;"",1,0))))+IF(F120=1,30,IF(F120=2,20,IF(F120=3,10,IF(F120&lt;&gt;"",1,0))))+IF(G120=1,30,IF(G120=2,20,IF(G120=3,10,IF(G120&lt;&gt;"",1,0))))+IF(H120=1,30,IF(H120=2,20,IF(H120=3,10,IF(H120&lt;&gt;"",1,0)))))*2)</f>
        <v/>
      </c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>
        <f>IF(AND(C121="",OR(E121="",E121=0)),"",(IF(E121=1,30,IF(E121=2,20,IF(E121=3,10,IF(E121&lt;&gt;"",1,0))))+IF(F121=1,30,IF(F121=2,20,IF(F121=3,10,IF(F121&lt;&gt;"",1,0))))+IF(G121=1,30,IF(G121=2,20,IF(G121=3,10,IF(G121&lt;&gt;"",1,0))))+IF(H121=1,30,IF(H121=2,20,IF(H121=3,10,IF(H121&lt;&gt;"",1,0)))))*2)</f>
        <v/>
      </c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>
        <f>IF(AND(C122="",OR(E122="",E122=0)),"",(IF(E122=1,30,IF(E122=2,20,IF(E122=3,10,IF(E122&lt;&gt;"",1,0))))+IF(F122=1,30,IF(F122=2,20,IF(F122=3,10,IF(F122&lt;&gt;"",1,0))))+IF(G122=1,30,IF(G122=2,20,IF(G122=3,10,IF(G122&lt;&gt;"",1,0))))+IF(H122=1,30,IF(H122=2,20,IF(H122=3,10,IF(H122&lt;&gt;"",1,0)))))*2)</f>
        <v/>
      </c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>
        <f>IF(AND(C123="",OR(E123="",E123=0)),"",(IF(E123=1,30,IF(E123=2,20,IF(E123=3,10,IF(E123&lt;&gt;"",1,0))))+IF(F123=1,30,IF(F123=2,20,IF(F123=3,10,IF(F123&lt;&gt;"",1,0))))+IF(G123=1,30,IF(G123=2,20,IF(G123=3,10,IF(G123&lt;&gt;"",1,0))))+IF(H123=1,30,IF(H123=2,20,IF(H123=3,10,IF(H123&lt;&gt;"",1,0)))))*2)</f>
        <v/>
      </c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>
        <f>IF(AND(C124="",OR(E124="",E124=0)),"",(IF(E124=1,30,IF(E124=2,20,IF(E124=3,10,IF(E124&lt;&gt;"",1,0))))+IF(F124=1,30,IF(F124=2,20,IF(F124=3,10,IF(F124&lt;&gt;"",1,0))))+IF(G124=1,30,IF(G124=2,20,IF(G124=3,10,IF(G124&lt;&gt;"",1,0))))+IF(H124=1,30,IF(H124=2,20,IF(H124=3,10,IF(H124&lt;&gt;"",1,0)))))*2)</f>
        <v/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>
        <f>IF(AND(C125="",OR(E125="",E125=0)),"",(IF(E125=1,30,IF(E125=2,20,IF(E125=3,10,IF(E125&lt;&gt;"",1,0))))+IF(F125=1,30,IF(F125=2,20,IF(F125=3,10,IF(F125&lt;&gt;"",1,0))))+IF(G125=1,30,IF(G125=2,20,IF(G125=3,10,IF(G125&lt;&gt;"",1,0))))+IF(H125=1,30,IF(H125=2,20,IF(H125=3,10,IF(H125&lt;&gt;"",1,0)))))*2)</f>
        <v/>
      </c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>
        <f>IF(AND(C126="",OR(E126="",E126=0)),"",(IF(E126=1,30,IF(E126=2,20,IF(E126=3,10,IF(E126&lt;&gt;"",1,0))))+IF(F126=1,30,IF(F126=2,20,IF(F126=3,10,IF(F126&lt;&gt;"",1,0))))+IF(G126=1,30,IF(G126=2,20,IF(G126=3,10,IF(G126&lt;&gt;"",1,0))))+IF(H126=1,30,IF(H126=2,20,IF(H126=3,10,IF(H126&lt;&gt;"",1,0)))))*2)</f>
        <v/>
      </c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>
        <f>IF(AND(C127="",OR(E127="",E127=0)),"",(IF(E127=1,30,IF(E127=2,20,IF(E127=3,10,IF(E127&lt;&gt;"",1,0))))+IF(F127=1,30,IF(F127=2,20,IF(F127=3,10,IF(F127&lt;&gt;"",1,0))))+IF(G127=1,30,IF(G127=2,20,IF(G127=3,10,IF(G127&lt;&gt;"",1,0))))+IF(H127=1,30,IF(H127=2,20,IF(H127=3,10,IF(H127&lt;&gt;"",1,0)))))*2)</f>
        <v/>
      </c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>
        <f>IF(AND(C128="",OR(E128="",E128=0)),"",(IF(E128=1,30,IF(E128=2,20,IF(E128=3,10,IF(E128&lt;&gt;"",1,0))))+IF(F128=1,30,IF(F128=2,20,IF(F128=3,10,IF(F128&lt;&gt;"",1,0))))+IF(G128=1,30,IF(G128=2,20,IF(G128=3,10,IF(G128&lt;&gt;"",1,0))))+IF(H128=1,30,IF(H128=2,20,IF(H128=3,10,IF(H128&lt;&gt;"",1,0)))))*2)</f>
        <v/>
      </c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>
        <f>IF(AND(C129="",OR(E129="",E129=0)),"",(IF(E129=1,30,IF(E129=2,20,IF(E129=3,10,IF(E129&lt;&gt;"",1,0))))+IF(F129=1,30,IF(F129=2,20,IF(F129=3,10,IF(F129&lt;&gt;"",1,0))))+IF(G129=1,30,IF(G129=2,20,IF(G129=3,10,IF(G129&lt;&gt;"",1,0))))+IF(H129=1,30,IF(H129=2,20,IF(H129=3,10,IF(H129&lt;&gt;"",1,0)))))*2)</f>
        <v/>
      </c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>
        <f>IF(AND(C130="",OR(E130="",E130=0)),"",(IF(E130=1,30,IF(E130=2,20,IF(E130=3,10,IF(E130&lt;&gt;"",1,0))))+IF(F130=1,30,IF(F130=2,20,IF(F130=3,10,IF(F130&lt;&gt;"",1,0))))+IF(G130=1,30,IF(G130=2,20,IF(G130=3,10,IF(G130&lt;&gt;"",1,0))))+IF(H130=1,30,IF(H130=2,20,IF(H130=3,10,IF(H130&lt;&gt;"",1,0)))))*2)</f>
        <v/>
      </c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>
        <f>IF(AND(C131="",OR(E131="",E131=0)),"",(IF(E131=1,30,IF(E131=2,20,IF(E131=3,10,IF(E131&lt;&gt;"",1,0))))+IF(F131=1,30,IF(F131=2,20,IF(F131=3,10,IF(F131&lt;&gt;"",1,0))))+IF(G131=1,30,IF(G131=2,20,IF(G131=3,10,IF(G131&lt;&gt;"",1,0))))+IF(H131=1,30,IF(H131=2,20,IF(H131=3,10,IF(H131&lt;&gt;"",1,0)))))*2)</f>
        <v/>
      </c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>
        <f>IF(AND(C132="",OR(E132="",E132=0)),"",(IF(E132=1,30,IF(E132=2,20,IF(E132=3,10,IF(E132&lt;&gt;"",1,0))))+IF(F132=1,30,IF(F132=2,20,IF(F132=3,10,IF(F132&lt;&gt;"",1,0))))+IF(G132=1,30,IF(G132=2,20,IF(G132=3,10,IF(G132&lt;&gt;"",1,0))))+IF(H132=1,30,IF(H132=2,20,IF(H132=3,10,IF(H132&lt;&gt;"",1,0)))))*2)</f>
        <v/>
      </c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>
        <f>IF(AND(C133="",OR(E133="",E133=0)),"",(IF(E133=1,30,IF(E133=2,20,IF(E133=3,10,IF(E133&lt;&gt;"",1,0))))+IF(F133=1,30,IF(F133=2,20,IF(F133=3,10,IF(F133&lt;&gt;"",1,0))))+IF(G133=1,30,IF(G133=2,20,IF(G133=3,10,IF(G133&lt;&gt;"",1,0))))+IF(H133=1,30,IF(H133=2,20,IF(H133=3,10,IF(H133&lt;&gt;"",1,0)))))*2)</f>
        <v/>
      </c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>
        <f>IF(AND(C134="",OR(E134="",E134=0)),"",(IF(E134=1,30,IF(E134=2,20,IF(E134=3,10,IF(E134&lt;&gt;"",1,0))))+IF(F134=1,30,IF(F134=2,20,IF(F134=3,10,IF(F134&lt;&gt;"",1,0))))+IF(G134=1,30,IF(G134=2,20,IF(G134=3,10,IF(G134&lt;&gt;"",1,0))))+IF(H134=1,30,IF(H134=2,20,IF(H134=3,10,IF(H134&lt;&gt;"",1,0)))))*2)</f>
        <v/>
      </c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>
        <f>IF(AND(C135="",OR(E135="",E135=0)),"",(IF(E135=1,30,IF(E135=2,20,IF(E135=3,10,IF(E135&lt;&gt;"",1,0))))+IF(F135=1,30,IF(F135=2,20,IF(F135=3,10,IF(F135&lt;&gt;"",1,0))))+IF(G135=1,30,IF(G135=2,20,IF(G135=3,10,IF(G135&lt;&gt;"",1,0))))+IF(H135=1,30,IF(H135=2,20,IF(H135=3,10,IF(H135&lt;&gt;"",1,0)))))*2)</f>
        <v/>
      </c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>
        <f>IF(AND(C136="",OR(E136="",E136=0)),"",(IF(E136=1,30,IF(E136=2,20,IF(E136=3,10,IF(E136&lt;&gt;"",1,0))))+IF(F136=1,30,IF(F136=2,20,IF(F136=3,10,IF(F136&lt;&gt;"",1,0))))+IF(G136=1,30,IF(G136=2,20,IF(G136=3,10,IF(G136&lt;&gt;"",1,0))))+IF(H136=1,30,IF(H136=2,20,IF(H136=3,10,IF(H136&lt;&gt;"",1,0)))))*2)</f>
        <v/>
      </c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>
        <f>IF(AND(C137="",OR(E137="",E137=0)),"",(IF(E137=1,30,IF(E137=2,20,IF(E137=3,10,IF(E137&lt;&gt;"",1,0))))+IF(F137=1,30,IF(F137=2,20,IF(F137=3,10,IF(F137&lt;&gt;"",1,0))))+IF(G137=1,30,IF(G137=2,20,IF(G137=3,10,IF(G137&lt;&gt;"",1,0))))+IF(H137=1,30,IF(H137=2,20,IF(H137=3,10,IF(H137&lt;&gt;"",1,0)))))*2)</f>
        <v/>
      </c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>
        <f>IF(AND(C138="",OR(E138="",E138=0)),"",(IF(E138=1,30,IF(E138=2,20,IF(E138=3,10,IF(E138&lt;&gt;"",1,0))))+IF(F138=1,30,IF(F138=2,20,IF(F138=3,10,IF(F138&lt;&gt;"",1,0))))+IF(G138=1,30,IF(G138=2,20,IF(G138=3,10,IF(G138&lt;&gt;"",1,0))))+IF(H138=1,30,IF(H138=2,20,IF(H138=3,10,IF(H138&lt;&gt;"",1,0)))))*2)</f>
        <v/>
      </c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>
        <f>IF(AND(C139="",OR(E139="",E139=0)),"",(IF(E139=1,30,IF(E139=2,20,IF(E139=3,10,IF(E139&lt;&gt;"",1,0))))+IF(F139=1,30,IF(F139=2,20,IF(F139=3,10,IF(F139&lt;&gt;"",1,0))))+IF(G139=1,30,IF(G139=2,20,IF(G139=3,10,IF(G139&lt;&gt;"",1,0))))+IF(H139=1,30,IF(H139=2,20,IF(H139=3,10,IF(H139&lt;&gt;"",1,0)))))*2)</f>
        <v/>
      </c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>
        <f>IF(AND(C140="",OR(E140="",E140=0)),"",(IF(E140=1,30,IF(E140=2,20,IF(E140=3,10,IF(E140&lt;&gt;"",1,0))))+IF(F140=1,30,IF(F140=2,20,IF(F140=3,10,IF(F140&lt;&gt;"",1,0))))+IF(G140=1,30,IF(G140=2,20,IF(G140=3,10,IF(G140&lt;&gt;"",1,0))))+IF(H140=1,30,IF(H140=2,20,IF(H140=3,10,IF(H140&lt;&gt;"",1,0)))))*2)</f>
        <v/>
      </c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>
        <f>IF(AND(C141="",OR(E141="",E141=0)),"",(IF(E141=1,30,IF(E141=2,20,IF(E141=3,10,IF(E141&lt;&gt;"",1,0))))+IF(F141=1,30,IF(F141=2,20,IF(F141=3,10,IF(F141&lt;&gt;"",1,0))))+IF(G141=1,30,IF(G141=2,20,IF(G141=3,10,IF(G141&lt;&gt;"",1,0))))+IF(H141=1,30,IF(H141=2,20,IF(H141=3,10,IF(H141&lt;&gt;"",1,0)))))*2)</f>
        <v/>
      </c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>
        <f>IF(AND(C142="",OR(E142="",E142=0)),"",(IF(E142=1,30,IF(E142=2,20,IF(E142=3,10,IF(E142&lt;&gt;"",1,0))))+IF(F142=1,30,IF(F142=2,20,IF(F142=3,10,IF(F142&lt;&gt;"",1,0))))+IF(G142=1,30,IF(G142=2,20,IF(G142=3,10,IF(G142&lt;&gt;"",1,0))))+IF(H142=1,30,IF(H142=2,20,IF(H142=3,10,IF(H142&lt;&gt;"",1,0)))))*2)</f>
        <v/>
      </c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>
        <f>IF(AND(C143="",OR(E143="",E143=0)),"",(IF(E143=1,30,IF(E143=2,20,IF(E143=3,10,IF(E143&lt;&gt;"",1,0))))+IF(F143=1,30,IF(F143=2,20,IF(F143=3,10,IF(F143&lt;&gt;"",1,0))))+IF(G143=1,30,IF(G143=2,20,IF(G143=3,10,IF(G143&lt;&gt;"",1,0))))+IF(H143=1,30,IF(H143=2,20,IF(H143=3,10,IF(H143&lt;&gt;"",1,0)))))*2)</f>
        <v/>
      </c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>
        <f>IF(AND(C144="",OR(E144="",E144=0)),"",(IF(E144=1,30,IF(E144=2,20,IF(E144=3,10,IF(E144&lt;&gt;"",1,0))))+IF(F144=1,30,IF(F144=2,20,IF(F144=3,10,IF(F144&lt;&gt;"",1,0))))+IF(G144=1,30,IF(G144=2,20,IF(G144=3,10,IF(G144&lt;&gt;"",1,0))))+IF(H144=1,30,IF(H144=2,20,IF(H144=3,10,IF(H144&lt;&gt;"",1,0)))))*2)</f>
        <v/>
      </c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>
        <f>IF(AND(C145="",OR(E145="",E145=0)),"",(IF(E145=1,30,IF(E145=2,20,IF(E145=3,10,IF(E145&lt;&gt;"",1,0))))+IF(F145=1,30,IF(F145=2,20,IF(F145=3,10,IF(F145&lt;&gt;"",1,0))))+IF(G145=1,30,IF(G145=2,20,IF(G145=3,10,IF(G145&lt;&gt;"",1,0))))+IF(H145=1,30,IF(H145=2,20,IF(H145=3,10,IF(H145&lt;&gt;"",1,0)))))*2)</f>
        <v/>
      </c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>
        <f>IF(AND(C146="",OR(E146="",E146=0)),"",(IF(E146=1,30,IF(E146=2,20,IF(E146=3,10,IF(E146&lt;&gt;"",1,0))))+IF(F146=1,30,IF(F146=2,20,IF(F146=3,10,IF(F146&lt;&gt;"",1,0))))+IF(G146=1,30,IF(G146=2,20,IF(G146=3,10,IF(G146&lt;&gt;"",1,0))))+IF(H146=1,30,IF(H146=2,20,IF(H146=3,10,IF(H146&lt;&gt;"",1,0)))))*2)</f>
        <v/>
      </c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>
        <f>IF(AND(C147="",OR(E147="",E147=0)),"",(IF(E147=1,30,IF(E147=2,20,IF(E147=3,10,IF(E147&lt;&gt;"",1,0))))+IF(F147=1,30,IF(F147=2,20,IF(F147=3,10,IF(F147&lt;&gt;"",1,0))))+IF(G147=1,30,IF(G147=2,20,IF(G147=3,10,IF(G147&lt;&gt;"",1,0))))+IF(H147=1,30,IF(H147=2,20,IF(H147=3,10,IF(H147&lt;&gt;"",1,0)))))*2)</f>
        <v/>
      </c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>
        <f>IF(AND(C148="",OR(E148="",E148=0)),"",(IF(E148=1,30,IF(E148=2,20,IF(E148=3,10,IF(E148&lt;&gt;"",1,0))))+IF(F148=1,30,IF(F148=2,20,IF(F148=3,10,IF(F148&lt;&gt;"",1,0))))+IF(G148=1,30,IF(G148=2,20,IF(G148=3,10,IF(G148&lt;&gt;"",1,0))))+IF(H148=1,30,IF(H148=2,20,IF(H148=3,10,IF(H148&lt;&gt;"",1,0)))))*2)</f>
        <v/>
      </c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>
        <f>IF(AND(C149="",OR(E149="",E149=0)),"",(IF(E149=1,30,IF(E149=2,20,IF(E149=3,10,IF(E149&lt;&gt;"",1,0))))+IF(F149=1,30,IF(F149=2,20,IF(F149=3,10,IF(F149&lt;&gt;"",1,0))))+IF(G149=1,30,IF(G149=2,20,IF(G149=3,10,IF(G149&lt;&gt;"",1,0))))+IF(H149=1,30,IF(H149=2,20,IF(H149=3,10,IF(H149&lt;&gt;"",1,0)))))*2)</f>
        <v/>
      </c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>
        <f>IF(AND(C150="",OR(E150="",E150=0)),"",(IF(E150=1,30,IF(E150=2,20,IF(E150=3,10,IF(E150&lt;&gt;"",1,0))))+IF(F150=1,30,IF(F150=2,20,IF(F150=3,10,IF(F150&lt;&gt;"",1,0))))+IF(G150=1,30,IF(G150=2,20,IF(G150=3,10,IF(G150&lt;&gt;"",1,0))))+IF(H150=1,30,IF(H150=2,20,IF(H150=3,10,IF(H150&lt;&gt;"",1,0)))))*2)</f>
        <v/>
      </c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>
        <f>IF(AND(C151="",OR(E151="",E151=0)),"",(IF(E151=1,30,IF(E151=2,20,IF(E151=3,10,IF(E151&lt;&gt;"",1,0))))+IF(F151=1,30,IF(F151=2,20,IF(F151=3,10,IF(F151&lt;&gt;"",1,0))))+IF(G151=1,30,IF(G151=2,20,IF(G151=3,10,IF(G151&lt;&gt;"",1,0))))+IF(H151=1,30,IF(H151=2,20,IF(H151=3,10,IF(H151&lt;&gt;"",1,0)))))*2)</f>
        <v/>
      </c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>
        <f>IF(AND(C152="",OR(E152="",E152=0)),"",(IF(E152=1,30,IF(E152=2,20,IF(E152=3,10,IF(E152&lt;&gt;"",1,0))))+IF(F152=1,30,IF(F152=2,20,IF(F152=3,10,IF(F152&lt;&gt;"",1,0))))+IF(G152=1,30,IF(G152=2,20,IF(G152=3,10,IF(G152&lt;&gt;"",1,0))))+IF(H152=1,30,IF(H152=2,20,IF(H152=3,10,IF(H152&lt;&gt;"",1,0)))))*2)</f>
        <v/>
      </c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>
        <f>IF(AND(C153="",OR(E153="",E153=0)),"",(IF(E153=1,30,IF(E153=2,20,IF(E153=3,10,IF(E153&lt;&gt;"",1,0))))+IF(F153=1,30,IF(F153=2,20,IF(F153=3,10,IF(F153&lt;&gt;"",1,0))))+IF(G153=1,30,IF(G153=2,20,IF(G153=3,10,IF(G153&lt;&gt;"",1,0))))+IF(H153=1,30,IF(H153=2,20,IF(H153=3,10,IF(H153&lt;&gt;"",1,0)))))*2)</f>
        <v/>
      </c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>
        <f>IF(AND(C154="",OR(E154="",E154=0)),"",(IF(E154=1,30,IF(E154=2,20,IF(E154=3,10,IF(E154&lt;&gt;"",1,0))))+IF(F154=1,30,IF(F154=2,20,IF(F154=3,10,IF(F154&lt;&gt;"",1,0))))+IF(G154=1,30,IF(G154=2,20,IF(G154=3,10,IF(G154&lt;&gt;"",1,0))))+IF(H154=1,30,IF(H154=2,20,IF(H154=3,10,IF(H154&lt;&gt;"",1,0)))))*2)</f>
        <v/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>
        <f>IF(AND(C155="",OR(E155="",E155=0)),"",(IF(E155=1,30,IF(E155=2,20,IF(E155=3,10,IF(E155&lt;&gt;"",1,0))))+IF(F155=1,30,IF(F155=2,20,IF(F155=3,10,IF(F155&lt;&gt;"",1,0))))+IF(G155=1,30,IF(G155=2,20,IF(G155=3,10,IF(G155&lt;&gt;"",1,0))))+IF(H155=1,30,IF(H155=2,20,IF(H155=3,10,IF(H155&lt;&gt;"",1,0)))))*2)</f>
        <v/>
      </c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>
        <f>IF(AND(C156="",OR(E156="",E156=0)),"",(IF(E156=1,30,IF(E156=2,20,IF(E156=3,10,IF(E156&lt;&gt;"",1,0))))+IF(F156=1,30,IF(F156=2,20,IF(F156=3,10,IF(F156&lt;&gt;"",1,0))))+IF(G156=1,30,IF(G156=2,20,IF(G156=3,10,IF(G156&lt;&gt;"",1,0))))+IF(H156=1,30,IF(H156=2,20,IF(H156=3,10,IF(H156&lt;&gt;"",1,0)))))*2)</f>
        <v/>
      </c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>
        <f>IF(AND(C157="",OR(E157="",E157=0)),"",(IF(E157=1,30,IF(E157=2,20,IF(E157=3,10,IF(E157&lt;&gt;"",1,0))))+IF(F157=1,30,IF(F157=2,20,IF(F157=3,10,IF(F157&lt;&gt;"",1,0))))+IF(G157=1,30,IF(G157=2,20,IF(G157=3,10,IF(G157&lt;&gt;"",1,0))))+IF(H157=1,30,IF(H157=2,20,IF(H157=3,10,IF(H157&lt;&gt;"",1,0)))))*2)</f>
        <v/>
      </c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>
        <f>IF(AND(C158="",OR(E158="",E158=0)),"",(IF(E158=1,30,IF(E158=2,20,IF(E158=3,10,IF(E158&lt;&gt;"",1,0))))+IF(F158=1,30,IF(F158=2,20,IF(F158=3,10,IF(F158&lt;&gt;"",1,0))))+IF(G158=1,30,IF(G158=2,20,IF(G158=3,10,IF(G158&lt;&gt;"",1,0))))+IF(H158=1,30,IF(H158=2,20,IF(H158=3,10,IF(H158&lt;&gt;"",1,0)))))*2)</f>
        <v/>
      </c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>
        <f>IF(AND(C159="",OR(E159="",E159=0)),"",(IF(E159=1,30,IF(E159=2,20,IF(E159=3,10,IF(E159&lt;&gt;"",1,0))))+IF(F159=1,30,IF(F159=2,20,IF(F159=3,10,IF(F159&lt;&gt;"",1,0))))+IF(G159=1,30,IF(G159=2,20,IF(G159=3,10,IF(G159&lt;&gt;"",1,0))))+IF(H159=1,30,IF(H159=2,20,IF(H159=3,10,IF(H159&lt;&gt;"",1,0)))))*2)</f>
        <v/>
      </c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>
        <f>IF(AND(C160="",OR(E160="",E160=0)),"",(IF(E160=1,30,IF(E160=2,20,IF(E160=3,10,IF(E160&lt;&gt;"",1,0))))+IF(F160=1,30,IF(F160=2,20,IF(F160=3,10,IF(F160&lt;&gt;"",1,0))))+IF(G160=1,30,IF(G160=2,20,IF(G160=3,10,IF(G160&lt;&gt;"",1,0))))+IF(H160=1,30,IF(H160=2,20,IF(H160=3,10,IF(H160&lt;&gt;"",1,0)))))*2)</f>
        <v/>
      </c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>
        <f>IF(AND(C161="",OR(E161="",E161=0)),"",(IF(E161=1,30,IF(E161=2,20,IF(E161=3,10,IF(E161&lt;&gt;"",1,0))))+IF(F161=1,30,IF(F161=2,20,IF(F161=3,10,IF(F161&lt;&gt;"",1,0))))+IF(G161=1,30,IF(G161=2,20,IF(G161=3,10,IF(G161&lt;&gt;"",1,0))))+IF(H161=1,30,IF(H161=2,20,IF(H161=3,10,IF(H161&lt;&gt;"",1,0)))))*2)</f>
        <v/>
      </c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>
        <f>IF(AND(C162="",OR(E162="",E162=0)),"",(IF(E162=1,30,IF(E162=2,20,IF(E162=3,10,IF(E162&lt;&gt;"",1,0))))+IF(F162=1,30,IF(F162=2,20,IF(F162=3,10,IF(F162&lt;&gt;"",1,0))))+IF(G162=1,30,IF(G162=2,20,IF(G162=3,10,IF(G162&lt;&gt;"",1,0))))+IF(H162=1,30,IF(H162=2,20,IF(H162=3,10,IF(H162&lt;&gt;"",1,0)))))*2)</f>
        <v/>
      </c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>
        <f>IF(AND(C163="",OR(E163="",E163=0)),"",(IF(E163=1,30,IF(E163=2,20,IF(E163=3,10,IF(E163&lt;&gt;"",1,0))))+IF(F163=1,30,IF(F163=2,20,IF(F163=3,10,IF(F163&lt;&gt;"",1,0))))+IF(G163=1,30,IF(G163=2,20,IF(G163=3,10,IF(G163&lt;&gt;"",1,0))))+IF(H163=1,30,IF(H163=2,20,IF(H163=3,10,IF(H163&lt;&gt;"",1,0)))))*2)</f>
        <v/>
      </c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>
        <f>IF(AND(C164="",OR(E164="",E164=0)),"",(IF(E164=1,30,IF(E164=2,20,IF(E164=3,10,IF(E164&lt;&gt;"",1,0))))+IF(F164=1,30,IF(F164=2,20,IF(F164=3,10,IF(F164&lt;&gt;"",1,0))))+IF(G164=1,30,IF(G164=2,20,IF(G164=3,10,IF(G164&lt;&gt;"",1,0))))+IF(H164=1,30,IF(H164=2,20,IF(H164=3,10,IF(H164&lt;&gt;"",1,0)))))*2)</f>
        <v/>
      </c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>
        <f>IF(AND(C165="",OR(E165="",E165=0)),"",(IF(E165=1,30,IF(E165=2,20,IF(E165=3,10,IF(E165&lt;&gt;"",1,0))))+IF(F165=1,30,IF(F165=2,20,IF(F165=3,10,IF(F165&lt;&gt;"",1,0))))+IF(G165=1,30,IF(G165=2,20,IF(G165=3,10,IF(G165&lt;&gt;"",1,0))))+IF(H165=1,30,IF(H165=2,20,IF(H165=3,10,IF(H165&lt;&gt;"",1,0)))))*2)</f>
        <v/>
      </c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>
        <f>IF(AND(C166="",OR(E166="",E166=0)),"",(IF(E166=1,30,IF(E166=2,20,IF(E166=3,10,IF(E166&lt;&gt;"",1,0))))+IF(F166=1,30,IF(F166=2,20,IF(F166=3,10,IF(F166&lt;&gt;"",1,0))))+IF(G166=1,30,IF(G166=2,20,IF(G166=3,10,IF(G166&lt;&gt;"",1,0))))+IF(H166=1,30,IF(H166=2,20,IF(H166=3,10,IF(H166&lt;&gt;"",1,0)))))*2)</f>
        <v/>
      </c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>
        <f>IF(AND(C167="",OR(E167="",E167=0)),"",(IF(E167=1,30,IF(E167=2,20,IF(E167=3,10,IF(E167&lt;&gt;"",1,0))))+IF(F167=1,30,IF(F167=2,20,IF(F167=3,10,IF(F167&lt;&gt;"",1,0))))+IF(G167=1,30,IF(G167=2,20,IF(G167=3,10,IF(G167&lt;&gt;"",1,0))))+IF(H167=1,30,IF(H167=2,20,IF(H167=3,10,IF(H167&lt;&gt;"",1,0)))))*2)</f>
        <v/>
      </c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>
        <f>IF(AND(C168="",OR(E168="",E168=0)),"",(IF(E168=1,30,IF(E168=2,20,IF(E168=3,10,IF(E168&lt;&gt;"",1,0))))+IF(F168=1,30,IF(F168=2,20,IF(F168=3,10,IF(F168&lt;&gt;"",1,0))))+IF(G168=1,30,IF(G168=2,20,IF(G168=3,10,IF(G168&lt;&gt;"",1,0))))+IF(H168=1,30,IF(H168=2,20,IF(H168=3,10,IF(H168&lt;&gt;"",1,0)))))*2)</f>
        <v/>
      </c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>
        <f>IF(AND(C169="",OR(E169="",E169=0)),"",(IF(E169=1,30,IF(E169=2,20,IF(E169=3,10,IF(E169&lt;&gt;"",1,0))))+IF(F169=1,30,IF(F169=2,20,IF(F169=3,10,IF(F169&lt;&gt;"",1,0))))+IF(G169=1,30,IF(G169=2,20,IF(G169=3,10,IF(G169&lt;&gt;"",1,0))))+IF(H169=1,30,IF(H169=2,20,IF(H169=3,10,IF(H169&lt;&gt;"",1,0)))))*2)</f>
        <v/>
      </c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>
        <f>IF(AND(C170="",OR(E170="",E170=0)),"",(IF(E170=1,30,IF(E170=2,20,IF(E170=3,10,IF(E170&lt;&gt;"",1,0))))+IF(F170=1,30,IF(F170=2,20,IF(F170=3,10,IF(F170&lt;&gt;"",1,0))))+IF(G170=1,30,IF(G170=2,20,IF(G170=3,10,IF(G170&lt;&gt;"",1,0))))+IF(H170=1,30,IF(H170=2,20,IF(H170=3,10,IF(H170&lt;&gt;"",1,0)))))*2)</f>
        <v/>
      </c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>
        <f>IF(AND(C171="",OR(E171="",E171=0)),"",(IF(E171=1,30,IF(E171=2,20,IF(E171=3,10,IF(E171&lt;&gt;"",1,0))))+IF(F171=1,30,IF(F171=2,20,IF(F171=3,10,IF(F171&lt;&gt;"",1,0))))+IF(G171=1,30,IF(G171=2,20,IF(G171=3,10,IF(G171&lt;&gt;"",1,0))))+IF(H171=1,30,IF(H171=2,20,IF(H171=3,10,IF(H171&lt;&gt;"",1,0)))))*2)</f>
        <v/>
      </c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>
        <f>IF(AND(C172="",OR(E172="",E172=0)),"",(IF(E172=1,30,IF(E172=2,20,IF(E172=3,10,IF(E172&lt;&gt;"",1,0))))+IF(F172=1,30,IF(F172=2,20,IF(F172=3,10,IF(F172&lt;&gt;"",1,0))))+IF(G172=1,30,IF(G172=2,20,IF(G172=3,10,IF(G172&lt;&gt;"",1,0))))+IF(H172=1,30,IF(H172=2,20,IF(H172=3,10,IF(H172&lt;&gt;"",1,0)))))*2)</f>
        <v/>
      </c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>
        <f>IF(AND(C173="",OR(E173="",E173=0)),"",(IF(E173=1,30,IF(E173=2,20,IF(E173=3,10,IF(E173&lt;&gt;"",1,0))))+IF(F173=1,30,IF(F173=2,20,IF(F173=3,10,IF(F173&lt;&gt;"",1,0))))+IF(G173=1,30,IF(G173=2,20,IF(G173=3,10,IF(G173&lt;&gt;"",1,0))))+IF(H173=1,30,IF(H173=2,20,IF(H173=3,10,IF(H173&lt;&gt;"",1,0)))))*2)</f>
        <v/>
      </c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>
        <f>IF(AND(C174="",OR(E174="",E174=0)),"",(IF(E174=1,30,IF(E174=2,20,IF(E174=3,10,IF(E174&lt;&gt;"",1,0))))+IF(F174=1,30,IF(F174=2,20,IF(F174=3,10,IF(F174&lt;&gt;"",1,0))))+IF(G174=1,30,IF(G174=2,20,IF(G174=3,10,IF(G174&lt;&gt;"",1,0))))+IF(H174=1,30,IF(H174=2,20,IF(H174=3,10,IF(H174&lt;&gt;"",1,0)))))*2)</f>
        <v/>
      </c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>
        <f>IF(AND(C175="",OR(E175="",E175=0)),"",(IF(E175=1,30,IF(E175=2,20,IF(E175=3,10,IF(E175&lt;&gt;"",1,0))))+IF(F175=1,30,IF(F175=2,20,IF(F175=3,10,IF(F175&lt;&gt;"",1,0))))+IF(G175=1,30,IF(G175=2,20,IF(G175=3,10,IF(G175&lt;&gt;"",1,0))))+IF(H175=1,30,IF(H175=2,20,IF(H175=3,10,IF(H175&lt;&gt;"",1,0)))))*2)</f>
        <v/>
      </c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>
        <f>IF(AND(C176="",OR(E176="",E176=0)),"",(IF(E176=1,30,IF(E176=2,20,IF(E176=3,10,IF(E176&lt;&gt;"",1,0))))+IF(F176=1,30,IF(F176=2,20,IF(F176=3,10,IF(F176&lt;&gt;"",1,0))))+IF(G176=1,30,IF(G176=2,20,IF(G176=3,10,IF(G176&lt;&gt;"",1,0))))+IF(H176=1,30,IF(H176=2,20,IF(H176=3,10,IF(H176&lt;&gt;"",1,0)))))*2)</f>
        <v/>
      </c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>
        <f>IF(AND(C177="",OR(E177="",E177=0)),"",(IF(E177=1,30,IF(E177=2,20,IF(E177=3,10,IF(E177&lt;&gt;"",1,0))))+IF(F177=1,30,IF(F177=2,20,IF(F177=3,10,IF(F177&lt;&gt;"",1,0))))+IF(G177=1,30,IF(G177=2,20,IF(G177=3,10,IF(G177&lt;&gt;"",1,0))))+IF(H177=1,30,IF(H177=2,20,IF(H177=3,10,IF(H177&lt;&gt;"",1,0)))))*2)</f>
        <v/>
      </c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>
        <f>IF(AND(C178="",OR(E178="",E178=0)),"",(IF(E178=1,30,IF(E178=2,20,IF(E178=3,10,IF(E178&lt;&gt;"",1,0))))+IF(F178=1,30,IF(F178=2,20,IF(F178=3,10,IF(F178&lt;&gt;"",1,0))))+IF(G178=1,30,IF(G178=2,20,IF(G178=3,10,IF(G178&lt;&gt;"",1,0))))+IF(H178=1,30,IF(H178=2,20,IF(H178=3,10,IF(H178&lt;&gt;"",1,0)))))*2)</f>
        <v/>
      </c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>
        <f>IF(AND(C179="",OR(E179="",E179=0)),"",(IF(E179=1,30,IF(E179=2,20,IF(E179=3,10,IF(E179&lt;&gt;"",1,0))))+IF(F179=1,30,IF(F179=2,20,IF(F179=3,10,IF(F179&lt;&gt;"",1,0))))+IF(G179=1,30,IF(G179=2,20,IF(G179=3,10,IF(G179&lt;&gt;"",1,0))))+IF(H179=1,30,IF(H179=2,20,IF(H179=3,10,IF(H179&lt;&gt;"",1,0)))))*2)</f>
        <v/>
      </c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>
        <f>IF(AND(C180="",OR(E180="",E180=0)),"",(IF(E180=1,30,IF(E180=2,20,IF(E180=3,10,IF(E180&lt;&gt;"",1,0))))+IF(F180=1,30,IF(F180=2,20,IF(F180=3,10,IF(F180&lt;&gt;"",1,0))))+IF(G180=1,30,IF(G180=2,20,IF(G180=3,10,IF(G180&lt;&gt;"",1,0))))+IF(H180=1,30,IF(H180=2,20,IF(H180=3,10,IF(H180&lt;&gt;"",1,0)))))*2)</f>
        <v/>
      </c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>
        <f>IF(AND(C181="",OR(E181="",E181=0)),"",(IF(E181=1,30,IF(E181=2,20,IF(E181=3,10,IF(E181&lt;&gt;"",1,0))))+IF(F181=1,30,IF(F181=2,20,IF(F181=3,10,IF(F181&lt;&gt;"",1,0))))+IF(G181=1,30,IF(G181=2,20,IF(G181=3,10,IF(G181&lt;&gt;"",1,0))))+IF(H181=1,30,IF(H181=2,20,IF(H181=3,10,IF(H181&lt;&gt;"",1,0)))))*2)</f>
        <v/>
      </c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>
        <f>IF(AND(C182="",OR(E182="",E182=0)),"",(IF(E182=1,30,IF(E182=2,20,IF(E182=3,10,IF(E182&lt;&gt;"",1,0))))+IF(F182=1,30,IF(F182=2,20,IF(F182=3,10,IF(F182&lt;&gt;"",1,0))))+IF(G182=1,30,IF(G182=2,20,IF(G182=3,10,IF(G182&lt;&gt;"",1,0))))+IF(H182=1,30,IF(H182=2,20,IF(H182=3,10,IF(H182&lt;&gt;"",1,0)))))*2)</f>
        <v/>
      </c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>
        <f>IF(AND(C183="",OR(E183="",E183=0)),"",(IF(E183=1,30,IF(E183=2,20,IF(E183=3,10,IF(E183&lt;&gt;"",1,0))))+IF(F183=1,30,IF(F183=2,20,IF(F183=3,10,IF(F183&lt;&gt;"",1,0))))+IF(G183=1,30,IF(G183=2,20,IF(G183=3,10,IF(G183&lt;&gt;"",1,0))))+IF(H183=1,30,IF(H183=2,20,IF(H183=3,10,IF(H183&lt;&gt;"",1,0)))))*2)</f>
        <v/>
      </c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>
        <f>IF(AND(C184="",OR(E184="",E184=0)),"",(IF(E184=1,30,IF(E184=2,20,IF(E184=3,10,IF(E184&lt;&gt;"",1,0))))+IF(F184=1,30,IF(F184=2,20,IF(F184=3,10,IF(F184&lt;&gt;"",1,0))))+IF(G184=1,30,IF(G184=2,20,IF(G184=3,10,IF(G184&lt;&gt;"",1,0))))+IF(H184=1,30,IF(H184=2,20,IF(H184=3,10,IF(H184&lt;&gt;"",1,0)))))*2)</f>
        <v/>
      </c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>
        <f>IF(AND(C185="",OR(E185="",E185=0)),"",(IF(E185=1,30,IF(E185=2,20,IF(E185=3,10,IF(E185&lt;&gt;"",1,0))))+IF(F185=1,30,IF(F185=2,20,IF(F185=3,10,IF(F185&lt;&gt;"",1,0))))+IF(G185=1,30,IF(G185=2,20,IF(G185=3,10,IF(G185&lt;&gt;"",1,0))))+IF(H185=1,30,IF(H185=2,20,IF(H185=3,10,IF(H185&lt;&gt;"",1,0)))))*2)</f>
        <v/>
      </c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>
        <f>IF(AND(C186="",OR(E186="",E186=0)),"",(IF(E186=1,30,IF(E186=2,20,IF(E186=3,10,IF(E186&lt;&gt;"",1,0))))+IF(F186=1,30,IF(F186=2,20,IF(F186=3,10,IF(F186&lt;&gt;"",1,0))))+IF(G186=1,30,IF(G186=2,20,IF(G186=3,10,IF(G186&lt;&gt;"",1,0))))+IF(H186=1,30,IF(H186=2,20,IF(H186=3,10,IF(H186&lt;&gt;"",1,0)))))*2)</f>
        <v/>
      </c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>
        <f>IF(AND(C187="",OR(E187="",E187=0)),"",(IF(E187=1,30,IF(E187=2,20,IF(E187=3,10,IF(E187&lt;&gt;"",1,0))))+IF(F187=1,30,IF(F187=2,20,IF(F187=3,10,IF(F187&lt;&gt;"",1,0))))+IF(G187=1,30,IF(G187=2,20,IF(G187=3,10,IF(G187&lt;&gt;"",1,0))))+IF(H187=1,30,IF(H187=2,20,IF(H187=3,10,IF(H187&lt;&gt;"",1,0)))))*2)</f>
        <v/>
      </c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>
        <f>IF(AND(C188="",OR(E188="",E188=0)),"",(IF(E188=1,30,IF(E188=2,20,IF(E188=3,10,IF(E188&lt;&gt;"",1,0))))+IF(F188=1,30,IF(F188=2,20,IF(F188=3,10,IF(F188&lt;&gt;"",1,0))))+IF(G188=1,30,IF(G188=2,20,IF(G188=3,10,IF(G188&lt;&gt;"",1,0))))+IF(H188=1,30,IF(H188=2,20,IF(H188=3,10,IF(H188&lt;&gt;"",1,0)))))*2)</f>
        <v/>
      </c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>
        <f>IF(AND(C189="",OR(E189="",E189=0)),"",(IF(E189=1,30,IF(E189=2,20,IF(E189=3,10,IF(E189&lt;&gt;"",1,0))))+IF(F189=1,30,IF(F189=2,20,IF(F189=3,10,IF(F189&lt;&gt;"",1,0))))+IF(G189=1,30,IF(G189=2,20,IF(G189=3,10,IF(G189&lt;&gt;"",1,0))))+IF(H189=1,30,IF(H189=2,20,IF(H189=3,10,IF(H189&lt;&gt;"",1,0)))))*2)</f>
        <v/>
      </c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>
        <f>IF(AND(C190="",OR(E190="",E190=0)),"",(IF(E190=1,30,IF(E190=2,20,IF(E190=3,10,IF(E190&lt;&gt;"",1,0))))+IF(F190=1,30,IF(F190=2,20,IF(F190=3,10,IF(F190&lt;&gt;"",1,0))))+IF(G190=1,30,IF(G190=2,20,IF(G190=3,10,IF(G190&lt;&gt;"",1,0))))+IF(H190=1,30,IF(H190=2,20,IF(H190=3,10,IF(H190&lt;&gt;"",1,0)))))*2)</f>
        <v/>
      </c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>
        <f>IF(AND(C191="",OR(E191="",E191=0)),"",(IF(E191=1,30,IF(E191=2,20,IF(E191=3,10,IF(E191&lt;&gt;"",1,0))))+IF(F191=1,30,IF(F191=2,20,IF(F191=3,10,IF(F191&lt;&gt;"",1,0))))+IF(G191=1,30,IF(G191=2,20,IF(G191=3,10,IF(G191&lt;&gt;"",1,0))))+IF(H191=1,30,IF(H191=2,20,IF(H191=3,10,IF(H191&lt;&gt;"",1,0)))))*2)</f>
        <v/>
      </c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>
        <f>IF(AND(C192="",OR(E192="",E192=0)),"",(IF(E192=1,30,IF(E192=2,20,IF(E192=3,10,IF(E192&lt;&gt;"",1,0))))+IF(F192=1,30,IF(F192=2,20,IF(F192=3,10,IF(F192&lt;&gt;"",1,0))))+IF(G192=1,30,IF(G192=2,20,IF(G192=3,10,IF(G192&lt;&gt;"",1,0))))+IF(H192=1,30,IF(H192=2,20,IF(H192=3,10,IF(H192&lt;&gt;"",1,0)))))*2)</f>
        <v/>
      </c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>
        <f>IF(AND(C193="",OR(E193="",E193=0)),"",(IF(E193=1,30,IF(E193=2,20,IF(E193=3,10,IF(E193&lt;&gt;"",1,0))))+IF(F193=1,30,IF(F193=2,20,IF(F193=3,10,IF(F193&lt;&gt;"",1,0))))+IF(G193=1,30,IF(G193=2,20,IF(G193=3,10,IF(G193&lt;&gt;"",1,0))))+IF(H193=1,30,IF(H193=2,20,IF(H193=3,10,IF(H193&lt;&gt;"",1,0)))))*2)</f>
        <v/>
      </c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>
        <f>IF(AND(C194="",OR(E194="",E194=0)),"",(IF(E194=1,30,IF(E194=2,20,IF(E194=3,10,IF(E194&lt;&gt;"",1,0))))+IF(F194=1,30,IF(F194=2,20,IF(F194=3,10,IF(F194&lt;&gt;"",1,0))))+IF(G194=1,30,IF(G194=2,20,IF(G194=3,10,IF(G194&lt;&gt;"",1,0))))+IF(H194=1,30,IF(H194=2,20,IF(H194=3,10,IF(H194&lt;&gt;"",1,0)))))*2)</f>
        <v/>
      </c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>
        <f>IF(AND(C195="",OR(E195="",E195=0)),"",(IF(E195=1,30,IF(E195=2,20,IF(E195=3,10,IF(E195&lt;&gt;"",1,0))))+IF(F195=1,30,IF(F195=2,20,IF(F195=3,10,IF(F195&lt;&gt;"",1,0))))+IF(G195=1,30,IF(G195=2,20,IF(G195=3,10,IF(G195&lt;&gt;"",1,0))))+IF(H195=1,30,IF(H195=2,20,IF(H195=3,10,IF(H195&lt;&gt;"",1,0)))))*2)</f>
        <v/>
      </c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>
        <f>IF(AND(C196="",OR(E196="",E196=0)),"",(IF(E196=1,30,IF(E196=2,20,IF(E196=3,10,IF(E196&lt;&gt;"",1,0))))+IF(F196=1,30,IF(F196=2,20,IF(F196=3,10,IF(F196&lt;&gt;"",1,0))))+IF(G196=1,30,IF(G196=2,20,IF(G196=3,10,IF(G196&lt;&gt;"",1,0))))+IF(H196=1,30,IF(H196=2,20,IF(H196=3,10,IF(H196&lt;&gt;"",1,0)))))*2)</f>
        <v/>
      </c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>
        <f>IF(AND(C197="",OR(E197="",E197=0)),"",(IF(E197=1,30,IF(E197=2,20,IF(E197=3,10,IF(E197&lt;&gt;"",1,0))))+IF(F197=1,30,IF(F197=2,20,IF(F197=3,10,IF(F197&lt;&gt;"",1,0))))+IF(G197=1,30,IF(G197=2,20,IF(G197=3,10,IF(G197&lt;&gt;"",1,0))))+IF(H197=1,30,IF(H197=2,20,IF(H197=3,10,IF(H197&lt;&gt;"",1,0)))))*2)</f>
        <v/>
      </c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>
        <f>IF(AND(C198="",OR(E198="",E198=0)),"",(IF(E198=1,30,IF(E198=2,20,IF(E198=3,10,IF(E198&lt;&gt;"",1,0))))+IF(F198=1,30,IF(F198=2,20,IF(F198=3,10,IF(F198&lt;&gt;"",1,0))))+IF(G198=1,30,IF(G198=2,20,IF(G198=3,10,IF(G198&lt;&gt;"",1,0))))+IF(H198=1,30,IF(H198=2,20,IF(H198=3,10,IF(H198&lt;&gt;"",1,0)))))*2)</f>
        <v/>
      </c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>
        <f>IF(AND(C199="",OR(E199="",E199=0)),"",(IF(E199=1,30,IF(E199=2,20,IF(E199=3,10,IF(E199&lt;&gt;"",1,0))))+IF(F199=1,30,IF(F199=2,20,IF(F199=3,10,IF(F199&lt;&gt;"",1,0))))+IF(G199=1,30,IF(G199=2,20,IF(G199=3,10,IF(G199&lt;&gt;"",1,0))))+IF(H199=1,30,IF(H199=2,20,IF(H199=3,10,IF(H199&lt;&gt;"",1,0)))))*2)</f>
        <v/>
      </c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>
        <f>IF(AND(C200="",OR(E200="",E200=0)),"",(IF(E200=1,30,IF(E200=2,20,IF(E200=3,10,IF(E200&lt;&gt;"",1,0))))+IF(F200=1,30,IF(F200=2,20,IF(F200=3,10,IF(F200&lt;&gt;"",1,0))))+IF(G200=1,30,IF(G200=2,20,IF(G200=3,10,IF(G200&lt;&gt;"",1,0))))+IF(H200=1,30,IF(H200=2,20,IF(H200=3,10,IF(H200&lt;&gt;"",1,0)))))*2)</f>
        <v/>
      </c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>
        <f>IF(AND(C201="",OR(E201="",E201=0)),"",(IF(E201=1,30,IF(E201=2,20,IF(E201=3,10,IF(E201&lt;&gt;"",1,0))))+IF(F201=1,30,IF(F201=2,20,IF(F201=3,10,IF(F201&lt;&gt;"",1,0))))+IF(G201=1,30,IF(G201=2,20,IF(G201=3,10,IF(G201&lt;&gt;"",1,0))))+IF(H201=1,30,IF(H201=2,20,IF(H201=3,10,IF(H201&lt;&gt;"",1,0)))))*2)</f>
        <v/>
      </c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>
        <f>IF(AND(C202="",OR(E202="",E202=0)),"",(IF(E202=1,30,IF(E202=2,20,IF(E202=3,10,IF(E202&lt;&gt;"",1,0))))+IF(F202=1,30,IF(F202=2,20,IF(F202=3,10,IF(F202&lt;&gt;"",1,0))))+IF(G202=1,30,IF(G202=2,20,IF(G202=3,10,IF(G202&lt;&gt;"",1,0))))+IF(H202=1,30,IF(H202=2,20,IF(H202=3,10,IF(H202&lt;&gt;"",1,0)))))*2)</f>
        <v/>
      </c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>
        <f>IF(AND(C203="",OR(E203="",E203=0)),"",(IF(E203=1,30,IF(E203=2,20,IF(E203=3,10,IF(E203&lt;&gt;"",1,0))))+IF(F203=1,30,IF(F203=2,20,IF(F203=3,10,IF(F203&lt;&gt;"",1,0))))+IF(G203=1,30,IF(G203=2,20,IF(G203=3,10,IF(G203&lt;&gt;"",1,0))))+IF(H203=1,30,IF(H203=2,20,IF(H203=3,10,IF(H203&lt;&gt;"",1,0)))))*2)</f>
        <v/>
      </c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>
        <f>IF(AND(C204="",OR(E204="",E204=0)),"",(IF(E204=1,30,IF(E204=2,20,IF(E204=3,10,IF(E204&lt;&gt;"",1,0))))+IF(F204=1,30,IF(F204=2,20,IF(F204=3,10,IF(F204&lt;&gt;"",1,0))))+IF(G204=1,30,IF(G204=2,20,IF(G204=3,10,IF(G204&lt;&gt;"",1,0))))+IF(H204=1,30,IF(H204=2,20,IF(H204=3,10,IF(H204&lt;&gt;"",1,0)))))*2)</f>
        <v/>
      </c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>
        <f>IF(AND(C205="",OR(E205="",E205=0)),"",(IF(E205=1,30,IF(E205=2,20,IF(E205=3,10,IF(E205&lt;&gt;"",1,0))))+IF(F205=1,30,IF(F205=2,20,IF(F205=3,10,IF(F205&lt;&gt;"",1,0))))+IF(G205=1,30,IF(G205=2,20,IF(G205=3,10,IF(G205&lt;&gt;"",1,0))))+IF(H205=1,30,IF(H205=2,20,IF(H205=3,10,IF(H205&lt;&gt;"",1,0)))))*2)</f>
        <v/>
      </c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>
        <f>IF(AND(C206="",OR(E206="",E206=0)),"",(IF(E206=1,30,IF(E206=2,20,IF(E206=3,10,IF(E206&lt;&gt;"",1,0))))+IF(F206=1,30,IF(F206=2,20,IF(F206=3,10,IF(F206&lt;&gt;"",1,0))))+IF(G206=1,30,IF(G206=2,20,IF(G206=3,10,IF(G206&lt;&gt;"",1,0))))+IF(H206=1,30,IF(H206=2,20,IF(H206=3,10,IF(H206&lt;&gt;"",1,0)))))*2)</f>
        <v/>
      </c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>
        <f>IF(AND(C207="",OR(E207="",E207=0)),"",(IF(E207=1,30,IF(E207=2,20,IF(E207=3,10,IF(E207&lt;&gt;"",1,0))))+IF(F207=1,30,IF(F207=2,20,IF(F207=3,10,IF(F207&lt;&gt;"",1,0))))+IF(G207=1,30,IF(G207=2,20,IF(G207=3,10,IF(G207&lt;&gt;"",1,0))))+IF(H207=1,30,IF(H207=2,20,IF(H207=3,10,IF(H207&lt;&gt;"",1,0)))))*2)</f>
        <v/>
      </c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>
        <f>IF(AND(C208="",OR(E208="",E208=0)),"",(IF(E208=1,30,IF(E208=2,20,IF(E208=3,10,IF(E208&lt;&gt;"",1,0))))+IF(F208=1,30,IF(F208=2,20,IF(F208=3,10,IF(F208&lt;&gt;"",1,0))))+IF(G208=1,30,IF(G208=2,20,IF(G208=3,10,IF(G208&lt;&gt;"",1,0))))+IF(H208=1,30,IF(H208=2,20,IF(H208=3,10,IF(H208&lt;&gt;"",1,0)))))*2)</f>
        <v/>
      </c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>
        <f>IF(AND(C209="",OR(E209="",E209=0)),"",(IF(E209=1,30,IF(E209=2,20,IF(E209=3,10,IF(E209&lt;&gt;"",1,0))))+IF(F209=1,30,IF(F209=2,20,IF(F209=3,10,IF(F209&lt;&gt;"",1,0))))+IF(G209=1,30,IF(G209=2,20,IF(G209=3,10,IF(G209&lt;&gt;"",1,0))))+IF(H209=1,30,IF(H209=2,20,IF(H209=3,10,IF(H209&lt;&gt;"",1,0)))))*2)</f>
        <v/>
      </c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>
        <f>IF(AND(C210="",OR(E210="",E210=0)),"",(IF(E210=1,30,IF(E210=2,20,IF(E210=3,10,IF(E210&lt;&gt;"",1,0))))+IF(F210=1,30,IF(F210=2,20,IF(F210=3,10,IF(F210&lt;&gt;"",1,0))))+IF(G210=1,30,IF(G210=2,20,IF(G210=3,10,IF(G210&lt;&gt;"",1,0))))+IF(H210=1,30,IF(H210=2,20,IF(H210=3,10,IF(H210&lt;&gt;"",1,0)))))*2)</f>
        <v/>
      </c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>
        <f>IF(AND(C211="",OR(E211="",E211=0)),"",(IF(E211=1,30,IF(E211=2,20,IF(E211=3,10,IF(E211&lt;&gt;"",1,0))))+IF(F211=1,30,IF(F211=2,20,IF(F211=3,10,IF(F211&lt;&gt;"",1,0))))+IF(G211=1,30,IF(G211=2,20,IF(G211=3,10,IF(G211&lt;&gt;"",1,0))))+IF(H211=1,30,IF(H211=2,20,IF(H211=3,10,IF(H211&lt;&gt;"",1,0)))))*2)</f>
        <v/>
      </c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>
        <f>IF(AND(C212="",OR(E212="",E212=0)),"",(IF(E212=1,30,IF(E212=2,20,IF(E212=3,10,IF(E212&lt;&gt;"",1,0))))+IF(F212=1,30,IF(F212=2,20,IF(F212=3,10,IF(F212&lt;&gt;"",1,0))))+IF(G212=1,30,IF(G212=2,20,IF(G212=3,10,IF(G212&lt;&gt;"",1,0))))+IF(H212=1,30,IF(H212=2,20,IF(H212=3,10,IF(H212&lt;&gt;"",1,0)))))*2)</f>
        <v/>
      </c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>
        <f>IF(AND(C213="",OR(E213="",E213=0)),"",(IF(E213=1,30,IF(E213=2,20,IF(E213=3,10,IF(E213&lt;&gt;"",1,0))))+IF(F213=1,30,IF(F213=2,20,IF(F213=3,10,IF(F213&lt;&gt;"",1,0))))+IF(G213=1,30,IF(G213=2,20,IF(G213=3,10,IF(G213&lt;&gt;"",1,0))))+IF(H213=1,30,IF(H213=2,20,IF(H213=3,10,IF(H213&lt;&gt;"",1,0)))))*2)</f>
        <v/>
      </c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>
        <f>IF(AND(C214="",OR(E214="",E214=0)),"",(IF(E214=1,30,IF(E214=2,20,IF(E214=3,10,IF(E214&lt;&gt;"",1,0))))+IF(F214=1,30,IF(F214=2,20,IF(F214=3,10,IF(F214&lt;&gt;"",1,0))))+IF(G214=1,30,IF(G214=2,20,IF(G214=3,10,IF(G214&lt;&gt;"",1,0))))+IF(H214=1,30,IF(H214=2,20,IF(H214=3,10,IF(H214&lt;&gt;"",1,0)))))*2)</f>
        <v/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>
        <f>IF(AND(C215="",OR(E215="",E215=0)),"",(IF(E215=1,30,IF(E215=2,20,IF(E215=3,10,IF(E215&lt;&gt;"",1,0))))+IF(F215=1,30,IF(F215=2,20,IF(F215=3,10,IF(F215&lt;&gt;"",1,0))))+IF(G215=1,30,IF(G215=2,20,IF(G215=3,10,IF(G215&lt;&gt;"",1,0))))+IF(H215=1,30,IF(H215=2,20,IF(H215=3,10,IF(H215&lt;&gt;"",1,0)))))*2)</f>
        <v/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>
        <f>IF(AND(C216="",OR(E216="",E216=0)),"",(IF(E216=1,30,IF(E216=2,20,IF(E216=3,10,IF(E216&lt;&gt;"",1,0))))+IF(F216=1,30,IF(F216=2,20,IF(F216=3,10,IF(F216&lt;&gt;"",1,0))))+IF(G216=1,30,IF(G216=2,20,IF(G216=3,10,IF(G216&lt;&gt;"",1,0))))+IF(H216=1,30,IF(H216=2,20,IF(H216=3,10,IF(H216&lt;&gt;"",1,0)))))*2)</f>
        <v/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>
        <f>IF(AND(C217="",OR(E217="",E217=0)),"",(IF(E217=1,30,IF(E217=2,20,IF(E217=3,10,IF(E217&lt;&gt;"",1,0))))+IF(F217=1,30,IF(F217=2,20,IF(F217=3,10,IF(F217&lt;&gt;"",1,0))))+IF(G217=1,30,IF(G217=2,20,IF(G217=3,10,IF(G217&lt;&gt;"",1,0))))+IF(H217=1,30,IF(H217=2,20,IF(H217=3,10,IF(H217&lt;&gt;"",1,0)))))*2)</f>
        <v/>
      </c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>
        <f>IF(AND(C218="",OR(E218="",E218=0)),"",(IF(E218=1,30,IF(E218=2,20,IF(E218=3,10,IF(E218&lt;&gt;"",1,0))))+IF(F218=1,30,IF(F218=2,20,IF(F218=3,10,IF(F218&lt;&gt;"",1,0))))+IF(G218=1,30,IF(G218=2,20,IF(G218=3,10,IF(G218&lt;&gt;"",1,0))))+IF(H218=1,30,IF(H218=2,20,IF(H218=3,10,IF(H218&lt;&gt;"",1,0)))))*2)</f>
        <v/>
      </c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>
        <f>IF(AND(C219="",OR(E219="",E219=0)),"",(IF(E219=1,30,IF(E219=2,20,IF(E219=3,10,IF(E219&lt;&gt;"",1,0))))+IF(F219=1,30,IF(F219=2,20,IF(F219=3,10,IF(F219&lt;&gt;"",1,0))))+IF(G219=1,30,IF(G219=2,20,IF(G219=3,10,IF(G219&lt;&gt;"",1,0))))+IF(H219=1,30,IF(H219=2,20,IF(H219=3,10,IF(H219&lt;&gt;"",1,0)))))*2)</f>
        <v/>
      </c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>
        <f>IF(AND(C220="",OR(E220="",E220=0)),"",(IF(E220=1,30,IF(E220=2,20,IF(E220=3,10,IF(E220&lt;&gt;"",1,0))))+IF(F220=1,30,IF(F220=2,20,IF(F220=3,10,IF(F220&lt;&gt;"",1,0))))+IF(G220=1,30,IF(G220=2,20,IF(G220=3,10,IF(G220&lt;&gt;"",1,0))))+IF(H220=1,30,IF(H220=2,20,IF(H220=3,10,IF(H220&lt;&gt;"",1,0)))))*2)</f>
        <v/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>
        <f>IF(AND(C221="",OR(E221="",E221=0)),"",(IF(E221=1,30,IF(E221=2,20,IF(E221=3,10,IF(E221&lt;&gt;"",1,0))))+IF(F221=1,30,IF(F221=2,20,IF(F221=3,10,IF(F221&lt;&gt;"",1,0))))+IF(G221=1,30,IF(G221=2,20,IF(G221=3,10,IF(G221&lt;&gt;"",1,0))))+IF(H221=1,30,IF(H221=2,20,IF(H221=3,10,IF(H221&lt;&gt;"",1,0)))))*2)</f>
        <v/>
      </c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>
        <f>IF(AND(C222="",OR(E222="",E222=0)),"",(IF(E222=1,30,IF(E222=2,20,IF(E222=3,10,IF(E222&lt;&gt;"",1,0))))+IF(F222=1,30,IF(F222=2,20,IF(F222=3,10,IF(F222&lt;&gt;"",1,0))))+IF(G222=1,30,IF(G222=2,20,IF(G222=3,10,IF(G222&lt;&gt;"",1,0))))+IF(H222=1,30,IF(H222=2,20,IF(H222=3,10,IF(H222&lt;&gt;"",1,0)))))*2)</f>
        <v/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>
        <f>IF(AND(C223="",OR(E223="",E223=0)),"",(IF(E223=1,30,IF(E223=2,20,IF(E223=3,10,IF(E223&lt;&gt;"",1,0))))+IF(F223=1,30,IF(F223=2,20,IF(F223=3,10,IF(F223&lt;&gt;"",1,0))))+IF(G223=1,30,IF(G223=2,20,IF(G223=3,10,IF(G223&lt;&gt;"",1,0))))+IF(H223=1,30,IF(H223=2,20,IF(H223=3,10,IF(H223&lt;&gt;"",1,0)))))*2)</f>
        <v/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4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>
        <f>IF(AND(C224="",OR(E224="",E224=0)),"",(IF(E224=1,30,IF(E224=2,20,IF(E224=3,10,IF(E224&lt;&gt;"",1,0))))+IF(F224=1,30,IF(F224=2,20,IF(F224=3,10,IF(F224&lt;&gt;"",1,0))))+IF(G224=1,30,IF(G224=2,20,IF(G224=3,10,IF(G224&lt;&gt;"",1,0))))+IF(H224=1,30,IF(H224=2,20,IF(H224=3,10,IF(H224&lt;&gt;"",1,0)))))*2)</f>
        <v/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4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>
        <f>IF(AND(C225="",OR(E225="",E225=0)),"",(IF(E225=1,30,IF(E225=2,20,IF(E225=3,10,IF(E225&lt;&gt;"",1,0))))+IF(F225=1,30,IF(F225=2,20,IF(F225=3,10,IF(F225&lt;&gt;"",1,0))))+IF(G225=1,30,IF(G225=2,20,IF(G225=3,10,IF(G225&lt;&gt;"",1,0))))+IF(H225=1,30,IF(H225=2,20,IF(H225=3,10,IF(H225&lt;&gt;"",1,0)))))*2)</f>
        <v/>
      </c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4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>
        <f>IF(AND(C226="",OR(E226="",E226=0)),"",(IF(E226=1,30,IF(E226=2,20,IF(E226=3,10,IF(E226&lt;&gt;"",1,0))))+IF(F226=1,30,IF(F226=2,20,IF(F226=3,10,IF(F226&lt;&gt;"",1,0))))+IF(G226=1,30,IF(G226=2,20,IF(G226=3,10,IF(G226&lt;&gt;"",1,0))))+IF(H226=1,30,IF(H226=2,20,IF(H226=3,10,IF(H226&lt;&gt;"",1,0)))))*2)</f>
        <v/>
      </c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4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>
        <f>IF(AND(C227="",OR(E227="",E227=0)),"",(IF(E227=1,30,IF(E227=2,20,IF(E227=3,10,IF(E227&lt;&gt;"",1,0))))+IF(F227=1,30,IF(F227=2,20,IF(F227=3,10,IF(F227&lt;&gt;"",1,0))))+IF(G227=1,30,IF(G227=2,20,IF(G227=3,10,IF(G227&lt;&gt;"",1,0))))+IF(H227=1,30,IF(H227=2,20,IF(H227=3,10,IF(H227&lt;&gt;"",1,0)))))*2)</f>
        <v/>
      </c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4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>
        <f>IF(AND(C228="",OR(E228="",E228=0)),"",(IF(E228=1,30,IF(E228=2,20,IF(E228=3,10,IF(E228&lt;&gt;"",1,0))))+IF(F228=1,30,IF(F228=2,20,IF(F228=3,10,IF(F228&lt;&gt;"",1,0))))+IF(G228=1,30,IF(G228=2,20,IF(G228=3,10,IF(G228&lt;&gt;"",1,0))))+IF(H228=1,30,IF(H228=2,20,IF(H228=3,10,IF(H228&lt;&gt;"",1,0)))))*2)</f>
        <v/>
      </c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4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>
        <f>IF(AND(C229="",OR(E229="",E229=0)),"",(IF(E229=1,30,IF(E229=2,20,IF(E229=3,10,IF(E229&lt;&gt;"",1,0))))+IF(F229=1,30,IF(F229=2,20,IF(F229=3,10,IF(F229&lt;&gt;"",1,0))))+IF(G229=1,30,IF(G229=2,20,IF(G229=3,10,IF(G229&lt;&gt;"",1,0))))+IF(H229=1,30,IF(H229=2,20,IF(H229=3,10,IF(H229&lt;&gt;"",1,0)))))*2)</f>
        <v/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4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>
        <f>IF(AND(C230="",OR(E230="",E230=0)),"",(IF(E230=1,30,IF(E230=2,20,IF(E230=3,10,IF(E230&lt;&gt;"",1,0))))+IF(F230=1,30,IF(F230=2,20,IF(F230=3,10,IF(F230&lt;&gt;"",1,0))))+IF(G230=1,30,IF(G230=2,20,IF(G230=3,10,IF(G230&lt;&gt;"",1,0))))+IF(H230=1,30,IF(H230=2,20,IF(H230=3,10,IF(H230&lt;&gt;"",1,0)))))*2)</f>
        <v/>
      </c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4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>
        <f>IF(AND(C231="",OR(E231="",E231=0)),"",(IF(E231=1,30,IF(E231=2,20,IF(E231=3,10,IF(E231&lt;&gt;"",1,0))))+IF(F231=1,30,IF(F231=2,20,IF(F231=3,10,IF(F231&lt;&gt;"",1,0))))+IF(G231=1,30,IF(G231=2,20,IF(G231=3,10,IF(G231&lt;&gt;"",1,0))))+IF(H231=1,30,IF(H231=2,20,IF(H231=3,10,IF(H231&lt;&gt;"",1,0)))))*2)</f>
        <v/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4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>
        <f>IF(AND(C232="",OR(E232="",E232=0)),"",(IF(E232=1,30,IF(E232=2,20,IF(E232=3,10,IF(E232&lt;&gt;"",1,0))))+IF(F232=1,30,IF(F232=2,20,IF(F232=3,10,IF(F232&lt;&gt;"",1,0))))+IF(G232=1,30,IF(G232=2,20,IF(G232=3,10,IF(G232&lt;&gt;"",1,0))))+IF(H232=1,30,IF(H232=2,20,IF(H232=3,10,IF(H232&lt;&gt;"",1,0)))))*2)</f>
        <v/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4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>
        <f>IF(AND(C233="",OR(E233="",E233=0)),"",(IF(E233=1,30,IF(E233=2,20,IF(E233=3,10,IF(E233&lt;&gt;"",1,0))))+IF(F233=1,30,IF(F233=2,20,IF(F233=3,10,IF(F233&lt;&gt;"",1,0))))+IF(G233=1,30,IF(G233=2,20,IF(G233=3,10,IF(G233&lt;&gt;"",1,0))))+IF(H233=1,30,IF(H233=2,20,IF(H233=3,10,IF(H233&lt;&gt;"",1,0)))))*2)</f>
        <v/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4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>
        <f>IF(AND(C234="",OR(E234="",E234=0)),"",(IF(E234=1,30,IF(E234=2,20,IF(E234=3,10,IF(E234&lt;&gt;"",1,0))))+IF(F234=1,30,IF(F234=2,20,IF(F234=3,10,IF(F234&lt;&gt;"",1,0))))+IF(G234=1,30,IF(G234=2,20,IF(G234=3,10,IF(G234&lt;&gt;"",1,0))))+IF(H234=1,30,IF(H234=2,20,IF(H234=3,10,IF(H234&lt;&gt;"",1,0)))))*2)</f>
        <v/>
      </c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4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>
        <f>IF(AND(C235="",OR(E235="",E235=0)),"",(IF(E235=1,30,IF(E235=2,20,IF(E235=3,10,IF(E235&lt;&gt;"",1,0))))+IF(F235=1,30,IF(F235=2,20,IF(F235=3,10,IF(F235&lt;&gt;"",1,0))))+IF(G235=1,30,IF(G235=2,20,IF(G235=3,10,IF(G235&lt;&gt;"",1,0))))+IF(H235=1,30,IF(H235=2,20,IF(H235=3,10,IF(H235&lt;&gt;"",1,0)))))*2)</f>
        <v/>
      </c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4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>
        <f>IF(AND(C236="",OR(E236="",E236=0)),"",(IF(E236=1,30,IF(E236=2,20,IF(E236=3,10,IF(E236&lt;&gt;"",1,0))))+IF(F236=1,30,IF(F236=2,20,IF(F236=3,10,IF(F236&lt;&gt;"",1,0))))+IF(G236=1,30,IF(G236=2,20,IF(G236=3,10,IF(G236&lt;&gt;"",1,0))))+IF(H236=1,30,IF(H236=2,20,IF(H236=3,10,IF(H236&lt;&gt;"",1,0)))))*2)</f>
        <v/>
      </c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4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>
        <f>IF(AND(C237="",OR(E237="",E237=0)),"",(IF(E237=1,30,IF(E237=2,20,IF(E237=3,10,IF(E237&lt;&gt;"",1,0))))+IF(F237=1,30,IF(F237=2,20,IF(F237=3,10,IF(F237&lt;&gt;"",1,0))))+IF(G237=1,30,IF(G237=2,20,IF(G237=3,10,IF(G237&lt;&gt;"",1,0))))+IF(H237=1,30,IF(H237=2,20,IF(H237=3,10,IF(H237&lt;&gt;"",1,0)))))*2)</f>
        <v/>
      </c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4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>
        <f>IF(AND(C238="",OR(E238="",E238=0)),"",(IF(E238=1,30,IF(E238=2,20,IF(E238=3,10,IF(E238&lt;&gt;"",1,0))))+IF(F238=1,30,IF(F238=2,20,IF(F238=3,10,IF(F238&lt;&gt;"",1,0))))+IF(G238=1,30,IF(G238=2,20,IF(G238=3,10,IF(G238&lt;&gt;"",1,0))))+IF(H238=1,30,IF(H238=2,20,IF(H238=3,10,IF(H238&lt;&gt;"",1,0)))))*2)</f>
        <v/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4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>
        <f>IF(AND(C239="",OR(E239="",E239=0)),"",(IF(E239=1,30,IF(E239=2,20,IF(E239=3,10,IF(E239&lt;&gt;"",1,0))))+IF(F239=1,30,IF(F239=2,20,IF(F239=3,10,IF(F239&lt;&gt;"",1,0))))+IF(G239=1,30,IF(G239=2,20,IF(G239=3,10,IF(G239&lt;&gt;"",1,0))))+IF(H239=1,30,IF(H239=2,20,IF(H239=3,10,IF(H239&lt;&gt;"",1,0)))))*2)</f>
        <v/>
      </c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4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>
        <f>IF(AND(C240="",OR(E240="",E240=0)),"",(IF(E240=1,30,IF(E240=2,20,IF(E240=3,10,IF(E240&lt;&gt;"",1,0))))+IF(F240=1,30,IF(F240=2,20,IF(F240=3,10,IF(F240&lt;&gt;"",1,0))))+IF(G240=1,30,IF(G240=2,20,IF(G240=3,10,IF(G240&lt;&gt;"",1,0))))+IF(H240=1,30,IF(H240=2,20,IF(H240=3,10,IF(H240&lt;&gt;"",1,0)))))*2)</f>
        <v/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4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>
        <f>IF(AND(C241="",OR(E241="",E241=0)),"",(IF(E241=1,30,IF(E241=2,20,IF(E241=3,10,IF(E241&lt;&gt;"",1,0))))+IF(F241=1,30,IF(F241=2,20,IF(F241=3,10,IF(F241&lt;&gt;"",1,0))))+IF(G241=1,30,IF(G241=2,20,IF(G241=3,10,IF(G241&lt;&gt;"",1,0))))+IF(H241=1,30,IF(H241=2,20,IF(H241=3,10,IF(H241&lt;&gt;"",1,0)))))*2)</f>
        <v/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4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>
        <f>IF(AND(C242="",OR(E242="",E242=0)),"",(IF(E242=1,30,IF(E242=2,20,IF(E242=3,10,IF(E242&lt;&gt;"",1,0))))+IF(F242=1,30,IF(F242=2,20,IF(F242=3,10,IF(F242&lt;&gt;"",1,0))))+IF(G242=1,30,IF(G242=2,20,IF(G242=3,10,IF(G242&lt;&gt;"",1,0))))+IF(H242=1,30,IF(H242=2,20,IF(H242=3,10,IF(H242&lt;&gt;"",1,0)))))*2)</f>
        <v/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>
        <f>IF(AND(C243="",OR(E243="",E243=0)),"",(IF(E243=1,30,IF(E243=2,20,IF(E243=3,10,IF(E243&lt;&gt;"",1,0))))+IF(F243=1,30,IF(F243=2,20,IF(F243=3,10,IF(F243&lt;&gt;"",1,0))))+IF(G243=1,30,IF(G243=2,20,IF(G243=3,10,IF(G243&lt;&gt;"",1,0))))+IF(H243=1,30,IF(H243=2,20,IF(H243=3,10,IF(H243&lt;&gt;"",1,0)))))*2)</f>
        <v/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4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>
        <f>IF(AND(C244="",OR(E244="",E244=0)),"",(IF(E244=1,30,IF(E244=2,20,IF(E244=3,10,IF(E244&lt;&gt;"",1,0))))+IF(F244=1,30,IF(F244=2,20,IF(F244=3,10,IF(F244&lt;&gt;"",1,0))))+IF(G244=1,30,IF(G244=2,20,IF(G244=3,10,IF(G244&lt;&gt;"",1,0))))+IF(H244=1,30,IF(H244=2,20,IF(H244=3,10,IF(H244&lt;&gt;"",1,0)))))*2)</f>
        <v/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4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>
        <f>IF(AND(C245="",OR(E245="",E245=0)),"",(IF(E245=1,30,IF(E245=2,20,IF(E245=3,10,IF(E245&lt;&gt;"",1,0))))+IF(F245=1,30,IF(F245=2,20,IF(F245=3,10,IF(F245&lt;&gt;"",1,0))))+IF(G245=1,30,IF(G245=2,20,IF(G245=3,10,IF(G245&lt;&gt;"",1,0))))+IF(H245=1,30,IF(H245=2,20,IF(H245=3,10,IF(H245&lt;&gt;"",1,0)))))*2)</f>
        <v/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4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>
        <f>IF(AND(C246="",OR(E246="",E246=0)),"",(IF(E246=1,30,IF(E246=2,20,IF(E246=3,10,IF(E246&lt;&gt;"",1,0))))+IF(F246=1,30,IF(F246=2,20,IF(F246=3,10,IF(F246&lt;&gt;"",1,0))))+IF(G246=1,30,IF(G246=2,20,IF(G246=3,10,IF(G246&lt;&gt;"",1,0))))+IF(H246=1,30,IF(H246=2,20,IF(H246=3,10,IF(H246&lt;&gt;"",1,0)))))*2)</f>
        <v/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4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>
        <f>IF(AND(C247="",OR(E247="",E247=0)),"",(IF(E247=1,30,IF(E247=2,20,IF(E247=3,10,IF(E247&lt;&gt;"",1,0))))+IF(F247=1,30,IF(F247=2,20,IF(F247=3,10,IF(F247&lt;&gt;"",1,0))))+IF(G247=1,30,IF(G247=2,20,IF(G247=3,10,IF(G247&lt;&gt;"",1,0))))+IF(H247=1,30,IF(H247=2,20,IF(H247=3,10,IF(H247&lt;&gt;"",1,0)))))*2)</f>
        <v/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4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>
        <f>IF(AND(C248="",OR(E248="",E248=0)),"",(IF(E248=1,30,IF(E248=2,20,IF(E248=3,10,IF(E248&lt;&gt;"",1,0))))+IF(F248=1,30,IF(F248=2,20,IF(F248=3,10,IF(F248&lt;&gt;"",1,0))))+IF(G248=1,30,IF(G248=2,20,IF(G248=3,10,IF(G248&lt;&gt;"",1,0))))+IF(H248=1,30,IF(H248=2,20,IF(H248=3,10,IF(H248&lt;&gt;"",1,0)))))*2)</f>
        <v/>
      </c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4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>
        <f>IF(AND(C249="",OR(E249="",E249=0)),"",(IF(E249=1,30,IF(E249=2,20,IF(E249=3,10,IF(E249&lt;&gt;"",1,0))))+IF(F249=1,30,IF(F249=2,20,IF(F249=3,10,IF(F249&lt;&gt;"",1,0))))+IF(G249=1,30,IF(G249=2,20,IF(G249=3,10,IF(G249&lt;&gt;"",1,0))))+IF(H249=1,30,IF(H249=2,20,IF(H249=3,10,IF(H249&lt;&gt;"",1,0)))))*2)</f>
        <v/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4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>
        <f>IF(AND(C250="",OR(E250="",E250=0)),"",(IF(E250=1,30,IF(E250=2,20,IF(E250=3,10,IF(E250&lt;&gt;"",1,0))))+IF(F250=1,30,IF(F250=2,20,IF(F250=3,10,IF(F250&lt;&gt;"",1,0))))+IF(G250=1,30,IF(G250=2,20,IF(G250=3,10,IF(G250&lt;&gt;"",1,0))))+IF(H250=1,30,IF(H250=2,20,IF(H250=3,10,IF(H250&lt;&gt;"",1,0)))))*2)</f>
        <v/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4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>
        <f>IF(AND(C251="",OR(E251="",E251=0)),"",(IF(E251=1,30,IF(E251=2,20,IF(E251=3,10,IF(E251&lt;&gt;"",1,0))))+IF(F251=1,30,IF(F251=2,20,IF(F251=3,10,IF(F251&lt;&gt;"",1,0))))+IF(G251=1,30,IF(G251=2,20,IF(G251=3,10,IF(G251&lt;&gt;"",1,0))))+IF(H251=1,30,IF(H251=2,20,IF(H251=3,10,IF(H251&lt;&gt;"",1,0)))))*2)</f>
        <v/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4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>
        <f>IF(AND(C252="",OR(E252="",E252=0)),"",(IF(E252=1,30,IF(E252=2,20,IF(E252=3,10,IF(E252&lt;&gt;"",1,0))))+IF(F252=1,30,IF(F252=2,20,IF(F252=3,10,IF(F252&lt;&gt;"",1,0))))+IF(G252=1,30,IF(G252=2,20,IF(G252=3,10,IF(G252&lt;&gt;"",1,0))))+IF(H252=1,30,IF(H252=2,20,IF(H252=3,10,IF(H252&lt;&gt;"",1,0)))))*2)</f>
        <v/>
      </c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4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>
        <f>IF(AND(C253="",OR(E253="",E253=0)),"",(IF(E253=1,30,IF(E253=2,20,IF(E253=3,10,IF(E253&lt;&gt;"",1,0))))+IF(F253=1,30,IF(F253=2,20,IF(F253=3,10,IF(F253&lt;&gt;"",1,0))))+IF(G253=1,30,IF(G253=2,20,IF(G253=3,10,IF(G253&lt;&gt;"",1,0))))+IF(H253=1,30,IF(H253=2,20,IF(H253=3,10,IF(H253&lt;&gt;"",1,0)))))*2)</f>
        <v/>
      </c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4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>
        <f>IF(AND(C254="",OR(E254="",E254=0)),"",(IF(E254=1,30,IF(E254=2,20,IF(E254=3,10,IF(E254&lt;&gt;"",1,0))))+IF(F254=1,30,IF(F254=2,20,IF(F254=3,10,IF(F254&lt;&gt;"",1,0))))+IF(G254=1,30,IF(G254=2,20,IF(G254=3,10,IF(G254&lt;&gt;"",1,0))))+IF(H254=1,30,IF(H254=2,20,IF(H254=3,10,IF(H254&lt;&gt;"",1,0)))))*2)</f>
        <v/>
      </c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4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>
        <f>IF(AND(C255="",OR(E255="",E255=0)),"",(IF(E255=1,30,IF(E255=2,20,IF(E255=3,10,IF(E255&lt;&gt;"",1,0))))+IF(F255=1,30,IF(F255=2,20,IF(F255=3,10,IF(F255&lt;&gt;"",1,0))))+IF(G255=1,30,IF(G255=2,20,IF(G255=3,10,IF(G255&lt;&gt;"",1,0))))+IF(H255=1,30,IF(H255=2,20,IF(H255=3,10,IF(H255&lt;&gt;"",1,0)))))*2)</f>
        <v/>
      </c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4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>
        <f>IF(AND(C256="",OR(E256="",E256=0)),"",(IF(E256=1,30,IF(E256=2,20,IF(E256=3,10,IF(E256&lt;&gt;"",1,0))))+IF(F256=1,30,IF(F256=2,20,IF(F256=3,10,IF(F256&lt;&gt;"",1,0))))+IF(G256=1,30,IF(G256=2,20,IF(G256=3,10,IF(G256&lt;&gt;"",1,0))))+IF(H256=1,30,IF(H256=2,20,IF(H256=3,10,IF(H256&lt;&gt;"",1,0)))))*2)</f>
        <v/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4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>
        <f>IF(AND(C257="",OR(E257="",E257=0)),"",(IF(E257=1,30,IF(E257=2,20,IF(E257=3,10,IF(E257&lt;&gt;"",1,0))))+IF(F257=1,30,IF(F257=2,20,IF(F257=3,10,IF(F257&lt;&gt;"",1,0))))+IF(G257=1,30,IF(G257=2,20,IF(G257=3,10,IF(G257&lt;&gt;"",1,0))))+IF(H257=1,30,IF(H257=2,20,IF(H257=3,10,IF(H257&lt;&gt;"",1,0)))))*2)</f>
        <v/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4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>
        <f>IF(AND(C258="",OR(E258="",E258=0)),"",(IF(E258=1,30,IF(E258=2,20,IF(E258=3,10,IF(E258&lt;&gt;"",1,0))))+IF(F258=1,30,IF(F258=2,20,IF(F258=3,10,IF(F258&lt;&gt;"",1,0))))+IF(G258=1,30,IF(G258=2,20,IF(G258=3,10,IF(G258&lt;&gt;"",1,0))))+IF(H258=1,30,IF(H258=2,20,IF(H258=3,10,IF(H258&lt;&gt;"",1,0)))))*2)</f>
        <v/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4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>
        <f>IF(AND(C259="",OR(E259="",E259=0)),"",(IF(E259=1,30,IF(E259=2,20,IF(E259=3,10,IF(E259&lt;&gt;"",1,0))))+IF(F259=1,30,IF(F259=2,20,IF(F259=3,10,IF(F259&lt;&gt;"",1,0))))+IF(G259=1,30,IF(G259=2,20,IF(G259=3,10,IF(G259&lt;&gt;"",1,0))))+IF(H259=1,30,IF(H259=2,20,IF(H259=3,10,IF(H259&lt;&gt;"",1,0)))))*2)</f>
        <v/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4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>
        <f>IF(AND(C260="",OR(E260="",E260=0)),"",(IF(E260=1,30,IF(E260=2,20,IF(E260=3,10,IF(E260&lt;&gt;"",1,0))))+IF(F260=1,30,IF(F260=2,20,IF(F260=3,10,IF(F260&lt;&gt;"",1,0))))+IF(G260=1,30,IF(G260=2,20,IF(G260=3,10,IF(G260&lt;&gt;"",1,0))))+IF(H260=1,30,IF(H260=2,20,IF(H260=3,10,IF(H260&lt;&gt;"",1,0)))))*2)</f>
        <v/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4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>
        <f>IF(AND(C261="",OR(E261="",E261=0)),"",(IF(E261=1,30,IF(E261=2,20,IF(E261=3,10,IF(E261&lt;&gt;"",1,0))))+IF(F261=1,30,IF(F261=2,20,IF(F261=3,10,IF(F261&lt;&gt;"",1,0))))+IF(G261=1,30,IF(G261=2,20,IF(G261=3,10,IF(G261&lt;&gt;"",1,0))))+IF(H261=1,30,IF(H261=2,20,IF(H261=3,10,IF(H261&lt;&gt;"",1,0)))))*2)</f>
        <v/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4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>
        <f>IF(AND(C262="",OR(E262="",E262=0)),"",(IF(E262=1,30,IF(E262=2,20,IF(E262=3,10,IF(E262&lt;&gt;"",1,0))))+IF(F262=1,30,IF(F262=2,20,IF(F262=3,10,IF(F262&lt;&gt;"",1,0))))+IF(G262=1,30,IF(G262=2,20,IF(G262=3,10,IF(G262&lt;&gt;"",1,0))))+IF(H262=1,30,IF(H262=2,20,IF(H262=3,10,IF(H262&lt;&gt;"",1,0)))))*2)</f>
        <v/>
      </c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4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>
        <f>IF(AND(C263="",OR(E263="",E263=0)),"",(IF(E263=1,30,IF(E263=2,20,IF(E263=3,10,IF(E263&lt;&gt;"",1,0))))+IF(F263=1,30,IF(F263=2,20,IF(F263=3,10,IF(F263&lt;&gt;"",1,0))))+IF(G263=1,30,IF(G263=2,20,IF(G263=3,10,IF(G263&lt;&gt;"",1,0))))+IF(H263=1,30,IF(H263=2,20,IF(H263=3,10,IF(H263&lt;&gt;"",1,0)))))*2)</f>
        <v/>
      </c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4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>
        <f>IF(AND(C264="",OR(E264="",E264=0)),"",(IF(E264=1,30,IF(E264=2,20,IF(E264=3,10,IF(E264&lt;&gt;"",1,0))))+IF(F264=1,30,IF(F264=2,20,IF(F264=3,10,IF(F264&lt;&gt;"",1,0))))+IF(G264=1,30,IF(G264=2,20,IF(G264=3,10,IF(G264&lt;&gt;"",1,0))))+IF(H264=1,30,IF(H264=2,20,IF(H264=3,10,IF(H264&lt;&gt;"",1,0)))))*2)</f>
        <v/>
      </c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4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>
        <f>IF(AND(C265="",OR(E265="",E265=0)),"",(IF(E265=1,30,IF(E265=2,20,IF(E265=3,10,IF(E265&lt;&gt;"",1,0))))+IF(F265=1,30,IF(F265=2,20,IF(F265=3,10,IF(F265&lt;&gt;"",1,0))))+IF(G265=1,30,IF(G265=2,20,IF(G265=3,10,IF(G265&lt;&gt;"",1,0))))+IF(H265=1,30,IF(H265=2,20,IF(H265=3,10,IF(H265&lt;&gt;"",1,0)))))*2)</f>
        <v/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4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>
        <f>IF(AND(C266="",OR(E266="",E266=0)),"",(IF(E266=1,30,IF(E266=2,20,IF(E266=3,10,IF(E266&lt;&gt;"",1,0))))+IF(F266=1,30,IF(F266=2,20,IF(F266=3,10,IF(F266&lt;&gt;"",1,0))))+IF(G266=1,30,IF(G266=2,20,IF(G266=3,10,IF(G266&lt;&gt;"",1,0))))+IF(H266=1,30,IF(H266=2,20,IF(H266=3,10,IF(H266&lt;&gt;"",1,0)))))*2)</f>
        <v/>
      </c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4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>
        <f>IF(AND(C267="",OR(E267="",E267=0)),"",(IF(E267=1,30,IF(E267=2,20,IF(E267=3,10,IF(E267&lt;&gt;"",1,0))))+IF(F267=1,30,IF(F267=2,20,IF(F267=3,10,IF(F267&lt;&gt;"",1,0))))+IF(G267=1,30,IF(G267=2,20,IF(G267=3,10,IF(G267&lt;&gt;"",1,0))))+IF(H267=1,30,IF(H267=2,20,IF(H267=3,10,IF(H267&lt;&gt;"",1,0)))))*2)</f>
        <v/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4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>
        <f>IF(AND(C268="",OR(E268="",E268=0)),"",(IF(E268=1,30,IF(E268=2,20,IF(E268=3,10,IF(E268&lt;&gt;"",1,0))))+IF(F268=1,30,IF(F268=2,20,IF(F268=3,10,IF(F268&lt;&gt;"",1,0))))+IF(G268=1,30,IF(G268=2,20,IF(G268=3,10,IF(G268&lt;&gt;"",1,0))))+IF(H268=1,30,IF(H268=2,20,IF(H268=3,10,IF(H268&lt;&gt;"",1,0)))))*2)</f>
        <v/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4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>
        <f>IF(AND(C269="",OR(E269="",E269=0)),"",(IF(E269=1,30,IF(E269=2,20,IF(E269=3,10,IF(E269&lt;&gt;"",1,0))))+IF(F269=1,30,IF(F269=2,20,IF(F269=3,10,IF(F269&lt;&gt;"",1,0))))+IF(G269=1,30,IF(G269=2,20,IF(G269=3,10,IF(G269&lt;&gt;"",1,0))))+IF(H269=1,30,IF(H269=2,20,IF(H269=3,10,IF(H269&lt;&gt;"",1,0)))))*2)</f>
        <v/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4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>
        <f>IF(AND(C270="",OR(E270="",E270=0)),"",(IF(E270=1,30,IF(E270=2,20,IF(E270=3,10,IF(E270&lt;&gt;"",1,0))))+IF(F270=1,30,IF(F270=2,20,IF(F270=3,10,IF(F270&lt;&gt;"",1,0))))+IF(G270=1,30,IF(G270=2,20,IF(G270=3,10,IF(G270&lt;&gt;"",1,0))))+IF(H270=1,30,IF(H270=2,20,IF(H270=3,10,IF(H270&lt;&gt;"",1,0)))))*2)</f>
        <v/>
      </c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4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>
        <f>IF(AND(C271="",OR(E271="",E271=0)),"",(IF(E271=1,30,IF(E271=2,20,IF(E271=3,10,IF(E271&lt;&gt;"",1,0))))+IF(F271=1,30,IF(F271=2,20,IF(F271=3,10,IF(F271&lt;&gt;"",1,0))))+IF(G271=1,30,IF(G271=2,20,IF(G271=3,10,IF(G271&lt;&gt;"",1,0))))+IF(H271=1,30,IF(H271=2,20,IF(H271=3,10,IF(H271&lt;&gt;"",1,0)))))*2)</f>
        <v/>
      </c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4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>
        <f>IF(AND(C272="",OR(E272="",E272=0)),"",(IF(E272=1,30,IF(E272=2,20,IF(E272=3,10,IF(E272&lt;&gt;"",1,0))))+IF(F272=1,30,IF(F272=2,20,IF(F272=3,10,IF(F272&lt;&gt;"",1,0))))+IF(G272=1,30,IF(G272=2,20,IF(G272=3,10,IF(G272&lt;&gt;"",1,0))))+IF(H272=1,30,IF(H272=2,20,IF(H272=3,10,IF(H272&lt;&gt;"",1,0)))))*2)</f>
        <v/>
      </c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4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>
        <f>IF(AND(C273="",OR(E273="",E273=0)),"",(IF(E273=1,30,IF(E273=2,20,IF(E273=3,10,IF(E273&lt;&gt;"",1,0))))+IF(F273=1,30,IF(F273=2,20,IF(F273=3,10,IF(F273&lt;&gt;"",1,0))))+IF(G273=1,30,IF(G273=2,20,IF(G273=3,10,IF(G273&lt;&gt;"",1,0))))+IF(H273=1,30,IF(H273=2,20,IF(H273=3,10,IF(H273&lt;&gt;"",1,0)))))*2)</f>
        <v/>
      </c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4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>
        <f>IF(AND(C274="",OR(E274="",E274=0)),"",(IF(E274=1,30,IF(E274=2,20,IF(E274=3,10,IF(E274&lt;&gt;"",1,0))))+IF(F274=1,30,IF(F274=2,20,IF(F274=3,10,IF(F274&lt;&gt;"",1,0))))+IF(G274=1,30,IF(G274=2,20,IF(G274=3,10,IF(G274&lt;&gt;"",1,0))))+IF(H274=1,30,IF(H274=2,20,IF(H274=3,10,IF(H274&lt;&gt;"",1,0)))))*2)</f>
        <v/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4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>
        <f>IF(AND(C275="",OR(E275="",E275=0)),"",(IF(E275=1,30,IF(E275=2,20,IF(E275=3,10,IF(E275&lt;&gt;"",1,0))))+IF(F275=1,30,IF(F275=2,20,IF(F275=3,10,IF(F275&lt;&gt;"",1,0))))+IF(G275=1,30,IF(G275=2,20,IF(G275=3,10,IF(G275&lt;&gt;"",1,0))))+IF(H275=1,30,IF(H275=2,20,IF(H275=3,10,IF(H275&lt;&gt;"",1,0)))))*2)</f>
        <v/>
      </c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4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>
        <f>IF(AND(C276="",OR(E276="",E276=0)),"",(IF(E276=1,30,IF(E276=2,20,IF(E276=3,10,IF(E276&lt;&gt;"",1,0))))+IF(F276=1,30,IF(F276=2,20,IF(F276=3,10,IF(F276&lt;&gt;"",1,0))))+IF(G276=1,30,IF(G276=2,20,IF(G276=3,10,IF(G276&lt;&gt;"",1,0))))+IF(H276=1,30,IF(H276=2,20,IF(H276=3,10,IF(H276&lt;&gt;"",1,0)))))*2)</f>
        <v/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4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>
        <f>IF(AND(C277="",OR(E277="",E277=0)),"",(IF(E277=1,30,IF(E277=2,20,IF(E277=3,10,IF(E277&lt;&gt;"",1,0))))+IF(F277=1,30,IF(F277=2,20,IF(F277=3,10,IF(F277&lt;&gt;"",1,0))))+IF(G277=1,30,IF(G277=2,20,IF(G277=3,10,IF(G277&lt;&gt;"",1,0))))+IF(H277=1,30,IF(H277=2,20,IF(H277=3,10,IF(H277&lt;&gt;"",1,0)))))*2)</f>
        <v/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4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>
        <f>IF(AND(C278="",OR(E278="",E278=0)),"",(IF(E278=1,30,IF(E278=2,20,IF(E278=3,10,IF(E278&lt;&gt;"",1,0))))+IF(F278=1,30,IF(F278=2,20,IF(F278=3,10,IF(F278&lt;&gt;"",1,0))))+IF(G278=1,30,IF(G278=2,20,IF(G278=3,10,IF(G278&lt;&gt;"",1,0))))+IF(H278=1,30,IF(H278=2,20,IF(H278=3,10,IF(H278&lt;&gt;"",1,0)))))*2)</f>
        <v/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4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>
        <f>IF(AND(C279="",OR(E279="",E279=0)),"",(IF(E279=1,30,IF(E279=2,20,IF(E279=3,10,IF(E279&lt;&gt;"",1,0))))+IF(F279=1,30,IF(F279=2,20,IF(F279=3,10,IF(F279&lt;&gt;"",1,0))))+IF(G279=1,30,IF(G279=2,20,IF(G279=3,10,IF(G279&lt;&gt;"",1,0))))+IF(H279=1,30,IF(H279=2,20,IF(H279=3,10,IF(H279&lt;&gt;"",1,0)))))*2)</f>
        <v/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14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>
        <f>IF(AND(C280="",OR(E280="",E280=0)),"",(IF(E280=1,30,IF(E280=2,20,IF(E280=3,10,IF(E280&lt;&gt;"",1,0))))+IF(F280=1,30,IF(F280=2,20,IF(F280=3,10,IF(F280&lt;&gt;"",1,0))))+IF(G280=1,30,IF(G280=2,20,IF(G280=3,10,IF(G280&lt;&gt;"",1,0))))+IF(H280=1,30,IF(H280=2,20,IF(H280=3,10,IF(H280&lt;&gt;"",1,0)))))*2)</f>
        <v/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14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>
        <f>IF(AND(C281="",OR(E281="",E281=0)),"",(IF(E281=1,30,IF(E281=2,20,IF(E281=3,10,IF(E281&lt;&gt;"",1,0))))+IF(F281=1,30,IF(F281=2,20,IF(F281=3,10,IF(F281&lt;&gt;"",1,0))))+IF(G281=1,30,IF(G281=2,20,IF(G281=3,10,IF(G281&lt;&gt;"",1,0))))+IF(H281=1,30,IF(H281=2,20,IF(H281=3,10,IF(H281&lt;&gt;"",1,0)))))*2)</f>
        <v/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14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>
        <f>IF(AND(C282="",OR(E282="",E282=0)),"",(IF(E282=1,30,IF(E282=2,20,IF(E282=3,10,IF(E282&lt;&gt;"",1,0))))+IF(F282=1,30,IF(F282=2,20,IF(F282=3,10,IF(F282&lt;&gt;"",1,0))))+IF(G282=1,30,IF(G282=2,20,IF(G282=3,10,IF(G282&lt;&gt;"",1,0))))+IF(H282=1,30,IF(H282=2,20,IF(H282=3,10,IF(H282&lt;&gt;"",1,0)))))*2)</f>
        <v/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14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>
        <f>IF(AND(C283="",OR(E283="",E283=0)),"",(IF(E283=1,30,IF(E283=2,20,IF(E283=3,10,IF(E283&lt;&gt;"",1,0))))+IF(F283=1,30,IF(F283=2,20,IF(F283=3,10,IF(F283&lt;&gt;"",1,0))))+IF(G283=1,30,IF(G283=2,20,IF(G283=3,10,IF(G283&lt;&gt;"",1,0))))+IF(H283=1,30,IF(H283=2,20,IF(H283=3,10,IF(H283&lt;&gt;"",1,0)))))*2)</f>
        <v/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14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>
        <f>IF(AND(C284="",OR(E284="",E284=0)),"",(IF(E284=1,30,IF(E284=2,20,IF(E284=3,10,IF(E284&lt;&gt;"",1,0))))+IF(F284=1,30,IF(F284=2,20,IF(F284=3,10,IF(F284&lt;&gt;"",1,0))))+IF(G284=1,30,IF(G284=2,20,IF(G284=3,10,IF(G284&lt;&gt;"",1,0))))+IF(H284=1,30,IF(H284=2,20,IF(H284=3,10,IF(H284&lt;&gt;"",1,0)))))*2)</f>
        <v/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14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>
        <f>IF(AND(C285="",OR(E285="",E285=0)),"",(IF(E285=1,30,IF(E285=2,20,IF(E285=3,10,IF(E285&lt;&gt;"",1,0))))+IF(F285=1,30,IF(F285=2,20,IF(F285=3,10,IF(F285&lt;&gt;"",1,0))))+IF(G285=1,30,IF(G285=2,20,IF(G285=3,10,IF(G285&lt;&gt;"",1,0))))+IF(H285=1,30,IF(H285=2,20,IF(H285=3,10,IF(H285&lt;&gt;"",1,0)))))*2)</f>
        <v/>
      </c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14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>
        <f>IF(AND(C286="",OR(E286="",E286=0)),"",(IF(E286=1,30,IF(E286=2,20,IF(E286=3,10,IF(E286&lt;&gt;"",1,0))))+IF(F286=1,30,IF(F286=2,20,IF(F286=3,10,IF(F286&lt;&gt;"",1,0))))+IF(G286=1,30,IF(G286=2,20,IF(G286=3,10,IF(G286&lt;&gt;"",1,0))))+IF(H286=1,30,IF(H286=2,20,IF(H286=3,10,IF(H286&lt;&gt;"",1,0)))))*2)</f>
        <v/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14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>
        <f>IF(AND(C287="",OR(E287="",E287=0)),"",(IF(E287=1,30,IF(E287=2,20,IF(E287=3,10,IF(E287&lt;&gt;"",1,0))))+IF(F287=1,30,IF(F287=2,20,IF(F287=3,10,IF(F287&lt;&gt;"",1,0))))+IF(G287=1,30,IF(G287=2,20,IF(G287=3,10,IF(G287&lt;&gt;"",1,0))))+IF(H287=1,30,IF(H287=2,20,IF(H287=3,10,IF(H287&lt;&gt;"",1,0)))))*2)</f>
        <v/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14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>
        <f>IF(AND(C288="",OR(E288="",E288=0)),"",(IF(E288=1,30,IF(E288=2,20,IF(E288=3,10,IF(E288&lt;&gt;"",1,0))))+IF(F288=1,30,IF(F288=2,20,IF(F288=3,10,IF(F288&lt;&gt;"",1,0))))+IF(G288=1,30,IF(G288=2,20,IF(G288=3,10,IF(G288&lt;&gt;"",1,0))))+IF(H288=1,30,IF(H288=2,20,IF(H288=3,10,IF(H288&lt;&gt;"",1,0)))))*2)</f>
        <v/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14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>
        <f>IF(AND(C289="",OR(E289="",E289=0)),"",(IF(E289=1,30,IF(E289=2,20,IF(E289=3,10,IF(E289&lt;&gt;"",1,0))))+IF(F289=1,30,IF(F289=2,20,IF(F289=3,10,IF(F289&lt;&gt;"",1,0))))+IF(G289=1,30,IF(G289=2,20,IF(G289=3,10,IF(G289&lt;&gt;"",1,0))))+IF(H289=1,30,IF(H289=2,20,IF(H289=3,10,IF(H289&lt;&gt;"",1,0)))))*2)</f>
        <v/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14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>
        <f>IF(AND(C290="",OR(E290="",E290=0)),"",(IF(E290=1,30,IF(E290=2,20,IF(E290=3,10,IF(E290&lt;&gt;"",1,0))))+IF(F290=1,30,IF(F290=2,20,IF(F290=3,10,IF(F290&lt;&gt;"",1,0))))+IF(G290=1,30,IF(G290=2,20,IF(G290=3,10,IF(G290&lt;&gt;"",1,0))))+IF(H290=1,30,IF(H290=2,20,IF(H290=3,10,IF(H290&lt;&gt;"",1,0)))))*2)</f>
        <v/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14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>
        <f>IF(AND(C291="",OR(E291="",E291=0)),"",(IF(E291=1,30,IF(E291=2,20,IF(E291=3,10,IF(E291&lt;&gt;"",1,0))))+IF(F291=1,30,IF(F291=2,20,IF(F291=3,10,IF(F291&lt;&gt;"",1,0))))+IF(G291=1,30,IF(G291=2,20,IF(G291=3,10,IF(G291&lt;&gt;"",1,0))))+IF(H291=1,30,IF(H291=2,20,IF(H291=3,10,IF(H291&lt;&gt;"",1,0)))))*2)</f>
        <v/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14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>
        <f>IF(AND(C292="",OR(E292="",E292=0)),"",(IF(E292=1,30,IF(E292=2,20,IF(E292=3,10,IF(E292&lt;&gt;"",1,0))))+IF(F292=1,30,IF(F292=2,20,IF(F292=3,10,IF(F292&lt;&gt;"",1,0))))+IF(G292=1,30,IF(G292=2,20,IF(G292=3,10,IF(G292&lt;&gt;"",1,0))))+IF(H292=1,30,IF(H292=2,20,IF(H292=3,10,IF(H292&lt;&gt;"",1,0)))))*2)</f>
        <v/>
      </c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14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>
        <f>IF(AND(C293="",OR(E293="",E293=0)),"",(IF(E293=1,30,IF(E293=2,20,IF(E293=3,10,IF(E293&lt;&gt;"",1,0))))+IF(F293=1,30,IF(F293=2,20,IF(F293=3,10,IF(F293&lt;&gt;"",1,0))))+IF(G293=1,30,IF(G293=2,20,IF(G293=3,10,IF(G293&lt;&gt;"",1,0))))+IF(H293=1,30,IF(H293=2,20,IF(H293=3,10,IF(H293&lt;&gt;"",1,0)))))*2)</f>
        <v/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14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>
        <f>IF(AND(C294="",OR(E294="",E294=0)),"",(IF(E294=1,30,IF(E294=2,20,IF(E294=3,10,IF(E294&lt;&gt;"",1,0))))+IF(F294=1,30,IF(F294=2,20,IF(F294=3,10,IF(F294&lt;&gt;"",1,0))))+IF(G294=1,30,IF(G294=2,20,IF(G294=3,10,IF(G294&lt;&gt;"",1,0))))+IF(H294=1,30,IF(H294=2,20,IF(H294=3,10,IF(H294&lt;&gt;"",1,0)))))*2)</f>
        <v/>
      </c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14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>
        <f>IF(AND(C295="",OR(E295="",E295=0)),"",(IF(E295=1,30,IF(E295=2,20,IF(E295=3,10,IF(E295&lt;&gt;"",1,0))))+IF(F295=1,30,IF(F295=2,20,IF(F295=3,10,IF(F295&lt;&gt;"",1,0))))+IF(G295=1,30,IF(G295=2,20,IF(G295=3,10,IF(G295&lt;&gt;"",1,0))))+IF(H295=1,30,IF(H295=2,20,IF(H295=3,10,IF(H295&lt;&gt;"",1,0)))))*2)</f>
        <v/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14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>
        <f>IF(AND(C296="",OR(E296="",E296=0)),"",(IF(E296=1,30,IF(E296=2,20,IF(E296=3,10,IF(E296&lt;&gt;"",1,0))))+IF(F296=1,30,IF(F296=2,20,IF(F296=3,10,IF(F296&lt;&gt;"",1,0))))+IF(G296=1,30,IF(G296=2,20,IF(G296=3,10,IF(G296&lt;&gt;"",1,0))))+IF(H296=1,30,IF(H296=2,20,IF(H296=3,10,IF(H296&lt;&gt;"",1,0)))))*2)</f>
        <v/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14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>
        <f>IF(AND(C297="",OR(E297="",E297=0)),"",(IF(E297=1,30,IF(E297=2,20,IF(E297=3,10,IF(E297&lt;&gt;"",1,0))))+IF(F297=1,30,IF(F297=2,20,IF(F297=3,10,IF(F297&lt;&gt;"",1,0))))+IF(G297=1,30,IF(G297=2,20,IF(G297=3,10,IF(G297&lt;&gt;"",1,0))))+IF(H297=1,30,IF(H297=2,20,IF(H297=3,10,IF(H297&lt;&gt;"",1,0)))))*2)</f>
        <v/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14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>
        <f>IF(AND(C298="",OR(E298="",E298=0)),"",(IF(E298=1,30,IF(E298=2,20,IF(E298=3,10,IF(E298&lt;&gt;"",1,0))))+IF(F298=1,30,IF(F298=2,20,IF(F298=3,10,IF(F298&lt;&gt;"",1,0))))+IF(G298=1,30,IF(G298=2,20,IF(G298=3,10,IF(G298&lt;&gt;"",1,0))))+IF(H298=1,30,IF(H298=2,20,IF(H298=3,10,IF(H298&lt;&gt;"",1,0)))))*2)</f>
        <v/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14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>
        <f>IF(AND(C299="",OR(E299="",E299=0)),"",(IF(E299=1,30,IF(E299=2,20,IF(E299=3,10,IF(E299&lt;&gt;"",1,0))))+IF(F299=1,30,IF(F299=2,20,IF(F299=3,10,IF(F299&lt;&gt;"",1,0))))+IF(G299=1,30,IF(G299=2,20,IF(G299=3,10,IF(G299&lt;&gt;"",1,0))))+IF(H299=1,30,IF(H299=2,20,IF(H299=3,10,IF(H299&lt;&gt;"",1,0)))))*2)</f>
        <v/>
      </c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14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>
        <f>IF(AND(C300="",OR(E300="",E300=0)),"",(IF(E300=1,30,IF(E300=2,20,IF(E300=3,10,IF(E300&lt;&gt;"",1,0))))+IF(F300=1,30,IF(F300=2,20,IF(F300=3,10,IF(F300&lt;&gt;"",1,0))))+IF(G300=1,30,IF(G300=2,20,IF(G300=3,10,IF(G300&lt;&gt;"",1,0))))+IF(H300=1,30,IF(H300=2,20,IF(H300=3,10,IF(H300&lt;&gt;"",1,0)))))*2)</f>
        <v/>
      </c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14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>
        <f>IF(AND(C301="",OR(E301="",E301=0)),"",(IF(E301=1,30,IF(E301=2,20,IF(E301=3,10,IF(E301&lt;&gt;"",1,0))))+IF(F301=1,30,IF(F301=2,20,IF(F301=3,10,IF(F301&lt;&gt;"",1,0))))+IF(G301=1,30,IF(G301=2,20,IF(G301=3,10,IF(G301&lt;&gt;"",1,0))))+IF(H301=1,30,IF(H301=2,20,IF(H301=3,10,IF(H301&lt;&gt;"",1,0)))))*2)</f>
        <v/>
      </c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14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>
        <f>IF(AND(C302="",OR(E302="",E302=0)),"",(IF(E302=1,30,IF(E302=2,20,IF(E302=3,10,IF(E302&lt;&gt;"",1,0))))+IF(F302=1,30,IF(F302=2,20,IF(F302=3,10,IF(F302&lt;&gt;"",1,0))))+IF(G302=1,30,IF(G302=2,20,IF(G302=3,10,IF(G302&lt;&gt;"",1,0))))+IF(H302=1,30,IF(H302=2,20,IF(H302=3,10,IF(H302&lt;&gt;"",1,0)))))*2)</f>
        <v/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14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>
        <f>IF(AND(C303="",OR(E303="",E303=0)),"",(IF(E303=1,30,IF(E303=2,20,IF(E303=3,10,IF(E303&lt;&gt;"",1,0))))+IF(F303=1,30,IF(F303=2,20,IF(F303=3,10,IF(F303&lt;&gt;"",1,0))))+IF(G303=1,30,IF(G303=2,20,IF(G303=3,10,IF(G303&lt;&gt;"",1,0))))+IF(H303=1,30,IF(H303=2,20,IF(H303=3,10,IF(H303&lt;&gt;"",1,0)))))*2)</f>
        <v/>
      </c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14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>
        <f>IF(AND(C304="",OR(E304="",E304=0)),"",(IF(E304=1,30,IF(E304=2,20,IF(E304=3,10,IF(E304&lt;&gt;"",1,0))))+IF(F304=1,30,IF(F304=2,20,IF(F304=3,10,IF(F304&lt;&gt;"",1,0))))+IF(G304=1,30,IF(G304=2,20,IF(G304=3,10,IF(G304&lt;&gt;"",1,0))))+IF(H304=1,30,IF(H304=2,20,IF(H304=3,10,IF(H304&lt;&gt;"",1,0)))))*2)</f>
        <v/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14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>
        <f>IF(AND(C305="",OR(E305="",E305=0)),"",(IF(E305=1,30,IF(E305=2,20,IF(E305=3,10,IF(E305&lt;&gt;"",1,0))))+IF(F305=1,30,IF(F305=2,20,IF(F305=3,10,IF(F305&lt;&gt;"",1,0))))+IF(G305=1,30,IF(G305=2,20,IF(G305=3,10,IF(G305&lt;&gt;"",1,0))))+IF(H305=1,30,IF(H305=2,20,IF(H305=3,10,IF(H305&lt;&gt;"",1,0)))))*2)</f>
        <v/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14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>
        <f>IF(AND(C306="",OR(E306="",E306=0)),"",(IF(E306=1,30,IF(E306=2,20,IF(E306=3,10,IF(E306&lt;&gt;"",1,0))))+IF(F306=1,30,IF(F306=2,20,IF(F306=3,10,IF(F306&lt;&gt;"",1,0))))+IF(G306=1,30,IF(G306=2,20,IF(G306=3,10,IF(G306&lt;&gt;"",1,0))))+IF(H306=1,30,IF(H306=2,20,IF(H306=3,10,IF(H306&lt;&gt;"",1,0)))))*2)</f>
        <v/>
      </c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14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>
        <f>IF(AND(C307="",OR(E307="",E307=0)),"",(IF(E307=1,30,IF(E307=2,20,IF(E307=3,10,IF(E307&lt;&gt;"",1,0))))+IF(F307=1,30,IF(F307=2,20,IF(F307=3,10,IF(F307&lt;&gt;"",1,0))))+IF(G307=1,30,IF(G307=2,20,IF(G307=3,10,IF(G307&lt;&gt;"",1,0))))+IF(H307=1,30,IF(H307=2,20,IF(H307=3,10,IF(H307&lt;&gt;"",1,0)))))*2)</f>
        <v/>
      </c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14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>
        <f>IF(AND(C308="",OR(E308="",E308=0)),"",(IF(E308=1,30,IF(E308=2,20,IF(E308=3,10,IF(E308&lt;&gt;"",1,0))))+IF(F308=1,30,IF(F308=2,20,IF(F308=3,10,IF(F308&lt;&gt;"",1,0))))+IF(G308=1,30,IF(G308=2,20,IF(G308=3,10,IF(G308&lt;&gt;"",1,0))))+IF(H308=1,30,IF(H308=2,20,IF(H308=3,10,IF(H308&lt;&gt;"",1,0)))))*2)</f>
        <v/>
      </c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14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>
        <f>IF(AND(C309="",OR(E309="",E309=0)),"",(IF(E309=1,30,IF(E309=2,20,IF(E309=3,10,IF(E309&lt;&gt;"",1,0))))+IF(F309=1,30,IF(F309=2,20,IF(F309=3,10,IF(F309&lt;&gt;"",1,0))))+IF(G309=1,30,IF(G309=2,20,IF(G309=3,10,IF(G309&lt;&gt;"",1,0))))+IF(H309=1,30,IF(H309=2,20,IF(H309=3,10,IF(H309&lt;&gt;"",1,0)))))*2)</f>
        <v/>
      </c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14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>
        <f>IF(AND(C310="",OR(E310="",E310=0)),"",(IF(E310=1,30,IF(E310=2,20,IF(E310=3,10,IF(E310&lt;&gt;"",1,0))))+IF(F310=1,30,IF(F310=2,20,IF(F310=3,10,IF(F310&lt;&gt;"",1,0))))+IF(G310=1,30,IF(G310=2,20,IF(G310=3,10,IF(G310&lt;&gt;"",1,0))))+IF(H310=1,30,IF(H310=2,20,IF(H310=3,10,IF(H310&lt;&gt;"",1,0)))))*2)</f>
        <v/>
      </c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14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>
        <f>IF(AND(C311="",OR(E311="",E311=0)),"",(IF(E311=1,30,IF(E311=2,20,IF(E311=3,10,IF(E311&lt;&gt;"",1,0))))+IF(F311=1,30,IF(F311=2,20,IF(F311=3,10,IF(F311&lt;&gt;"",1,0))))+IF(G311=1,30,IF(G311=2,20,IF(G311=3,10,IF(G311&lt;&gt;"",1,0))))+IF(H311=1,30,IF(H311=2,20,IF(H311=3,10,IF(H311&lt;&gt;"",1,0)))))*2)</f>
        <v/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14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>
        <f>IF(AND(C312="",OR(E312="",E312=0)),"",(IF(E312=1,30,IF(E312=2,20,IF(E312=3,10,IF(E312&lt;&gt;"",1,0))))+IF(F312=1,30,IF(F312=2,20,IF(F312=3,10,IF(F312&lt;&gt;"",1,0))))+IF(G312=1,30,IF(G312=2,20,IF(G312=3,10,IF(G312&lt;&gt;"",1,0))))+IF(H312=1,30,IF(H312=2,20,IF(H312=3,10,IF(H312&lt;&gt;"",1,0)))))*2)</f>
        <v/>
      </c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14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>
        <f>IF(AND(C313="",OR(E313="",E313=0)),"",(IF(E313=1,30,IF(E313=2,20,IF(E313=3,10,IF(E313&lt;&gt;"",1,0))))+IF(F313=1,30,IF(F313=2,20,IF(F313=3,10,IF(F313&lt;&gt;"",1,0))))+IF(G313=1,30,IF(G313=2,20,IF(G313=3,10,IF(G313&lt;&gt;"",1,0))))+IF(H313=1,30,IF(H313=2,20,IF(H313=3,10,IF(H313&lt;&gt;"",1,0)))))*2)</f>
        <v/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14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>
        <f>IF(AND(C314="",OR(E314="",E314=0)),"",(IF(E314=1,30,IF(E314=2,20,IF(E314=3,10,IF(E314&lt;&gt;"",1,0))))+IF(F314=1,30,IF(F314=2,20,IF(F314=3,10,IF(F314&lt;&gt;"",1,0))))+IF(G314=1,30,IF(G314=2,20,IF(G314=3,10,IF(G314&lt;&gt;"",1,0))))+IF(H314=1,30,IF(H314=2,20,IF(H314=3,10,IF(H314&lt;&gt;"",1,0)))))*2)</f>
        <v/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14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>
        <f>IF(AND(C315="",OR(E315="",E315=0)),"",(IF(E315=1,30,IF(E315=2,20,IF(E315=3,10,IF(E315&lt;&gt;"",1,0))))+IF(F315=1,30,IF(F315=2,20,IF(F315=3,10,IF(F315&lt;&gt;"",1,0))))+IF(G315=1,30,IF(G315=2,20,IF(G315=3,10,IF(G315&lt;&gt;"",1,0))))+IF(H315=1,30,IF(H315=2,20,IF(H315=3,10,IF(H315&lt;&gt;"",1,0)))))*2)</f>
        <v/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14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>
        <f>IF(AND(C316="",OR(E316="",E316=0)),"",(IF(E316=1,30,IF(E316=2,20,IF(E316=3,10,IF(E316&lt;&gt;"",1,0))))+IF(F316=1,30,IF(F316=2,20,IF(F316=3,10,IF(F316&lt;&gt;"",1,0))))+IF(G316=1,30,IF(G316=2,20,IF(G316=3,10,IF(G316&lt;&gt;"",1,0))))+IF(H316=1,30,IF(H316=2,20,IF(H316=3,10,IF(H316&lt;&gt;"",1,0)))))*2)</f>
        <v/>
      </c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14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>
        <f>IF(AND(C317="",OR(E317="",E317=0)),"",(IF(E317=1,30,IF(E317=2,20,IF(E317=3,10,IF(E317&lt;&gt;"",1,0))))+IF(F317=1,30,IF(F317=2,20,IF(F317=3,10,IF(F317&lt;&gt;"",1,0))))+IF(G317=1,30,IF(G317=2,20,IF(G317=3,10,IF(G317&lt;&gt;"",1,0))))+IF(H317=1,30,IF(H317=2,20,IF(H317=3,10,IF(H317&lt;&gt;"",1,0)))))*2)</f>
        <v/>
      </c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14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>
        <f>IF(AND(C318="",OR(E318="",E318=0)),"",(IF(E318=1,30,IF(E318=2,20,IF(E318=3,10,IF(E318&lt;&gt;"",1,0))))+IF(F318=1,30,IF(F318=2,20,IF(F318=3,10,IF(F318&lt;&gt;"",1,0))))+IF(G318=1,30,IF(G318=2,20,IF(G318=3,10,IF(G318&lt;&gt;"",1,0))))+IF(H318=1,30,IF(H318=2,20,IF(H318=3,10,IF(H318&lt;&gt;"",1,0)))))*2)</f>
        <v/>
      </c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14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>
        <f>IF(AND(C319="",OR(E319="",E319=0)),"",(IF(E319=1,30,IF(E319=2,20,IF(E319=3,10,IF(E319&lt;&gt;"",1,0))))+IF(F319=1,30,IF(F319=2,20,IF(F319=3,10,IF(F319&lt;&gt;"",1,0))))+IF(G319=1,30,IF(G319=2,20,IF(G319=3,10,IF(G319&lt;&gt;"",1,0))))+IF(H319=1,30,IF(H319=2,20,IF(H319=3,10,IF(H319&lt;&gt;"",1,0)))))*2)</f>
        <v/>
      </c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14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>
        <f>IF(AND(C320="",OR(E320="",E320=0)),"",(IF(E320=1,30,IF(E320=2,20,IF(E320=3,10,IF(E320&lt;&gt;"",1,0))))+IF(F320=1,30,IF(F320=2,20,IF(F320=3,10,IF(F320&lt;&gt;"",1,0))))+IF(G320=1,30,IF(G320=2,20,IF(G320=3,10,IF(G320&lt;&gt;"",1,0))))+IF(H320=1,30,IF(H320=2,20,IF(H320=3,10,IF(H320&lt;&gt;"",1,0)))))*2)</f>
        <v/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14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>
        <f>IF(AND(C321="",OR(E321="",E321=0)),"",(IF(E321=1,30,IF(E321=2,20,IF(E321=3,10,IF(E321&lt;&gt;"",1,0))))+IF(F321=1,30,IF(F321=2,20,IF(F321=3,10,IF(F321&lt;&gt;"",1,0))))+IF(G321=1,30,IF(G321=2,20,IF(G321=3,10,IF(G321&lt;&gt;"",1,0))))+IF(H321=1,30,IF(H321=2,20,IF(H321=3,10,IF(H321&lt;&gt;"",1,0)))))*2)</f>
        <v/>
      </c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14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>
        <f>IF(AND(C322="",OR(E322="",E322=0)),"",(IF(E322=1,30,IF(E322=2,20,IF(E322=3,10,IF(E322&lt;&gt;"",1,0))))+IF(F322=1,30,IF(F322=2,20,IF(F322=3,10,IF(F322&lt;&gt;"",1,0))))+IF(G322=1,30,IF(G322=2,20,IF(G322=3,10,IF(G322&lt;&gt;"",1,0))))+IF(H322=1,30,IF(H322=2,20,IF(H322=3,10,IF(H322&lt;&gt;"",1,0)))))*2)</f>
        <v/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14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>
        <f>IF(AND(C323="",OR(E323="",E323=0)),"",(IF(E323=1,30,IF(E323=2,20,IF(E323=3,10,IF(E323&lt;&gt;"",1,0))))+IF(F323=1,30,IF(F323=2,20,IF(F323=3,10,IF(F323&lt;&gt;"",1,0))))+IF(G323=1,30,IF(G323=2,20,IF(G323=3,10,IF(G323&lt;&gt;"",1,0))))+IF(H323=1,30,IF(H323=2,20,IF(H323=3,10,IF(H323&lt;&gt;"",1,0)))))*2)</f>
        <v/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14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>
        <f>IF(AND(C324="",OR(E324="",E324=0)),"",(IF(E324=1,30,IF(E324=2,20,IF(E324=3,10,IF(E324&lt;&gt;"",1,0))))+IF(F324=1,30,IF(F324=2,20,IF(F324=3,10,IF(F324&lt;&gt;"",1,0))))+IF(G324=1,30,IF(G324=2,20,IF(G324=3,10,IF(G324&lt;&gt;"",1,0))))+IF(H324=1,30,IF(H324=2,20,IF(H324=3,10,IF(H324&lt;&gt;"",1,0)))))*2)</f>
        <v/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14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>
        <f>IF(AND(C325="",OR(E325="",E325=0)),"",(IF(E325=1,30,IF(E325=2,20,IF(E325=3,10,IF(E325&lt;&gt;"",1,0))))+IF(F325=1,30,IF(F325=2,20,IF(F325=3,10,IF(F325&lt;&gt;"",1,0))))+IF(G325=1,30,IF(G325=2,20,IF(G325=3,10,IF(G325&lt;&gt;"",1,0))))+IF(H325=1,30,IF(H325=2,20,IF(H325=3,10,IF(H325&lt;&gt;"",1,0)))))*2)</f>
        <v/>
      </c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14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>
        <f>IF(AND(C326="",OR(E326="",E326=0)),"",(IF(E326=1,30,IF(E326=2,20,IF(E326=3,10,IF(E326&lt;&gt;"",1,0))))+IF(F326=1,30,IF(F326=2,20,IF(F326=3,10,IF(F326&lt;&gt;"",1,0))))+IF(G326=1,30,IF(G326=2,20,IF(G326=3,10,IF(G326&lt;&gt;"",1,0))))+IF(H326=1,30,IF(H326=2,20,IF(H326=3,10,IF(H326&lt;&gt;"",1,0)))))*2)</f>
        <v/>
      </c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14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>
        <f>IF(AND(C327="",OR(E327="",E327=0)),"",(IF(E327=1,30,IF(E327=2,20,IF(E327=3,10,IF(E327&lt;&gt;"",1,0))))+IF(F327=1,30,IF(F327=2,20,IF(F327=3,10,IF(F327&lt;&gt;"",1,0))))+IF(G327=1,30,IF(G327=2,20,IF(G327=3,10,IF(G327&lt;&gt;"",1,0))))+IF(H327=1,30,IF(H327=2,20,IF(H327=3,10,IF(H327&lt;&gt;"",1,0)))))*2)</f>
        <v/>
      </c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14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>
        <f>IF(AND(C328="",OR(E328="",E328=0)),"",(IF(E328=1,30,IF(E328=2,20,IF(E328=3,10,IF(E328&lt;&gt;"",1,0))))+IF(F328=1,30,IF(F328=2,20,IF(F328=3,10,IF(F328&lt;&gt;"",1,0))))+IF(G328=1,30,IF(G328=2,20,IF(G328=3,10,IF(G328&lt;&gt;"",1,0))))+IF(H328=1,30,IF(H328=2,20,IF(H328=3,10,IF(H328&lt;&gt;"",1,0)))))*2)</f>
        <v/>
      </c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14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>
        <f>IF(AND(C329="",OR(E329="",E329=0)),"",(IF(E329=1,30,IF(E329=2,20,IF(E329=3,10,IF(E329&lt;&gt;"",1,0))))+IF(F329=1,30,IF(F329=2,20,IF(F329=3,10,IF(F329&lt;&gt;"",1,0))))+IF(G329=1,30,IF(G329=2,20,IF(G329=3,10,IF(G329&lt;&gt;"",1,0))))+IF(H329=1,30,IF(H329=2,20,IF(H329=3,10,IF(H329&lt;&gt;"",1,0)))))*2)</f>
        <v/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14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>
        <f>IF(AND(C330="",OR(E330="",E330=0)),"",(IF(E330=1,30,IF(E330=2,20,IF(E330=3,10,IF(E330&lt;&gt;"",1,0))))+IF(F330=1,30,IF(F330=2,20,IF(F330=3,10,IF(F330&lt;&gt;"",1,0))))+IF(G330=1,30,IF(G330=2,20,IF(G330=3,10,IF(G330&lt;&gt;"",1,0))))+IF(H330=1,30,IF(H330=2,20,IF(H330=3,10,IF(H330&lt;&gt;"",1,0)))))*2)</f>
        <v/>
      </c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14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>
        <f>IF(AND(C331="",OR(E331="",E331=0)),"",(IF(E331=1,30,IF(E331=2,20,IF(E331=3,10,IF(E331&lt;&gt;"",1,0))))+IF(F331=1,30,IF(F331=2,20,IF(F331=3,10,IF(F331&lt;&gt;"",1,0))))+IF(G331=1,30,IF(G331=2,20,IF(G331=3,10,IF(G331&lt;&gt;"",1,0))))+IF(H331=1,30,IF(H331=2,20,IF(H331=3,10,IF(H331&lt;&gt;"",1,0)))))*2)</f>
        <v/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14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>
        <f>IF(AND(C332="",OR(E332="",E332=0)),"",(IF(E332=1,30,IF(E332=2,20,IF(E332=3,10,IF(E332&lt;&gt;"",1,0))))+IF(F332=1,30,IF(F332=2,20,IF(F332=3,10,IF(F332&lt;&gt;"",1,0))))+IF(G332=1,30,IF(G332=2,20,IF(G332=3,10,IF(G332&lt;&gt;"",1,0))))+IF(H332=1,30,IF(H332=2,20,IF(H332=3,10,IF(H332&lt;&gt;"",1,0)))))*2)</f>
        <v/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14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>
        <f>IF(AND(C333="",OR(E333="",E333=0)),"",(IF(E333=1,30,IF(E333=2,20,IF(E333=3,10,IF(E333&lt;&gt;"",1,0))))+IF(F333=1,30,IF(F333=2,20,IF(F333=3,10,IF(F333&lt;&gt;"",1,0))))+IF(G333=1,30,IF(G333=2,20,IF(G333=3,10,IF(G333&lt;&gt;"",1,0))))+IF(H333=1,30,IF(H333=2,20,IF(H333=3,10,IF(H333&lt;&gt;"",1,0)))))*2)</f>
        <v/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14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>
        <f>IF(AND(C334="",OR(E334="",E334=0)),"",(IF(E334=1,30,IF(E334=2,20,IF(E334=3,10,IF(E334&lt;&gt;"",1,0))))+IF(F334=1,30,IF(F334=2,20,IF(F334=3,10,IF(F334&lt;&gt;"",1,0))))+IF(G334=1,30,IF(G334=2,20,IF(G334=3,10,IF(G334&lt;&gt;"",1,0))))+IF(H334=1,30,IF(H334=2,20,IF(H334=3,10,IF(H334&lt;&gt;"",1,0)))))*2)</f>
        <v/>
      </c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14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>
        <f>IF(AND(C335="",OR(E335="",E335=0)),"",(IF(E335=1,30,IF(E335=2,20,IF(E335=3,10,IF(E335&lt;&gt;"",1,0))))+IF(F335=1,30,IF(F335=2,20,IF(F335=3,10,IF(F335&lt;&gt;"",1,0))))+IF(G335=1,30,IF(G335=2,20,IF(G335=3,10,IF(G335&lt;&gt;"",1,0))))+IF(H335=1,30,IF(H335=2,20,IF(H335=3,10,IF(H335&lt;&gt;"",1,0)))))*2)</f>
        <v/>
      </c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14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>
        <f>IF(AND(C336="",OR(E336="",E336=0)),"",(IF(E336=1,30,IF(E336=2,20,IF(E336=3,10,IF(E336&lt;&gt;"",1,0))))+IF(F336=1,30,IF(F336=2,20,IF(F336=3,10,IF(F336&lt;&gt;"",1,0))))+IF(G336=1,30,IF(G336=2,20,IF(G336=3,10,IF(G336&lt;&gt;"",1,0))))+IF(H336=1,30,IF(H336=2,20,IF(H336=3,10,IF(H336&lt;&gt;"",1,0)))))*2)</f>
        <v/>
      </c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14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>
        <f>IF(AND(C337="",OR(E337="",E337=0)),"",(IF(E337=1,30,IF(E337=2,20,IF(E337=3,10,IF(E337&lt;&gt;"",1,0))))+IF(F337=1,30,IF(F337=2,20,IF(F337=3,10,IF(F337&lt;&gt;"",1,0))))+IF(G337=1,30,IF(G337=2,20,IF(G337=3,10,IF(G337&lt;&gt;"",1,0))))+IF(H337=1,30,IF(H337=2,20,IF(H337=3,10,IF(H337&lt;&gt;"",1,0)))))*2)</f>
        <v/>
      </c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14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>
        <f>IF(AND(C338="",OR(E338="",E338=0)),"",(IF(E338=1,30,IF(E338=2,20,IF(E338=3,10,IF(E338&lt;&gt;"",1,0))))+IF(F338=1,30,IF(F338=2,20,IF(F338=3,10,IF(F338&lt;&gt;"",1,0))))+IF(G338=1,30,IF(G338=2,20,IF(G338=3,10,IF(G338&lt;&gt;"",1,0))))+IF(H338=1,30,IF(H338=2,20,IF(H338=3,10,IF(H338&lt;&gt;"",1,0)))))*2)</f>
        <v/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14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>
        <f>IF(AND(C339="",OR(E339="",E339=0)),"",(IF(E339=1,30,IF(E339=2,20,IF(E339=3,10,IF(E339&lt;&gt;"",1,0))))+IF(F339=1,30,IF(F339=2,20,IF(F339=3,10,IF(F339&lt;&gt;"",1,0))))+IF(G339=1,30,IF(G339=2,20,IF(G339=3,10,IF(G339&lt;&gt;"",1,0))))+IF(H339=1,30,IF(H339=2,20,IF(H339=3,10,IF(H339&lt;&gt;"",1,0)))))*2)</f>
        <v/>
      </c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14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>
        <f>IF(AND(C340="",OR(E340="",E340=0)),"",(IF(E340=1,30,IF(E340=2,20,IF(E340=3,10,IF(E340&lt;&gt;"",1,0))))+IF(F340=1,30,IF(F340=2,20,IF(F340=3,10,IF(F340&lt;&gt;"",1,0))))+IF(G340=1,30,IF(G340=2,20,IF(G340=3,10,IF(G340&lt;&gt;"",1,0))))+IF(H340=1,30,IF(H340=2,20,IF(H340=3,10,IF(H340&lt;&gt;"",1,0)))))*2)</f>
        <v/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14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>
        <f>IF(AND(C341="",OR(E341="",E341=0)),"",(IF(E341=1,30,IF(E341=2,20,IF(E341=3,10,IF(E341&lt;&gt;"",1,0))))+IF(F341=1,30,IF(F341=2,20,IF(F341=3,10,IF(F341&lt;&gt;"",1,0))))+IF(G341=1,30,IF(G341=2,20,IF(G341=3,10,IF(G341&lt;&gt;"",1,0))))+IF(H341=1,30,IF(H341=2,20,IF(H341=3,10,IF(H341&lt;&gt;"",1,0)))))*2)</f>
        <v/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14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>
        <f>IF(AND(C342="",OR(E342="",E342=0)),"",(IF(E342=1,30,IF(E342=2,20,IF(E342=3,10,IF(E342&lt;&gt;"",1,0))))+IF(F342=1,30,IF(F342=2,20,IF(F342=3,10,IF(F342&lt;&gt;"",1,0))))+IF(G342=1,30,IF(G342=2,20,IF(G342=3,10,IF(G342&lt;&gt;"",1,0))))+IF(H342=1,30,IF(H342=2,20,IF(H342=3,10,IF(H342&lt;&gt;"",1,0)))))*2)</f>
        <v/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1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>
        <f>IF(AND(C343="",OR(E343="",E343=0)),"",(IF(E343=1,30,IF(E343=2,20,IF(E343=3,10,IF(E343&lt;&gt;"",1,0))))+IF(F343=1,30,IF(F343=2,20,IF(F343=3,10,IF(F343&lt;&gt;"",1,0))))+IF(G343=1,30,IF(G343=2,20,IF(G343=3,10,IF(G343&lt;&gt;"",1,0))))+IF(H343=1,30,IF(H343=2,20,IF(H343=3,10,IF(H343&lt;&gt;"",1,0)))))*2)</f>
        <v/>
      </c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14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>
        <f>IF(AND(C344="",OR(E344="",E344=0)),"",(IF(E344=1,30,IF(E344=2,20,IF(E344=3,10,IF(E344&lt;&gt;"",1,0))))+IF(F344=1,30,IF(F344=2,20,IF(F344=3,10,IF(F344&lt;&gt;"",1,0))))+IF(G344=1,30,IF(G344=2,20,IF(G344=3,10,IF(G344&lt;&gt;"",1,0))))+IF(H344=1,30,IF(H344=2,20,IF(H344=3,10,IF(H344&lt;&gt;"",1,0)))))*2)</f>
        <v/>
      </c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14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>
        <f>IF(AND(C345="",OR(E345="",E345=0)),"",(IF(E345=1,30,IF(E345=2,20,IF(E345=3,10,IF(E345&lt;&gt;"",1,0))))+IF(F345=1,30,IF(F345=2,20,IF(F345=3,10,IF(F345&lt;&gt;"",1,0))))+IF(G345=1,30,IF(G345=2,20,IF(G345=3,10,IF(G345&lt;&gt;"",1,0))))+IF(H345=1,30,IF(H345=2,20,IF(H345=3,10,IF(H345&lt;&gt;"",1,0)))))*2)</f>
        <v/>
      </c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14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>
        <f>IF(AND(C346="",OR(E346="",E346=0)),"",(IF(E346=1,30,IF(E346=2,20,IF(E346=3,10,IF(E346&lt;&gt;"",1,0))))+IF(F346=1,30,IF(F346=2,20,IF(F346=3,10,IF(F346&lt;&gt;"",1,0))))+IF(G346=1,30,IF(G346=2,20,IF(G346=3,10,IF(G346&lt;&gt;"",1,0))))+IF(H346=1,30,IF(H346=2,20,IF(H346=3,10,IF(H346&lt;&gt;"",1,0)))))*2)</f>
        <v/>
      </c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14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>
        <f>IF(AND(C347="",OR(E347="",E347=0)),"",(IF(E347=1,30,IF(E347=2,20,IF(E347=3,10,IF(E347&lt;&gt;"",1,0))))+IF(F347=1,30,IF(F347=2,20,IF(F347=3,10,IF(F347&lt;&gt;"",1,0))))+IF(G347=1,30,IF(G347=2,20,IF(G347=3,10,IF(G347&lt;&gt;"",1,0))))+IF(H347=1,30,IF(H347=2,20,IF(H347=3,10,IF(H347&lt;&gt;"",1,0)))))*2)</f>
        <v/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14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>
        <f>IF(AND(C348="",OR(E348="",E348=0)),"",(IF(E348=1,30,IF(E348=2,20,IF(E348=3,10,IF(E348&lt;&gt;"",1,0))))+IF(F348=1,30,IF(F348=2,20,IF(F348=3,10,IF(F348&lt;&gt;"",1,0))))+IF(G348=1,30,IF(G348=2,20,IF(G348=3,10,IF(G348&lt;&gt;"",1,0))))+IF(H348=1,30,IF(H348=2,20,IF(H348=3,10,IF(H348&lt;&gt;"",1,0)))))*2)</f>
        <v/>
      </c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14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>
        <f>IF(AND(C349="",OR(E349="",E349=0)),"",(IF(E349=1,30,IF(E349=2,20,IF(E349=3,10,IF(E349&lt;&gt;"",1,0))))+IF(F349=1,30,IF(F349=2,20,IF(F349=3,10,IF(F349&lt;&gt;"",1,0))))+IF(G349=1,30,IF(G349=2,20,IF(G349=3,10,IF(G349&lt;&gt;"",1,0))))+IF(H349=1,30,IF(H349=2,20,IF(H349=3,10,IF(H349&lt;&gt;"",1,0)))))*2)</f>
        <v/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14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>
        <f>IF(AND(C350="",OR(E350="",E350=0)),"",(IF(E350=1,30,IF(E350=2,20,IF(E350=3,10,IF(E350&lt;&gt;"",1,0))))+IF(F350=1,30,IF(F350=2,20,IF(F350=3,10,IF(F350&lt;&gt;"",1,0))))+IF(G350=1,30,IF(G350=2,20,IF(G350=3,10,IF(G350&lt;&gt;"",1,0))))+IF(H350=1,30,IF(H350=2,20,IF(H350=3,10,IF(H350&lt;&gt;"",1,0)))))*2)</f>
        <v/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14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>
        <f>IF(AND(C351="",OR(E351="",E351=0)),"",(IF(E351=1,30,IF(E351=2,20,IF(E351=3,10,IF(E351&lt;&gt;"",1,0))))+IF(F351=1,30,IF(F351=2,20,IF(F351=3,10,IF(F351&lt;&gt;"",1,0))))+IF(G351=1,30,IF(G351=2,20,IF(G351=3,10,IF(G351&lt;&gt;"",1,0))))+IF(H351=1,30,IF(H351=2,20,IF(H351=3,10,IF(H351&lt;&gt;"",1,0)))))*2)</f>
        <v/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14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>
        <f>IF(AND(C352="",OR(E352="",E352=0)),"",(IF(E352=1,30,IF(E352=2,20,IF(E352=3,10,IF(E352&lt;&gt;"",1,0))))+IF(F352=1,30,IF(F352=2,20,IF(F352=3,10,IF(F352&lt;&gt;"",1,0))))+IF(G352=1,30,IF(G352=2,20,IF(G352=3,10,IF(G352&lt;&gt;"",1,0))))+IF(H352=1,30,IF(H352=2,20,IF(H352=3,10,IF(H352&lt;&gt;"",1,0)))))*2)</f>
        <v/>
      </c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14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>
        <f>IF(AND(C353="",OR(E353="",E353=0)),"",(IF(E353=1,30,IF(E353=2,20,IF(E353=3,10,IF(E353&lt;&gt;"",1,0))))+IF(F353=1,30,IF(F353=2,20,IF(F353=3,10,IF(F353&lt;&gt;"",1,0))))+IF(G353=1,30,IF(G353=2,20,IF(G353=3,10,IF(G353&lt;&gt;"",1,0))))+IF(H353=1,30,IF(H353=2,20,IF(H353=3,10,IF(H353&lt;&gt;"",1,0)))))*2)</f>
        <v/>
      </c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14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>
        <f>IF(AND(C354="",OR(E354="",E354=0)),"",(IF(E354=1,30,IF(E354=2,20,IF(E354=3,10,IF(E354&lt;&gt;"",1,0))))+IF(F354=1,30,IF(F354=2,20,IF(F354=3,10,IF(F354&lt;&gt;"",1,0))))+IF(G354=1,30,IF(G354=2,20,IF(G354=3,10,IF(G354&lt;&gt;"",1,0))))+IF(H354=1,30,IF(H354=2,20,IF(H354=3,10,IF(H354&lt;&gt;"",1,0)))))*2)</f>
        <v/>
      </c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14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>
        <f>IF(AND(C355="",OR(E355="",E355=0)),"",(IF(E355=1,30,IF(E355=2,20,IF(E355=3,10,IF(E355&lt;&gt;"",1,0))))+IF(F355=1,30,IF(F355=2,20,IF(F355=3,10,IF(F355&lt;&gt;"",1,0))))+IF(G355=1,30,IF(G355=2,20,IF(G355=3,10,IF(G355&lt;&gt;"",1,0))))+IF(H355=1,30,IF(H355=2,20,IF(H355=3,10,IF(H355&lt;&gt;"",1,0)))))*2)</f>
        <v/>
      </c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14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>
        <f>IF(AND(C356="",OR(E356="",E356=0)),"",(IF(E356=1,30,IF(E356=2,20,IF(E356=3,10,IF(E356&lt;&gt;"",1,0))))+IF(F356=1,30,IF(F356=2,20,IF(F356=3,10,IF(F356&lt;&gt;"",1,0))))+IF(G356=1,30,IF(G356=2,20,IF(G356=3,10,IF(G356&lt;&gt;"",1,0))))+IF(H356=1,30,IF(H356=2,20,IF(H356=3,10,IF(H356&lt;&gt;"",1,0)))))*2)</f>
        <v/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14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>
        <f>IF(AND(C357="",OR(E357="",E357=0)),"",(IF(E357=1,30,IF(E357=2,20,IF(E357=3,10,IF(E357&lt;&gt;"",1,0))))+IF(F357=1,30,IF(F357=2,20,IF(F357=3,10,IF(F357&lt;&gt;"",1,0))))+IF(G357=1,30,IF(G357=2,20,IF(G357=3,10,IF(G357&lt;&gt;"",1,0))))+IF(H357=1,30,IF(H357=2,20,IF(H357=3,10,IF(H357&lt;&gt;"",1,0)))))*2)</f>
        <v/>
      </c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14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>
        <f>IF(AND(C358="",OR(E358="",E358=0)),"",(IF(E358=1,30,IF(E358=2,20,IF(E358=3,10,IF(E358&lt;&gt;"",1,0))))+IF(F358=1,30,IF(F358=2,20,IF(F358=3,10,IF(F358&lt;&gt;"",1,0))))+IF(G358=1,30,IF(G358=2,20,IF(G358=3,10,IF(G358&lt;&gt;"",1,0))))+IF(H358=1,30,IF(H358=2,20,IF(H358=3,10,IF(H358&lt;&gt;"",1,0)))))*2)</f>
        <v/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14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>
        <f>IF(AND(C359="",OR(E359="",E359=0)),"",(IF(E359=1,30,IF(E359=2,20,IF(E359=3,10,IF(E359&lt;&gt;"",1,0))))+IF(F359=1,30,IF(F359=2,20,IF(F359=3,10,IF(F359&lt;&gt;"",1,0))))+IF(G359=1,30,IF(G359=2,20,IF(G359=3,10,IF(G359&lt;&gt;"",1,0))))+IF(H359=1,30,IF(H359=2,20,IF(H359=3,10,IF(H359&lt;&gt;"",1,0)))))*2)</f>
        <v/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14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>
        <f>IF(AND(C360="",OR(E360="",E360=0)),"",(IF(E360=1,30,IF(E360=2,20,IF(E360=3,10,IF(E360&lt;&gt;"",1,0))))+IF(F360=1,30,IF(F360=2,20,IF(F360=3,10,IF(F360&lt;&gt;"",1,0))))+IF(G360=1,30,IF(G360=2,20,IF(G360=3,10,IF(G360&lt;&gt;"",1,0))))+IF(H360=1,30,IF(H360=2,20,IF(H360=3,10,IF(H360&lt;&gt;"",1,0)))))*2)</f>
        <v/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14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>
        <f>IF(AND(C361="",OR(E361="",E361=0)),"",(IF(E361=1,30,IF(E361=2,20,IF(E361=3,10,IF(E361&lt;&gt;"",1,0))))+IF(F361=1,30,IF(F361=2,20,IF(F361=3,10,IF(F361&lt;&gt;"",1,0))))+IF(G361=1,30,IF(G361=2,20,IF(G361=3,10,IF(G361&lt;&gt;"",1,0))))+IF(H361=1,30,IF(H361=2,20,IF(H361=3,10,IF(H361&lt;&gt;"",1,0)))))*2)</f>
        <v/>
      </c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14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>
        <f>IF(AND(C362="",OR(E362="",E362=0)),"",(IF(E362=1,30,IF(E362=2,20,IF(E362=3,10,IF(E362&lt;&gt;"",1,0))))+IF(F362=1,30,IF(F362=2,20,IF(F362=3,10,IF(F362&lt;&gt;"",1,0))))+IF(G362=1,30,IF(G362=2,20,IF(G362=3,10,IF(G362&lt;&gt;"",1,0))))+IF(H362=1,30,IF(H362=2,20,IF(H362=3,10,IF(H362&lt;&gt;"",1,0)))))*2)</f>
        <v/>
      </c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14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>
        <f>IF(AND(C363="",OR(E363="",E363=0)),"",(IF(E363=1,30,IF(E363=2,20,IF(E363=3,10,IF(E363&lt;&gt;"",1,0))))+IF(F363=1,30,IF(F363=2,20,IF(F363=3,10,IF(F363&lt;&gt;"",1,0))))+IF(G363=1,30,IF(G363=2,20,IF(G363=3,10,IF(G363&lt;&gt;"",1,0))))+IF(H363=1,30,IF(H363=2,20,IF(H363=3,10,IF(H363&lt;&gt;"",1,0)))))*2)</f>
        <v/>
      </c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14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>
        <f>IF(AND(C364="",OR(E364="",E364=0)),"",(IF(E364=1,30,IF(E364=2,20,IF(E364=3,10,IF(E364&lt;&gt;"",1,0))))+IF(F364=1,30,IF(F364=2,20,IF(F364=3,10,IF(F364&lt;&gt;"",1,0))))+IF(G364=1,30,IF(G364=2,20,IF(G364=3,10,IF(G364&lt;&gt;"",1,0))))+IF(H364=1,30,IF(H364=2,20,IF(H364=3,10,IF(H364&lt;&gt;"",1,0)))))*2)</f>
        <v/>
      </c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14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>
        <f>IF(AND(C365="",OR(E365="",E365=0)),"",(IF(E365=1,30,IF(E365=2,20,IF(E365=3,10,IF(E365&lt;&gt;"",1,0))))+IF(F365=1,30,IF(F365=2,20,IF(F365=3,10,IF(F365&lt;&gt;"",1,0))))+IF(G365=1,30,IF(G365=2,20,IF(G365=3,10,IF(G365&lt;&gt;"",1,0))))+IF(H365=1,30,IF(H365=2,20,IF(H365=3,10,IF(H365&lt;&gt;"",1,0)))))*2)</f>
        <v/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14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>
        <f>IF(AND(C366="",OR(E366="",E366=0)),"",(IF(E366=1,30,IF(E366=2,20,IF(E366=3,10,IF(E366&lt;&gt;"",1,0))))+IF(F366=1,30,IF(F366=2,20,IF(F366=3,10,IF(F366&lt;&gt;"",1,0))))+IF(G366=1,30,IF(G366=2,20,IF(G366=3,10,IF(G366&lt;&gt;"",1,0))))+IF(H366=1,30,IF(H366=2,20,IF(H366=3,10,IF(H366&lt;&gt;"",1,0)))))*2)</f>
        <v/>
      </c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14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>
        <f>IF(AND(C367="",OR(E367="",E367=0)),"",(IF(E367=1,30,IF(E367=2,20,IF(E367=3,10,IF(E367&lt;&gt;"",1,0))))+IF(F367=1,30,IF(F367=2,20,IF(F367=3,10,IF(F367&lt;&gt;"",1,0))))+IF(G367=1,30,IF(G367=2,20,IF(G367=3,10,IF(G367&lt;&gt;"",1,0))))+IF(H367=1,30,IF(H367=2,20,IF(H367=3,10,IF(H367&lt;&gt;"",1,0)))))*2)</f>
        <v/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14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>
        <f>IF(AND(C368="",OR(E368="",E368=0)),"",(IF(E368=1,30,IF(E368=2,20,IF(E368=3,10,IF(E368&lt;&gt;"",1,0))))+IF(F368=1,30,IF(F368=2,20,IF(F368=3,10,IF(F368&lt;&gt;"",1,0))))+IF(G368=1,30,IF(G368=2,20,IF(G368=3,10,IF(G368&lt;&gt;"",1,0))))+IF(H368=1,30,IF(H368=2,20,IF(H368=3,10,IF(H368&lt;&gt;"",1,0)))))*2)</f>
        <v/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14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>
        <f>IF(AND(C369="",OR(E369="",E369=0)),"",(IF(E369=1,30,IF(E369=2,20,IF(E369=3,10,IF(E369&lt;&gt;"",1,0))))+IF(F369=1,30,IF(F369=2,20,IF(F369=3,10,IF(F369&lt;&gt;"",1,0))))+IF(G369=1,30,IF(G369=2,20,IF(G369=3,10,IF(G369&lt;&gt;"",1,0))))+IF(H369=1,30,IF(H369=2,20,IF(H369=3,10,IF(H369&lt;&gt;"",1,0)))))*2)</f>
        <v/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14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>
        <f>IF(AND(C370="",OR(E370="",E370=0)),"",(IF(E370=1,30,IF(E370=2,20,IF(E370=3,10,IF(E370&lt;&gt;"",1,0))))+IF(F370=1,30,IF(F370=2,20,IF(F370=3,10,IF(F370&lt;&gt;"",1,0))))+IF(G370=1,30,IF(G370=2,20,IF(G370=3,10,IF(G370&lt;&gt;"",1,0))))+IF(H370=1,30,IF(H370=2,20,IF(H370=3,10,IF(H370&lt;&gt;"",1,0)))))*2)</f>
        <v/>
      </c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14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>
        <f>IF(AND(C371="",OR(E371="",E371=0)),"",(IF(E371=1,30,IF(E371=2,20,IF(E371=3,10,IF(E371&lt;&gt;"",1,0))))+IF(F371=1,30,IF(F371=2,20,IF(F371=3,10,IF(F371&lt;&gt;"",1,0))))+IF(G371=1,30,IF(G371=2,20,IF(G371=3,10,IF(G371&lt;&gt;"",1,0))))+IF(H371=1,30,IF(H371=2,20,IF(H371=3,10,IF(H371&lt;&gt;"",1,0)))))*2)</f>
        <v/>
      </c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14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>
        <f>IF(AND(C372="",OR(E372="",E372=0)),"",(IF(E372=1,30,IF(E372=2,20,IF(E372=3,10,IF(E372&lt;&gt;"",1,0))))+IF(F372=1,30,IF(F372=2,20,IF(F372=3,10,IF(F372&lt;&gt;"",1,0))))+IF(G372=1,30,IF(G372=2,20,IF(G372=3,10,IF(G372&lt;&gt;"",1,0))))+IF(H372=1,30,IF(H372=2,20,IF(H372=3,10,IF(H372&lt;&gt;"",1,0)))))*2)</f>
        <v/>
      </c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14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>
        <f>IF(AND(C373="",OR(E373="",E373=0)),"",(IF(E373=1,30,IF(E373=2,20,IF(E373=3,10,IF(E373&lt;&gt;"",1,0))))+IF(F373=1,30,IF(F373=2,20,IF(F373=3,10,IF(F373&lt;&gt;"",1,0))))+IF(G373=1,30,IF(G373=2,20,IF(G373=3,10,IF(G373&lt;&gt;"",1,0))))+IF(H373=1,30,IF(H373=2,20,IF(H373=3,10,IF(H373&lt;&gt;"",1,0)))))*2)</f>
        <v/>
      </c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14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>
        <f>IF(AND(C374="",OR(E374="",E374=0)),"",(IF(E374=1,30,IF(E374=2,20,IF(E374=3,10,IF(E374&lt;&gt;"",1,0))))+IF(F374=1,30,IF(F374=2,20,IF(F374=3,10,IF(F374&lt;&gt;"",1,0))))+IF(G374=1,30,IF(G374=2,20,IF(G374=3,10,IF(G374&lt;&gt;"",1,0))))+IF(H374=1,30,IF(H374=2,20,IF(H374=3,10,IF(H374&lt;&gt;"",1,0)))))*2)</f>
        <v/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14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>
        <f>IF(AND(C375="",OR(E375="",E375=0)),"",(IF(E375=1,30,IF(E375=2,20,IF(E375=3,10,IF(E375&lt;&gt;"",1,0))))+IF(F375=1,30,IF(F375=2,20,IF(F375=3,10,IF(F375&lt;&gt;"",1,0))))+IF(G375=1,30,IF(G375=2,20,IF(G375=3,10,IF(G375&lt;&gt;"",1,0))))+IF(H375=1,30,IF(H375=2,20,IF(H375=3,10,IF(H375&lt;&gt;"",1,0)))))*2)</f>
        <v/>
      </c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14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>
        <f>IF(AND(C376="",OR(E376="",E376=0)),"",(IF(E376=1,30,IF(E376=2,20,IF(E376=3,10,IF(E376&lt;&gt;"",1,0))))+IF(F376=1,30,IF(F376=2,20,IF(F376=3,10,IF(F376&lt;&gt;"",1,0))))+IF(G376=1,30,IF(G376=2,20,IF(G376=3,10,IF(G376&lt;&gt;"",1,0))))+IF(H376=1,30,IF(H376=2,20,IF(H376=3,10,IF(H376&lt;&gt;"",1,0)))))*2)</f>
        <v/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14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>
        <f>IF(AND(C377="",OR(E377="",E377=0)),"",(IF(E377=1,30,IF(E377=2,20,IF(E377=3,10,IF(E377&lt;&gt;"",1,0))))+IF(F377=1,30,IF(F377=2,20,IF(F377=3,10,IF(F377&lt;&gt;"",1,0))))+IF(G377=1,30,IF(G377=2,20,IF(G377=3,10,IF(G377&lt;&gt;"",1,0))))+IF(H377=1,30,IF(H377=2,20,IF(H377=3,10,IF(H377&lt;&gt;"",1,0)))))*2)</f>
        <v/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14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>
        <f>IF(AND(C378="",OR(E378="",E378=0)),"",(IF(E378=1,30,IF(E378=2,20,IF(E378=3,10,IF(E378&lt;&gt;"",1,0))))+IF(F378=1,30,IF(F378=2,20,IF(F378=3,10,IF(F378&lt;&gt;"",1,0))))+IF(G378=1,30,IF(G378=2,20,IF(G378=3,10,IF(G378&lt;&gt;"",1,0))))+IF(H378=1,30,IF(H378=2,20,IF(H378=3,10,IF(H378&lt;&gt;"",1,0)))))*2)</f>
        <v/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14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>
        <f>IF(AND(C379="",OR(E379="",E379=0)),"",(IF(E379=1,30,IF(E379=2,20,IF(E379=3,10,IF(E379&lt;&gt;"",1,0))))+IF(F379=1,30,IF(F379=2,20,IF(F379=3,10,IF(F379&lt;&gt;"",1,0))))+IF(G379=1,30,IF(G379=2,20,IF(G379=3,10,IF(G379&lt;&gt;"",1,0))))+IF(H379=1,30,IF(H379=2,20,IF(H379=3,10,IF(H379&lt;&gt;"",1,0)))))*2)</f>
        <v/>
      </c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14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>
        <f>IF(AND(C380="",OR(E380="",E380=0)),"",(IF(E380=1,30,IF(E380=2,20,IF(E380=3,10,IF(E380&lt;&gt;"",1,0))))+IF(F380=1,30,IF(F380=2,20,IF(F380=3,10,IF(F380&lt;&gt;"",1,0))))+IF(G380=1,30,IF(G380=2,20,IF(G380=3,10,IF(G380&lt;&gt;"",1,0))))+IF(H380=1,30,IF(H380=2,20,IF(H380=3,10,IF(H380&lt;&gt;"",1,0)))))*2)</f>
        <v/>
      </c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14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>
        <f>IF(AND(C381="",OR(E381="",E381=0)),"",(IF(E381=1,30,IF(E381=2,20,IF(E381=3,10,IF(E381&lt;&gt;"",1,0))))+IF(F381=1,30,IF(F381=2,20,IF(F381=3,10,IF(F381&lt;&gt;"",1,0))))+IF(G381=1,30,IF(G381=2,20,IF(G381=3,10,IF(G381&lt;&gt;"",1,0))))+IF(H381=1,30,IF(H381=2,20,IF(H381=3,10,IF(H381&lt;&gt;"",1,0)))))*2)</f>
        <v/>
      </c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14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>
        <f>IF(AND(C382="",OR(E382="",E382=0)),"",(IF(E382=1,30,IF(E382=2,20,IF(E382=3,10,IF(E382&lt;&gt;"",1,0))))+IF(F382=1,30,IF(F382=2,20,IF(F382=3,10,IF(F382&lt;&gt;"",1,0))))+IF(G382=1,30,IF(G382=2,20,IF(G382=3,10,IF(G382&lt;&gt;"",1,0))))+IF(H382=1,30,IF(H382=2,20,IF(H382=3,10,IF(H382&lt;&gt;"",1,0)))))*2)</f>
        <v/>
      </c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14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>
        <f>IF(AND(C383="",OR(E383="",E383=0)),"",(IF(E383=1,30,IF(E383=2,20,IF(E383=3,10,IF(E383&lt;&gt;"",1,0))))+IF(F383=1,30,IF(F383=2,20,IF(F383=3,10,IF(F383&lt;&gt;"",1,0))))+IF(G383=1,30,IF(G383=2,20,IF(G383=3,10,IF(G383&lt;&gt;"",1,0))))+IF(H383=1,30,IF(H383=2,20,IF(H383=3,10,IF(H383&lt;&gt;"",1,0)))))*2)</f>
        <v/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14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>
        <f>IF(AND(C384="",OR(E384="",E384=0)),"",(IF(E384=1,30,IF(E384=2,20,IF(E384=3,10,IF(E384&lt;&gt;"",1,0))))+IF(F384=1,30,IF(F384=2,20,IF(F384=3,10,IF(F384&lt;&gt;"",1,0))))+IF(G384=1,30,IF(G384=2,20,IF(G384=3,10,IF(G384&lt;&gt;"",1,0))))+IF(H384=1,30,IF(H384=2,20,IF(H384=3,10,IF(H384&lt;&gt;"",1,0)))))*2)</f>
        <v/>
      </c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14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>
        <f>IF(AND(C385="",OR(E385="",E385=0)),"",(IF(E385=1,30,IF(E385=2,20,IF(E385=3,10,IF(E385&lt;&gt;"",1,0))))+IF(F385=1,30,IF(F385=2,20,IF(F385=3,10,IF(F385&lt;&gt;"",1,0))))+IF(G385=1,30,IF(G385=2,20,IF(G385=3,10,IF(G385&lt;&gt;"",1,0))))+IF(H385=1,30,IF(H385=2,20,IF(H385=3,10,IF(H385&lt;&gt;"",1,0)))))*2)</f>
        <v/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14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>
        <f>IF(AND(C386="",OR(E386="",E386=0)),"",(IF(E386=1,30,IF(E386=2,20,IF(E386=3,10,IF(E386&lt;&gt;"",1,0))))+IF(F386=1,30,IF(F386=2,20,IF(F386=3,10,IF(F386&lt;&gt;"",1,0))))+IF(G386=1,30,IF(G386=2,20,IF(G386=3,10,IF(G386&lt;&gt;"",1,0))))+IF(H386=1,30,IF(H386=2,20,IF(H386=3,10,IF(H386&lt;&gt;"",1,0)))))*2)</f>
        <v/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14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>
        <f>IF(AND(C387="",OR(E387="",E387=0)),"",(IF(E387=1,30,IF(E387=2,20,IF(E387=3,10,IF(E387&lt;&gt;"",1,0))))+IF(F387=1,30,IF(F387=2,20,IF(F387=3,10,IF(F387&lt;&gt;"",1,0))))+IF(G387=1,30,IF(G387=2,20,IF(G387=3,10,IF(G387&lt;&gt;"",1,0))))+IF(H387=1,30,IF(H387=2,20,IF(H387=3,10,IF(H387&lt;&gt;"",1,0)))))*2)</f>
        <v/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14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>
        <f>IF(AND(C388="",OR(E388="",E388=0)),"",(IF(E388=1,30,IF(E388=2,20,IF(E388=3,10,IF(E388&lt;&gt;"",1,0))))+IF(F388=1,30,IF(F388=2,20,IF(F388=3,10,IF(F388&lt;&gt;"",1,0))))+IF(G388=1,30,IF(G388=2,20,IF(G388=3,10,IF(G388&lt;&gt;"",1,0))))+IF(H388=1,30,IF(H388=2,20,IF(H388=3,10,IF(H388&lt;&gt;"",1,0)))))*2)</f>
        <v/>
      </c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14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>
        <f>IF(AND(C389="",OR(E389="",E389=0)),"",(IF(E389=1,30,IF(E389=2,20,IF(E389=3,10,IF(E389&lt;&gt;"",1,0))))+IF(F389=1,30,IF(F389=2,20,IF(F389=3,10,IF(F389&lt;&gt;"",1,0))))+IF(G389=1,30,IF(G389=2,20,IF(G389=3,10,IF(G389&lt;&gt;"",1,0))))+IF(H389=1,30,IF(H389=2,20,IF(H389=3,10,IF(H389&lt;&gt;"",1,0)))))*2)</f>
        <v/>
      </c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14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>
        <f>IF(AND(C390="",OR(E390="",E390=0)),"",(IF(E390=1,30,IF(E390=2,20,IF(E390=3,10,IF(E390&lt;&gt;"",1,0))))+IF(F390=1,30,IF(F390=2,20,IF(F390=3,10,IF(F390&lt;&gt;"",1,0))))+IF(G390=1,30,IF(G390=2,20,IF(G390=3,10,IF(G390&lt;&gt;"",1,0))))+IF(H390=1,30,IF(H390=2,20,IF(H390=3,10,IF(H390&lt;&gt;"",1,0)))))*2)</f>
        <v/>
      </c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14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>
        <f>IF(AND(C391="",OR(E391="",E391=0)),"",(IF(E391=1,30,IF(E391=2,20,IF(E391=3,10,IF(E391&lt;&gt;"",1,0))))+IF(F391=1,30,IF(F391=2,20,IF(F391=3,10,IF(F391&lt;&gt;"",1,0))))+IF(G391=1,30,IF(G391=2,20,IF(G391=3,10,IF(G391&lt;&gt;"",1,0))))+IF(H391=1,30,IF(H391=2,20,IF(H391=3,10,IF(H391&lt;&gt;"",1,0)))))*2)</f>
        <v/>
      </c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14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>
        <f>IF(AND(C392="",OR(E392="",E392=0)),"",(IF(E392=1,30,IF(E392=2,20,IF(E392=3,10,IF(E392&lt;&gt;"",1,0))))+IF(F392=1,30,IF(F392=2,20,IF(F392=3,10,IF(F392&lt;&gt;"",1,0))))+IF(G392=1,30,IF(G392=2,20,IF(G392=3,10,IF(G392&lt;&gt;"",1,0))))+IF(H392=1,30,IF(H392=2,20,IF(H392=3,10,IF(H392&lt;&gt;"",1,0)))))*2)</f>
        <v/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14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>
        <f>IF(AND(C393="",OR(E393="",E393=0)),"",(IF(E393=1,30,IF(E393=2,20,IF(E393=3,10,IF(E393&lt;&gt;"",1,0))))+IF(F393=1,30,IF(F393=2,20,IF(F393=3,10,IF(F393&lt;&gt;"",1,0))))+IF(G393=1,30,IF(G393=2,20,IF(G393=3,10,IF(G393&lt;&gt;"",1,0))))+IF(H393=1,30,IF(H393=2,20,IF(H393=3,10,IF(H393&lt;&gt;"",1,0)))))*2)</f>
        <v/>
      </c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14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>
        <f>IF(AND(C394="",OR(E394="",E394=0)),"",(IF(E394=1,30,IF(E394=2,20,IF(E394=3,10,IF(E394&lt;&gt;"",1,0))))+IF(F394=1,30,IF(F394=2,20,IF(F394=3,10,IF(F394&lt;&gt;"",1,0))))+IF(G394=1,30,IF(G394=2,20,IF(G394=3,10,IF(G394&lt;&gt;"",1,0))))+IF(H394=1,30,IF(H394=2,20,IF(H394=3,10,IF(H394&lt;&gt;"",1,0)))))*2)</f>
        <v/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14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>
        <f>IF(AND(C395="",OR(E395="",E395=0)),"",(IF(E395=1,30,IF(E395=2,20,IF(E395=3,10,IF(E395&lt;&gt;"",1,0))))+IF(F395=1,30,IF(F395=2,20,IF(F395=3,10,IF(F395&lt;&gt;"",1,0))))+IF(G395=1,30,IF(G395=2,20,IF(G395=3,10,IF(G395&lt;&gt;"",1,0))))+IF(H395=1,30,IF(H395=2,20,IF(H395=3,10,IF(H395&lt;&gt;"",1,0)))))*2)</f>
        <v/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14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>
        <f>IF(AND(C396="",OR(E396="",E396=0)),"",(IF(E396=1,30,IF(E396=2,20,IF(E396=3,10,IF(E396&lt;&gt;"",1,0))))+IF(F396=1,30,IF(F396=2,20,IF(F396=3,10,IF(F396&lt;&gt;"",1,0))))+IF(G396=1,30,IF(G396=2,20,IF(G396=3,10,IF(G396&lt;&gt;"",1,0))))+IF(H396=1,30,IF(H396=2,20,IF(H396=3,10,IF(H396&lt;&gt;"",1,0)))))*2)</f>
        <v/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14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>
        <f>IF(AND(C397="",OR(E397="",E397=0)),"",(IF(E397=1,30,IF(E397=2,20,IF(E397=3,10,IF(E397&lt;&gt;"",1,0))))+IF(F397=1,30,IF(F397=2,20,IF(F397=3,10,IF(F397&lt;&gt;"",1,0))))+IF(G397=1,30,IF(G397=2,20,IF(G397=3,10,IF(G397&lt;&gt;"",1,0))))+IF(H397=1,30,IF(H397=2,20,IF(H397=3,10,IF(H397&lt;&gt;"",1,0)))))*2)</f>
        <v/>
      </c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14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>
        <f>IF(AND(C398="",OR(E398="",E398=0)),"",(IF(E398=1,30,IF(E398=2,20,IF(E398=3,10,IF(E398&lt;&gt;"",1,0))))+IF(F398=1,30,IF(F398=2,20,IF(F398=3,10,IF(F398&lt;&gt;"",1,0))))+IF(G398=1,30,IF(G398=2,20,IF(G398=3,10,IF(G398&lt;&gt;"",1,0))))+IF(H398=1,30,IF(H398=2,20,IF(H398=3,10,IF(H398&lt;&gt;"",1,0)))))*2)</f>
        <v/>
      </c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14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>
        <f>IF(AND(C399="",OR(E399="",E399=0)),"",(IF(E399=1,30,IF(E399=2,20,IF(E399=3,10,IF(E399&lt;&gt;"",1,0))))+IF(F399=1,30,IF(F399=2,20,IF(F399=3,10,IF(F399&lt;&gt;"",1,0))))+IF(G399=1,30,IF(G399=2,20,IF(G399=3,10,IF(G399&lt;&gt;"",1,0))))+IF(H399=1,30,IF(H399=2,20,IF(H399=3,10,IF(H399&lt;&gt;"",1,0)))))*2)</f>
        <v/>
      </c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14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>
        <f>IF(AND(C400="",OR(E400="",E400=0)),"",(IF(E400=1,30,IF(E400=2,20,IF(E400=3,10,IF(E400&lt;&gt;"",1,0))))+IF(F400=1,30,IF(F400=2,20,IF(F400=3,10,IF(F400&lt;&gt;"",1,0))))+IF(G400=1,30,IF(G400=2,20,IF(G400=3,10,IF(G400&lt;&gt;"",1,0))))+IF(H400=1,30,IF(H400=2,20,IF(H400=3,10,IF(H400&lt;&gt;"",1,0)))))*2)</f>
        <v/>
      </c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14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>
        <f>IF(AND(C401="",OR(E401="",E401=0)),"",(IF(E401=1,30,IF(E401=2,20,IF(E401=3,10,IF(E401&lt;&gt;"",1,0))))+IF(F401=1,30,IF(F401=2,20,IF(F401=3,10,IF(F401&lt;&gt;"",1,0))))+IF(G401=1,30,IF(G401=2,20,IF(G401=3,10,IF(G401&lt;&gt;"",1,0))))+IF(H401=1,30,IF(H401=2,20,IF(H401=3,10,IF(H401&lt;&gt;"",1,0)))))*2)</f>
        <v/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14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>
        <f>IF(AND(C402="",OR(E402="",E402=0)),"",(IF(E402=1,30,IF(E402=2,20,IF(E402=3,10,IF(E402&lt;&gt;"",1,0))))+IF(F402=1,30,IF(F402=2,20,IF(F402=3,10,IF(F402&lt;&gt;"",1,0))))+IF(G402=1,30,IF(G402=2,20,IF(G402=3,10,IF(G402&lt;&gt;"",1,0))))+IF(H402=1,30,IF(H402=2,20,IF(H402=3,10,IF(H402&lt;&gt;"",1,0)))))*2)</f>
        <v/>
      </c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14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>
        <f>IF(AND(C403="",OR(E403="",E403=0)),"",(IF(E403=1,30,IF(E403=2,20,IF(E403=3,10,IF(E403&lt;&gt;"",1,0))))+IF(F403=1,30,IF(F403=2,20,IF(F403=3,10,IF(F403&lt;&gt;"",1,0))))+IF(G403=1,30,IF(G403=2,20,IF(G403=3,10,IF(G403&lt;&gt;"",1,0))))+IF(H403=1,30,IF(H403=2,20,IF(H403=3,10,IF(H403&lt;&gt;"",1,0)))))*2)</f>
        <v/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14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>
        <f>IF(AND(C404="",OR(E404="",E404=0)),"",(IF(E404=1,30,IF(E404=2,20,IF(E404=3,10,IF(E404&lt;&gt;"",1,0))))+IF(F404=1,30,IF(F404=2,20,IF(F404=3,10,IF(F404&lt;&gt;"",1,0))))+IF(G404=1,30,IF(G404=2,20,IF(G404=3,10,IF(G404&lt;&gt;"",1,0))))+IF(H404=1,30,IF(H404=2,20,IF(H404=3,10,IF(H404&lt;&gt;"",1,0)))))*2)</f>
        <v/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14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>
        <f>IF(AND(C405="",OR(E405="",E405=0)),"",(IF(E405=1,30,IF(E405=2,20,IF(E405=3,10,IF(E405&lt;&gt;"",1,0))))+IF(F405=1,30,IF(F405=2,20,IF(F405=3,10,IF(F405&lt;&gt;"",1,0))))+IF(G405=1,30,IF(G405=2,20,IF(G405=3,10,IF(G405&lt;&gt;"",1,0))))+IF(H405=1,30,IF(H405=2,20,IF(H405=3,10,IF(H405&lt;&gt;"",1,0)))))*2)</f>
        <v/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14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>
        <f>IF(AND(C406="",OR(E406="",E406=0)),"",(IF(E406=1,30,IF(E406=2,20,IF(E406=3,10,IF(E406&lt;&gt;"",1,0))))+IF(F406=1,30,IF(F406=2,20,IF(F406=3,10,IF(F406&lt;&gt;"",1,0))))+IF(G406=1,30,IF(G406=2,20,IF(G406=3,10,IF(G406&lt;&gt;"",1,0))))+IF(H406=1,30,IF(H406=2,20,IF(H406=3,10,IF(H406&lt;&gt;"",1,0)))))*2)</f>
        <v/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14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>
        <f>IF(AND(C407="",OR(E407="",E407=0)),"",(IF(E407=1,30,IF(E407=2,20,IF(E407=3,10,IF(E407&lt;&gt;"",1,0))))+IF(F407=1,30,IF(F407=2,20,IF(F407=3,10,IF(F407&lt;&gt;"",1,0))))+IF(G407=1,30,IF(G407=2,20,IF(G407=3,10,IF(G407&lt;&gt;"",1,0))))+IF(H407=1,30,IF(H407=2,20,IF(H407=3,10,IF(H407&lt;&gt;"",1,0)))))*2)</f>
        <v/>
      </c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14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>
        <f>IF(AND(C408="",OR(E408="",E408=0)),"",(IF(E408=1,30,IF(E408=2,20,IF(E408=3,10,IF(E408&lt;&gt;"",1,0))))+IF(F408=1,30,IF(F408=2,20,IF(F408=3,10,IF(F408&lt;&gt;"",1,0))))+IF(G408=1,30,IF(G408=2,20,IF(G408=3,10,IF(G408&lt;&gt;"",1,0))))+IF(H408=1,30,IF(H408=2,20,IF(H408=3,10,IF(H408&lt;&gt;"",1,0)))))*2)</f>
        <v/>
      </c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14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>
        <f>IF(AND(C409="",OR(E409="",E409=0)),"",(IF(E409=1,30,IF(E409=2,20,IF(E409=3,10,IF(E409&lt;&gt;"",1,0))))+IF(F409=1,30,IF(F409=2,20,IF(F409=3,10,IF(F409&lt;&gt;"",1,0))))+IF(G409=1,30,IF(G409=2,20,IF(G409=3,10,IF(G409&lt;&gt;"",1,0))))+IF(H409=1,30,IF(H409=2,20,IF(H409=3,10,IF(H409&lt;&gt;"",1,0)))))*2)</f>
        <v/>
      </c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14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>
        <f>IF(AND(C410="",OR(E410="",E410=0)),"",(IF(E410=1,30,IF(E410=2,20,IF(E410=3,10,IF(E410&lt;&gt;"",1,0))))+IF(F410=1,30,IF(F410=2,20,IF(F410=3,10,IF(F410&lt;&gt;"",1,0))))+IF(G410=1,30,IF(G410=2,20,IF(G410=3,10,IF(G410&lt;&gt;"",1,0))))+IF(H410=1,30,IF(H410=2,20,IF(H410=3,10,IF(H410&lt;&gt;"",1,0)))))*2)</f>
        <v/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14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>
        <f>IF(AND(C411="",OR(E411="",E411=0)),"",(IF(E411=1,30,IF(E411=2,20,IF(E411=3,10,IF(E411&lt;&gt;"",1,0))))+IF(F411=1,30,IF(F411=2,20,IF(F411=3,10,IF(F411&lt;&gt;"",1,0))))+IF(G411=1,30,IF(G411=2,20,IF(G411=3,10,IF(G411&lt;&gt;"",1,0))))+IF(H411=1,30,IF(H411=2,20,IF(H411=3,10,IF(H411&lt;&gt;"",1,0)))))*2)</f>
        <v/>
      </c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14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>
        <f>IF(AND(C412="",OR(E412="",E412=0)),"",(IF(E412=1,30,IF(E412=2,20,IF(E412=3,10,IF(E412&lt;&gt;"",1,0))))+IF(F412=1,30,IF(F412=2,20,IF(F412=3,10,IF(F412&lt;&gt;"",1,0))))+IF(G412=1,30,IF(G412=2,20,IF(G412=3,10,IF(G412&lt;&gt;"",1,0))))+IF(H412=1,30,IF(H412=2,20,IF(H412=3,10,IF(H412&lt;&gt;"",1,0)))))*2)</f>
        <v/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14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>
        <f>IF(AND(C413="",OR(E413="",E413=0)),"",(IF(E413=1,30,IF(E413=2,20,IF(E413=3,10,IF(E413&lt;&gt;"",1,0))))+IF(F413=1,30,IF(F413=2,20,IF(F413=3,10,IF(F413&lt;&gt;"",1,0))))+IF(G413=1,30,IF(G413=2,20,IF(G413=3,10,IF(G413&lt;&gt;"",1,0))))+IF(H413=1,30,IF(H413=2,20,IF(H413=3,10,IF(H413&lt;&gt;"",1,0)))))*2)</f>
        <v/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14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>
        <f>IF(AND(C414="",OR(E414="",E414=0)),"",(IF(E414=1,30,IF(E414=2,20,IF(E414=3,10,IF(E414&lt;&gt;"",1,0))))+IF(F414=1,30,IF(F414=2,20,IF(F414=3,10,IF(F414&lt;&gt;"",1,0))))+IF(G414=1,30,IF(G414=2,20,IF(G414=3,10,IF(G414&lt;&gt;"",1,0))))+IF(H414=1,30,IF(H414=2,20,IF(H414=3,10,IF(H414&lt;&gt;"",1,0)))))*2)</f>
        <v/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14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>
        <f>IF(AND(C415="",OR(E415="",E415=0)),"",(IF(E415=1,30,IF(E415=2,20,IF(E415=3,10,IF(E415&lt;&gt;"",1,0))))+IF(F415=1,30,IF(F415=2,20,IF(F415=3,10,IF(F415&lt;&gt;"",1,0))))+IF(G415=1,30,IF(G415=2,20,IF(G415=3,10,IF(G415&lt;&gt;"",1,0))))+IF(H415=1,30,IF(H415=2,20,IF(H415=3,10,IF(H415&lt;&gt;"",1,0)))))*2)</f>
        <v/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14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>
        <f>IF(AND(C416="",OR(E416="",E416=0)),"",(IF(E416=1,30,IF(E416=2,20,IF(E416=3,10,IF(E416&lt;&gt;"",1,0))))+IF(F416=1,30,IF(F416=2,20,IF(F416=3,10,IF(F416&lt;&gt;"",1,0))))+IF(G416=1,30,IF(G416=2,20,IF(G416=3,10,IF(G416&lt;&gt;"",1,0))))+IF(H416=1,30,IF(H416=2,20,IF(H416=3,10,IF(H416&lt;&gt;"",1,0)))))*2)</f>
        <v/>
      </c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14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>
        <f>IF(AND(C417="",OR(E417="",E417=0)),"",(IF(E417=1,30,IF(E417=2,20,IF(E417=3,10,IF(E417&lt;&gt;"",1,0))))+IF(F417=1,30,IF(F417=2,20,IF(F417=3,10,IF(F417&lt;&gt;"",1,0))))+IF(G417=1,30,IF(G417=2,20,IF(G417=3,10,IF(G417&lt;&gt;"",1,0))))+IF(H417=1,30,IF(H417=2,20,IF(H417=3,10,IF(H417&lt;&gt;"",1,0)))))*2)</f>
        <v/>
      </c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14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>
        <f>IF(AND(C418="",OR(E418="",E418=0)),"",(IF(E418=1,30,IF(E418=2,20,IF(E418=3,10,IF(E418&lt;&gt;"",1,0))))+IF(F418=1,30,IF(F418=2,20,IF(F418=3,10,IF(F418&lt;&gt;"",1,0))))+IF(G418=1,30,IF(G418=2,20,IF(G418=3,10,IF(G418&lt;&gt;"",1,0))))+IF(H418=1,30,IF(H418=2,20,IF(H418=3,10,IF(H418&lt;&gt;"",1,0)))))*2)</f>
        <v/>
      </c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14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>
        <f>IF(AND(C419="",OR(E419="",E419=0)),"",(IF(E419=1,30,IF(E419=2,20,IF(E419=3,10,IF(E419&lt;&gt;"",1,0))))+IF(F419=1,30,IF(F419=2,20,IF(F419=3,10,IF(F419&lt;&gt;"",1,0))))+IF(G419=1,30,IF(G419=2,20,IF(G419=3,10,IF(G419&lt;&gt;"",1,0))))+IF(H419=1,30,IF(H419=2,20,IF(H419=3,10,IF(H419&lt;&gt;"",1,0)))))*2)</f>
        <v/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14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>
        <f>IF(AND(C420="",OR(E420="",E420=0)),"",(IF(E420=1,30,IF(E420=2,20,IF(E420=3,10,IF(E420&lt;&gt;"",1,0))))+IF(F420=1,30,IF(F420=2,20,IF(F420=3,10,IF(F420&lt;&gt;"",1,0))))+IF(G420=1,30,IF(G420=2,20,IF(G420=3,10,IF(G420&lt;&gt;"",1,0))))+IF(H420=1,30,IF(H420=2,20,IF(H420=3,10,IF(H420&lt;&gt;"",1,0)))))*2)</f>
        <v/>
      </c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14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>
        <f>IF(AND(C421="",OR(E421="",E421=0)),"",(IF(E421=1,30,IF(E421=2,20,IF(E421=3,10,IF(E421&lt;&gt;"",1,0))))+IF(F421=1,30,IF(F421=2,20,IF(F421=3,10,IF(F421&lt;&gt;"",1,0))))+IF(G421=1,30,IF(G421=2,20,IF(G421=3,10,IF(G421&lt;&gt;"",1,0))))+IF(H421=1,30,IF(H421=2,20,IF(H421=3,10,IF(H421&lt;&gt;"",1,0)))))*2)</f>
        <v/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14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>
        <f>IF(AND(C422="",OR(E422="",E422=0)),"",(IF(E422=1,30,IF(E422=2,20,IF(E422=3,10,IF(E422&lt;&gt;"",1,0))))+IF(F422=1,30,IF(F422=2,20,IF(F422=3,10,IF(F422&lt;&gt;"",1,0))))+IF(G422=1,30,IF(G422=2,20,IF(G422=3,10,IF(G422&lt;&gt;"",1,0))))+IF(H422=1,30,IF(H422=2,20,IF(H422=3,10,IF(H422&lt;&gt;"",1,0)))))*2)</f>
        <v/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14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>
        <f>IF(AND(C423="",OR(E423="",E423=0)),"",(IF(E423=1,30,IF(E423=2,20,IF(E423=3,10,IF(E423&lt;&gt;"",1,0))))+IF(F423=1,30,IF(F423=2,20,IF(F423=3,10,IF(F423&lt;&gt;"",1,0))))+IF(G423=1,30,IF(G423=2,20,IF(G423=3,10,IF(G423&lt;&gt;"",1,0))))+IF(H423=1,30,IF(H423=2,20,IF(H423=3,10,IF(H423&lt;&gt;"",1,0)))))*2)</f>
        <v/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14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>
        <f>IF(AND(C424="",OR(E424="",E424=0)),"",(IF(E424=1,30,IF(E424=2,20,IF(E424=3,10,IF(E424&lt;&gt;"",1,0))))+IF(F424=1,30,IF(F424=2,20,IF(F424=3,10,IF(F424&lt;&gt;"",1,0))))+IF(G424=1,30,IF(G424=2,20,IF(G424=3,10,IF(G424&lt;&gt;"",1,0))))+IF(H424=1,30,IF(H424=2,20,IF(H424=3,10,IF(H424&lt;&gt;"",1,0)))))*2)</f>
        <v/>
      </c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14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>
        <f>IF(AND(C425="",OR(E425="",E425=0)),"",(IF(E425=1,30,IF(E425=2,20,IF(E425=3,10,IF(E425&lt;&gt;"",1,0))))+IF(F425=1,30,IF(F425=2,20,IF(F425=3,10,IF(F425&lt;&gt;"",1,0))))+IF(G425=1,30,IF(G425=2,20,IF(G425=3,10,IF(G425&lt;&gt;"",1,0))))+IF(H425=1,30,IF(H425=2,20,IF(H425=3,10,IF(H425&lt;&gt;"",1,0)))))*2)</f>
        <v/>
      </c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14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>
        <f>IF(AND(C426="",OR(E426="",E426=0)),"",(IF(E426=1,30,IF(E426=2,20,IF(E426=3,10,IF(E426&lt;&gt;"",1,0))))+IF(F426=1,30,IF(F426=2,20,IF(F426=3,10,IF(F426&lt;&gt;"",1,0))))+IF(G426=1,30,IF(G426=2,20,IF(G426=3,10,IF(G426&lt;&gt;"",1,0))))+IF(H426=1,30,IF(H426=2,20,IF(H426=3,10,IF(H426&lt;&gt;"",1,0)))))*2)</f>
        <v/>
      </c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14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>
        <f>IF(AND(C427="",OR(E427="",E427=0)),"",(IF(E427=1,30,IF(E427=2,20,IF(E427=3,10,IF(E427&lt;&gt;"",1,0))))+IF(F427=1,30,IF(F427=2,20,IF(F427=3,10,IF(F427&lt;&gt;"",1,0))))+IF(G427=1,30,IF(G427=2,20,IF(G427=3,10,IF(G427&lt;&gt;"",1,0))))+IF(H427=1,30,IF(H427=2,20,IF(H427=3,10,IF(H427&lt;&gt;"",1,0)))))*2)</f>
        <v/>
      </c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14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>
        <f>IF(AND(C428="",OR(E428="",E428=0)),"",(IF(E428=1,30,IF(E428=2,20,IF(E428=3,10,IF(E428&lt;&gt;"",1,0))))+IF(F428=1,30,IF(F428=2,20,IF(F428=3,10,IF(F428&lt;&gt;"",1,0))))+IF(G428=1,30,IF(G428=2,20,IF(G428=3,10,IF(G428&lt;&gt;"",1,0))))+IF(H428=1,30,IF(H428=2,20,IF(H428=3,10,IF(H428&lt;&gt;"",1,0)))))*2)</f>
        <v/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14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>
        <f>IF(AND(C429="",OR(E429="",E429=0)),"",(IF(E429=1,30,IF(E429=2,20,IF(E429=3,10,IF(E429&lt;&gt;"",1,0))))+IF(F429=1,30,IF(F429=2,20,IF(F429=3,10,IF(F429&lt;&gt;"",1,0))))+IF(G429=1,30,IF(G429=2,20,IF(G429=3,10,IF(G429&lt;&gt;"",1,0))))+IF(H429=1,30,IF(H429=2,20,IF(H429=3,10,IF(H429&lt;&gt;"",1,0)))))*2)</f>
        <v/>
      </c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14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>
        <f>IF(AND(C430="",OR(E430="",E430=0)),"",(IF(E430=1,30,IF(E430=2,20,IF(E430=3,10,IF(E430&lt;&gt;"",1,0))))+IF(F430=1,30,IF(F430=2,20,IF(F430=3,10,IF(F430&lt;&gt;"",1,0))))+IF(G430=1,30,IF(G430=2,20,IF(G430=3,10,IF(G430&lt;&gt;"",1,0))))+IF(H430=1,30,IF(H430=2,20,IF(H430=3,10,IF(H430&lt;&gt;"",1,0)))))*2)</f>
        <v/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14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>
        <f>IF(AND(C431="",OR(E431="",E431=0)),"",(IF(E431=1,30,IF(E431=2,20,IF(E431=3,10,IF(E431&lt;&gt;"",1,0))))+IF(F431=1,30,IF(F431=2,20,IF(F431=3,10,IF(F431&lt;&gt;"",1,0))))+IF(G431=1,30,IF(G431=2,20,IF(G431=3,10,IF(G431&lt;&gt;"",1,0))))+IF(H431=1,30,IF(H431=2,20,IF(H431=3,10,IF(H431&lt;&gt;"",1,0)))))*2)</f>
        <v/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14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>
        <f>IF(AND(C432="",OR(E432="",E432=0)),"",(IF(E432=1,30,IF(E432=2,20,IF(E432=3,10,IF(E432&lt;&gt;"",1,0))))+IF(F432=1,30,IF(F432=2,20,IF(F432=3,10,IF(F432&lt;&gt;"",1,0))))+IF(G432=1,30,IF(G432=2,20,IF(G432=3,10,IF(G432&lt;&gt;"",1,0))))+IF(H432=1,30,IF(H432=2,20,IF(H432=3,10,IF(H432&lt;&gt;"",1,0)))))*2)</f>
        <v/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14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>
        <f>IF(AND(C433="",OR(E433="",E433=0)),"",(IF(E433=1,30,IF(E433=2,20,IF(E433=3,10,IF(E433&lt;&gt;"",1,0))))+IF(F433=1,30,IF(F433=2,20,IF(F433=3,10,IF(F433&lt;&gt;"",1,0))))+IF(G433=1,30,IF(G433=2,20,IF(G433=3,10,IF(G433&lt;&gt;"",1,0))))+IF(H433=1,30,IF(H433=2,20,IF(H433=3,10,IF(H433&lt;&gt;"",1,0)))))*2)</f>
        <v/>
      </c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14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>
        <f>IF(AND(C434="",OR(E434="",E434=0)),"",(IF(E434=1,30,IF(E434=2,20,IF(E434=3,10,IF(E434&lt;&gt;"",1,0))))+IF(F434=1,30,IF(F434=2,20,IF(F434=3,10,IF(F434&lt;&gt;"",1,0))))+IF(G434=1,30,IF(G434=2,20,IF(G434=3,10,IF(G434&lt;&gt;"",1,0))))+IF(H434=1,30,IF(H434=2,20,IF(H434=3,10,IF(H434&lt;&gt;"",1,0)))))*2)</f>
        <v/>
      </c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14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>
        <f>IF(AND(C435="",OR(E435="",E435=0)),"",(IF(E435=1,30,IF(E435=2,20,IF(E435=3,10,IF(E435&lt;&gt;"",1,0))))+IF(F435=1,30,IF(F435=2,20,IF(F435=3,10,IF(F435&lt;&gt;"",1,0))))+IF(G435=1,30,IF(G435=2,20,IF(G435=3,10,IF(G435&lt;&gt;"",1,0))))+IF(H435=1,30,IF(H435=2,20,IF(H435=3,10,IF(H435&lt;&gt;"",1,0)))))*2)</f>
        <v/>
      </c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14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>
        <f>IF(AND(C436="",OR(E436="",E436=0)),"",(IF(E436=1,30,IF(E436=2,20,IF(E436=3,10,IF(E436&lt;&gt;"",1,0))))+IF(F436=1,30,IF(F436=2,20,IF(F436=3,10,IF(F436&lt;&gt;"",1,0))))+IF(G436=1,30,IF(G436=2,20,IF(G436=3,10,IF(G436&lt;&gt;"",1,0))))+IF(H436=1,30,IF(H436=2,20,IF(H436=3,10,IF(H436&lt;&gt;"",1,0)))))*2)</f>
        <v/>
      </c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14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>
        <f>IF(AND(C437="",OR(E437="",E437=0)),"",(IF(E437=1,30,IF(E437=2,20,IF(E437=3,10,IF(E437&lt;&gt;"",1,0))))+IF(F437=1,30,IF(F437=2,20,IF(F437=3,10,IF(F437&lt;&gt;"",1,0))))+IF(G437=1,30,IF(G437=2,20,IF(G437=3,10,IF(G437&lt;&gt;"",1,0))))+IF(H437=1,30,IF(H437=2,20,IF(H437=3,10,IF(H437&lt;&gt;"",1,0)))))*2)</f>
        <v/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14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>
        <f>IF(AND(C438="",OR(E438="",E438=0)),"",(IF(E438=1,30,IF(E438=2,20,IF(E438=3,10,IF(E438&lt;&gt;"",1,0))))+IF(F438=1,30,IF(F438=2,20,IF(F438=3,10,IF(F438&lt;&gt;"",1,0))))+IF(G438=1,30,IF(G438=2,20,IF(G438=3,10,IF(G438&lt;&gt;"",1,0))))+IF(H438=1,30,IF(H438=2,20,IF(H438=3,10,IF(H438&lt;&gt;"",1,0)))))*2)</f>
        <v/>
      </c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14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>
        <f>IF(AND(C439="",OR(E439="",E439=0)),"",(IF(E439=1,30,IF(E439=2,20,IF(E439=3,10,IF(E439&lt;&gt;"",1,0))))+IF(F439=1,30,IF(F439=2,20,IF(F439=3,10,IF(F439&lt;&gt;"",1,0))))+IF(G439=1,30,IF(G439=2,20,IF(G439=3,10,IF(G439&lt;&gt;"",1,0))))+IF(H439=1,30,IF(H439=2,20,IF(H439=3,10,IF(H439&lt;&gt;"",1,0)))))*2)</f>
        <v/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14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>
        <f>IF(AND(C440="",OR(E440="",E440=0)),"",(IF(E440=1,30,IF(E440=2,20,IF(E440=3,10,IF(E440&lt;&gt;"",1,0))))+IF(F440=1,30,IF(F440=2,20,IF(F440=3,10,IF(F440&lt;&gt;"",1,0))))+IF(G440=1,30,IF(G440=2,20,IF(G440=3,10,IF(G440&lt;&gt;"",1,0))))+IF(H440=1,30,IF(H440=2,20,IF(H440=3,10,IF(H440&lt;&gt;"",1,0)))))*2)</f>
        <v/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14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>
        <f>IF(AND(C441="",OR(E441="",E441=0)),"",(IF(E441=1,30,IF(E441=2,20,IF(E441=3,10,IF(E441&lt;&gt;"",1,0))))+IF(F441=1,30,IF(F441=2,20,IF(F441=3,10,IF(F441&lt;&gt;"",1,0))))+IF(G441=1,30,IF(G441=2,20,IF(G441=3,10,IF(G441&lt;&gt;"",1,0))))+IF(H441=1,30,IF(H441=2,20,IF(H441=3,10,IF(H441&lt;&gt;"",1,0)))))*2)</f>
        <v/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14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>
        <f>IF(AND(C442="",OR(E442="",E442=0)),"",(IF(E442=1,30,IF(E442=2,20,IF(E442=3,10,IF(E442&lt;&gt;"",1,0))))+IF(F442=1,30,IF(F442=2,20,IF(F442=3,10,IF(F442&lt;&gt;"",1,0))))+IF(G442=1,30,IF(G442=2,20,IF(G442=3,10,IF(G442&lt;&gt;"",1,0))))+IF(H442=1,30,IF(H442=2,20,IF(H442=3,10,IF(H442&lt;&gt;"",1,0)))))*2)</f>
        <v/>
      </c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1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>
        <f>IF(AND(C443="",OR(E443="",E443=0)),"",(IF(E443=1,30,IF(E443=2,20,IF(E443=3,10,IF(E443&lt;&gt;"",1,0))))+IF(F443=1,30,IF(F443=2,20,IF(F443=3,10,IF(F443&lt;&gt;"",1,0))))+IF(G443=1,30,IF(G443=2,20,IF(G443=3,10,IF(G443&lt;&gt;"",1,0))))+IF(H443=1,30,IF(H443=2,20,IF(H443=3,10,IF(H443&lt;&gt;"",1,0)))))*2)</f>
        <v/>
      </c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14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>
        <f>IF(AND(C444="",OR(E444="",E444=0)),"",(IF(E444=1,30,IF(E444=2,20,IF(E444=3,10,IF(E444&lt;&gt;"",1,0))))+IF(F444=1,30,IF(F444=2,20,IF(F444=3,10,IF(F444&lt;&gt;"",1,0))))+IF(G444=1,30,IF(G444=2,20,IF(G444=3,10,IF(G444&lt;&gt;"",1,0))))+IF(H444=1,30,IF(H444=2,20,IF(H444=3,10,IF(H444&lt;&gt;"",1,0)))))*2)</f>
        <v/>
      </c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14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>
        <f>IF(AND(C445="",OR(E445="",E445=0)),"",(IF(E445=1,30,IF(E445=2,20,IF(E445=3,10,IF(E445&lt;&gt;"",1,0))))+IF(F445=1,30,IF(F445=2,20,IF(F445=3,10,IF(F445&lt;&gt;"",1,0))))+IF(G445=1,30,IF(G445=2,20,IF(G445=3,10,IF(G445&lt;&gt;"",1,0))))+IF(H445=1,30,IF(H445=2,20,IF(H445=3,10,IF(H445&lt;&gt;"",1,0)))))*2)</f>
        <v/>
      </c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14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>
        <f>IF(AND(C446="",OR(E446="",E446=0)),"",(IF(E446=1,30,IF(E446=2,20,IF(E446=3,10,IF(E446&lt;&gt;"",1,0))))+IF(F446=1,30,IF(F446=2,20,IF(F446=3,10,IF(F446&lt;&gt;"",1,0))))+IF(G446=1,30,IF(G446=2,20,IF(G446=3,10,IF(G446&lt;&gt;"",1,0))))+IF(H446=1,30,IF(H446=2,20,IF(H446=3,10,IF(H446&lt;&gt;"",1,0)))))*2)</f>
        <v/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14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>
        <f>IF(AND(C447="",OR(E447="",E447=0)),"",(IF(E447=1,30,IF(E447=2,20,IF(E447=3,10,IF(E447&lt;&gt;"",1,0))))+IF(F447=1,30,IF(F447=2,20,IF(F447=3,10,IF(F447&lt;&gt;"",1,0))))+IF(G447=1,30,IF(G447=2,20,IF(G447=3,10,IF(G447&lt;&gt;"",1,0))))+IF(H447=1,30,IF(H447=2,20,IF(H447=3,10,IF(H447&lt;&gt;"",1,0)))))*2)</f>
        <v/>
      </c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14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>
        <f>IF(AND(C448="",OR(E448="",E448=0)),"",(IF(E448=1,30,IF(E448=2,20,IF(E448=3,10,IF(E448&lt;&gt;"",1,0))))+IF(F448=1,30,IF(F448=2,20,IF(F448=3,10,IF(F448&lt;&gt;"",1,0))))+IF(G448=1,30,IF(G448=2,20,IF(G448=3,10,IF(G448&lt;&gt;"",1,0))))+IF(H448=1,30,IF(H448=2,20,IF(H448=3,10,IF(H448&lt;&gt;"",1,0)))))*2)</f>
        <v/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14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>
        <f>IF(AND(C449="",OR(E449="",E449=0)),"",(IF(E449=1,30,IF(E449=2,20,IF(E449=3,10,IF(E449&lt;&gt;"",1,0))))+IF(F449=1,30,IF(F449=2,20,IF(F449=3,10,IF(F449&lt;&gt;"",1,0))))+IF(G449=1,30,IF(G449=2,20,IF(G449=3,10,IF(G449&lt;&gt;"",1,0))))+IF(H449=1,30,IF(H449=2,20,IF(H449=3,10,IF(H449&lt;&gt;"",1,0)))))*2)</f>
        <v/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14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>
        <f>IF(AND(C450="",OR(E450="",E450=0)),"",(IF(E450=1,30,IF(E450=2,20,IF(E450=3,10,IF(E450&lt;&gt;"",1,0))))+IF(F450=1,30,IF(F450=2,20,IF(F450=3,10,IF(F450&lt;&gt;"",1,0))))+IF(G450=1,30,IF(G450=2,20,IF(G450=3,10,IF(G450&lt;&gt;"",1,0))))+IF(H450=1,30,IF(H450=2,20,IF(H450=3,10,IF(H450&lt;&gt;"",1,0)))))*2)</f>
        <v/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14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>
        <f>IF(AND(C451="",OR(E451="",E451=0)),"",(IF(E451=1,30,IF(E451=2,20,IF(E451=3,10,IF(E451&lt;&gt;"",1,0))))+IF(F451=1,30,IF(F451=2,20,IF(F451=3,10,IF(F451&lt;&gt;"",1,0))))+IF(G451=1,30,IF(G451=2,20,IF(G451=3,10,IF(G451&lt;&gt;"",1,0))))+IF(H451=1,30,IF(H451=2,20,IF(H451=3,10,IF(H451&lt;&gt;"",1,0)))))*2)</f>
        <v/>
      </c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14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>
        <f>IF(AND(C452="",OR(E452="",E452=0)),"",(IF(E452=1,30,IF(E452=2,20,IF(E452=3,10,IF(E452&lt;&gt;"",1,0))))+IF(F452=1,30,IF(F452=2,20,IF(F452=3,10,IF(F452&lt;&gt;"",1,0))))+IF(G452=1,30,IF(G452=2,20,IF(G452=3,10,IF(G452&lt;&gt;"",1,0))))+IF(H452=1,30,IF(H452=2,20,IF(H452=3,10,IF(H452&lt;&gt;"",1,0)))))*2)</f>
        <v/>
      </c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14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>
        <f>IF(AND(C453="",OR(E453="",E453=0)),"",(IF(E453=1,30,IF(E453=2,20,IF(E453=3,10,IF(E453&lt;&gt;"",1,0))))+IF(F453=1,30,IF(F453=2,20,IF(F453=3,10,IF(F453&lt;&gt;"",1,0))))+IF(G453=1,30,IF(G453=2,20,IF(G453=3,10,IF(G453&lt;&gt;"",1,0))))+IF(H453=1,30,IF(H453=2,20,IF(H453=3,10,IF(H453&lt;&gt;"",1,0)))))*2)</f>
        <v/>
      </c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14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>
        <f>IF(AND(C454="",OR(E454="",E454=0)),"",(IF(E454=1,30,IF(E454=2,20,IF(E454=3,10,IF(E454&lt;&gt;"",1,0))))+IF(F454=1,30,IF(F454=2,20,IF(F454=3,10,IF(F454&lt;&gt;"",1,0))))+IF(G454=1,30,IF(G454=2,20,IF(G454=3,10,IF(G454&lt;&gt;"",1,0))))+IF(H454=1,30,IF(H454=2,20,IF(H454=3,10,IF(H454&lt;&gt;"",1,0)))))*2)</f>
        <v/>
      </c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14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>
        <f>IF(AND(C455="",OR(E455="",E455=0)),"",(IF(E455=1,30,IF(E455=2,20,IF(E455=3,10,IF(E455&lt;&gt;"",1,0))))+IF(F455=1,30,IF(F455=2,20,IF(F455=3,10,IF(F455&lt;&gt;"",1,0))))+IF(G455=1,30,IF(G455=2,20,IF(G455=3,10,IF(G455&lt;&gt;"",1,0))))+IF(H455=1,30,IF(H455=2,20,IF(H455=3,10,IF(H455&lt;&gt;"",1,0)))))*2)</f>
        <v/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14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>
        <f>IF(AND(C456="",OR(E456="",E456=0)),"",(IF(E456=1,30,IF(E456=2,20,IF(E456=3,10,IF(E456&lt;&gt;"",1,0))))+IF(F456=1,30,IF(F456=2,20,IF(F456=3,10,IF(F456&lt;&gt;"",1,0))))+IF(G456=1,30,IF(G456=2,20,IF(G456=3,10,IF(G456&lt;&gt;"",1,0))))+IF(H456=1,30,IF(H456=2,20,IF(H456=3,10,IF(H456&lt;&gt;"",1,0)))))*2)</f>
        <v/>
      </c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14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>
        <f>IF(AND(C457="",OR(E457="",E457=0)),"",(IF(E457=1,30,IF(E457=2,20,IF(E457=3,10,IF(E457&lt;&gt;"",1,0))))+IF(F457=1,30,IF(F457=2,20,IF(F457=3,10,IF(F457&lt;&gt;"",1,0))))+IF(G457=1,30,IF(G457=2,20,IF(G457=3,10,IF(G457&lt;&gt;"",1,0))))+IF(H457=1,30,IF(H457=2,20,IF(H457=3,10,IF(H457&lt;&gt;"",1,0)))))*2)</f>
        <v/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14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>
        <f>IF(AND(C458="",OR(E458="",E458=0)),"",(IF(E458=1,30,IF(E458=2,20,IF(E458=3,10,IF(E458&lt;&gt;"",1,0))))+IF(F458=1,30,IF(F458=2,20,IF(F458=3,10,IF(F458&lt;&gt;"",1,0))))+IF(G458=1,30,IF(G458=2,20,IF(G458=3,10,IF(G458&lt;&gt;"",1,0))))+IF(H458=1,30,IF(H458=2,20,IF(H458=3,10,IF(H458&lt;&gt;"",1,0)))))*2)</f>
        <v/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14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>
        <f>IF(AND(C459="",OR(E459="",E459=0)),"",(IF(E459=1,30,IF(E459=2,20,IF(E459=3,10,IF(E459&lt;&gt;"",1,0))))+IF(F459=1,30,IF(F459=2,20,IF(F459=3,10,IF(F459&lt;&gt;"",1,0))))+IF(G459=1,30,IF(G459=2,20,IF(G459=3,10,IF(G459&lt;&gt;"",1,0))))+IF(H459=1,30,IF(H459=2,20,IF(H459=3,10,IF(H459&lt;&gt;"",1,0)))))*2)</f>
        <v/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14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>
        <f>IF(AND(C460="",OR(E460="",E460=0)),"",(IF(E460=1,30,IF(E460=2,20,IF(E460=3,10,IF(E460&lt;&gt;"",1,0))))+IF(F460=1,30,IF(F460=2,20,IF(F460=3,10,IF(F460&lt;&gt;"",1,0))))+IF(G460=1,30,IF(G460=2,20,IF(G460=3,10,IF(G460&lt;&gt;"",1,0))))+IF(H460=1,30,IF(H460=2,20,IF(H460=3,10,IF(H460&lt;&gt;"",1,0)))))*2)</f>
        <v/>
      </c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14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>
        <f>IF(AND(C461="",OR(E461="",E461=0)),"",(IF(E461=1,30,IF(E461=2,20,IF(E461=3,10,IF(E461&lt;&gt;"",1,0))))+IF(F461=1,30,IF(F461=2,20,IF(F461=3,10,IF(F461&lt;&gt;"",1,0))))+IF(G461=1,30,IF(G461=2,20,IF(G461=3,10,IF(G461&lt;&gt;"",1,0))))+IF(H461=1,30,IF(H461=2,20,IF(H461=3,10,IF(H461&lt;&gt;"",1,0)))))*2)</f>
        <v/>
      </c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14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>
        <f>IF(AND(C462="",OR(E462="",E462=0)),"",(IF(E462=1,30,IF(E462=2,20,IF(E462=3,10,IF(E462&lt;&gt;"",1,0))))+IF(F462=1,30,IF(F462=2,20,IF(F462=3,10,IF(F462&lt;&gt;"",1,0))))+IF(G462=1,30,IF(G462=2,20,IF(G462=3,10,IF(G462&lt;&gt;"",1,0))))+IF(H462=1,30,IF(H462=2,20,IF(H462=3,10,IF(H462&lt;&gt;"",1,0)))))*2)</f>
        <v/>
      </c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14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>
        <f>IF(AND(C463="",OR(E463="",E463=0)),"",(IF(E463=1,30,IF(E463=2,20,IF(E463=3,10,IF(E463&lt;&gt;"",1,0))))+IF(F463=1,30,IF(F463=2,20,IF(F463=3,10,IF(F463&lt;&gt;"",1,0))))+IF(G463=1,30,IF(G463=2,20,IF(G463=3,10,IF(G463&lt;&gt;"",1,0))))+IF(H463=1,30,IF(H463=2,20,IF(H463=3,10,IF(H463&lt;&gt;"",1,0)))))*2)</f>
        <v/>
      </c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14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>
        <f>IF(AND(C464="",OR(E464="",E464=0)),"",(IF(E464=1,30,IF(E464=2,20,IF(E464=3,10,IF(E464&lt;&gt;"",1,0))))+IF(F464=1,30,IF(F464=2,20,IF(F464=3,10,IF(F464&lt;&gt;"",1,0))))+IF(G464=1,30,IF(G464=2,20,IF(G464=3,10,IF(G464&lt;&gt;"",1,0))))+IF(H464=1,30,IF(H464=2,20,IF(H464=3,10,IF(H464&lt;&gt;"",1,0)))))*2)</f>
        <v/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14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>
        <f>IF(AND(C465="",OR(E465="",E465=0)),"",(IF(E465=1,30,IF(E465=2,20,IF(E465=3,10,IF(E465&lt;&gt;"",1,0))))+IF(F465=1,30,IF(F465=2,20,IF(F465=3,10,IF(F465&lt;&gt;"",1,0))))+IF(G465=1,30,IF(G465=2,20,IF(G465=3,10,IF(G465&lt;&gt;"",1,0))))+IF(H465=1,30,IF(H465=2,20,IF(H465=3,10,IF(H465&lt;&gt;"",1,0)))))*2)</f>
        <v/>
      </c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14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>
        <f>IF(AND(C466="",OR(E466="",E466=0)),"",(IF(E466=1,30,IF(E466=2,20,IF(E466=3,10,IF(E466&lt;&gt;"",1,0))))+IF(F466=1,30,IF(F466=2,20,IF(F466=3,10,IF(F466&lt;&gt;"",1,0))))+IF(G466=1,30,IF(G466=2,20,IF(G466=3,10,IF(G466&lt;&gt;"",1,0))))+IF(H466=1,30,IF(H466=2,20,IF(H466=3,10,IF(H466&lt;&gt;"",1,0)))))*2)</f>
        <v/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14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>
        <f>IF(AND(C467="",OR(E467="",E467=0)),"",(IF(E467=1,30,IF(E467=2,20,IF(E467=3,10,IF(E467&lt;&gt;"",1,0))))+IF(F467=1,30,IF(F467=2,20,IF(F467=3,10,IF(F467&lt;&gt;"",1,0))))+IF(G467=1,30,IF(G467=2,20,IF(G467=3,10,IF(G467&lt;&gt;"",1,0))))+IF(H467=1,30,IF(H467=2,20,IF(H467=3,10,IF(H467&lt;&gt;"",1,0)))))*2)</f>
        <v/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14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>
        <f>IF(AND(C468="",OR(E468="",E468=0)),"",(IF(E468=1,30,IF(E468=2,20,IF(E468=3,10,IF(E468&lt;&gt;"",1,0))))+IF(F468=1,30,IF(F468=2,20,IF(F468=3,10,IF(F468&lt;&gt;"",1,0))))+IF(G468=1,30,IF(G468=2,20,IF(G468=3,10,IF(G468&lt;&gt;"",1,0))))+IF(H468=1,30,IF(H468=2,20,IF(H468=3,10,IF(H468&lt;&gt;"",1,0)))))*2)</f>
        <v/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14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>
        <f>IF(AND(C469="",OR(E469="",E469=0)),"",(IF(E469=1,30,IF(E469=2,20,IF(E469=3,10,IF(E469&lt;&gt;"",1,0))))+IF(F469=1,30,IF(F469=2,20,IF(F469=3,10,IF(F469&lt;&gt;"",1,0))))+IF(G469=1,30,IF(G469=2,20,IF(G469=3,10,IF(G469&lt;&gt;"",1,0))))+IF(H469=1,30,IF(H469=2,20,IF(H469=3,10,IF(H469&lt;&gt;"",1,0)))))*2)</f>
        <v/>
      </c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14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>
        <f>IF(AND(C470="",OR(E470="",E470=0)),"",(IF(E470=1,30,IF(E470=2,20,IF(E470=3,10,IF(E470&lt;&gt;"",1,0))))+IF(F470=1,30,IF(F470=2,20,IF(F470=3,10,IF(F470&lt;&gt;"",1,0))))+IF(G470=1,30,IF(G470=2,20,IF(G470=3,10,IF(G470&lt;&gt;"",1,0))))+IF(H470=1,30,IF(H470=2,20,IF(H470=3,10,IF(H470&lt;&gt;"",1,0)))))*2)</f>
        <v/>
      </c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14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>
        <f>IF(AND(C471="",OR(E471="",E471=0)),"",(IF(E471=1,30,IF(E471=2,20,IF(E471=3,10,IF(E471&lt;&gt;"",1,0))))+IF(F471=1,30,IF(F471=2,20,IF(F471=3,10,IF(F471&lt;&gt;"",1,0))))+IF(G471=1,30,IF(G471=2,20,IF(G471=3,10,IF(G471&lt;&gt;"",1,0))))+IF(H471=1,30,IF(H471=2,20,IF(H471=3,10,IF(H471&lt;&gt;"",1,0)))))*2)</f>
        <v/>
      </c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14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>
        <f>IF(AND(C472="",OR(E472="",E472=0)),"",(IF(E472=1,30,IF(E472=2,20,IF(E472=3,10,IF(E472&lt;&gt;"",1,0))))+IF(F472=1,30,IF(F472=2,20,IF(F472=3,10,IF(F472&lt;&gt;"",1,0))))+IF(G472=1,30,IF(G472=2,20,IF(G472=3,10,IF(G472&lt;&gt;"",1,0))))+IF(H472=1,30,IF(H472=2,20,IF(H472=3,10,IF(H472&lt;&gt;"",1,0)))))*2)</f>
        <v/>
      </c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14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>
        <f>IF(AND(C473="",OR(E473="",E473=0)),"",(IF(E473=1,30,IF(E473=2,20,IF(E473=3,10,IF(E473&lt;&gt;"",1,0))))+IF(F473=1,30,IF(F473=2,20,IF(F473=3,10,IF(F473&lt;&gt;"",1,0))))+IF(G473=1,30,IF(G473=2,20,IF(G473=3,10,IF(G473&lt;&gt;"",1,0))))+IF(H473=1,30,IF(H473=2,20,IF(H473=3,10,IF(H473&lt;&gt;"",1,0)))))*2)</f>
        <v/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14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>
        <f>IF(AND(C474="",OR(E474="",E474=0)),"",(IF(E474=1,30,IF(E474=2,20,IF(E474=3,10,IF(E474&lt;&gt;"",1,0))))+IF(F474=1,30,IF(F474=2,20,IF(F474=3,10,IF(F474&lt;&gt;"",1,0))))+IF(G474=1,30,IF(G474=2,20,IF(G474=3,10,IF(G474&lt;&gt;"",1,0))))+IF(H474=1,30,IF(H474=2,20,IF(H474=3,10,IF(H474&lt;&gt;"",1,0)))))*2)</f>
        <v/>
      </c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14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>
        <f>IF(AND(C475="",OR(E475="",E475=0)),"",(IF(E475=1,30,IF(E475=2,20,IF(E475=3,10,IF(E475&lt;&gt;"",1,0))))+IF(F475=1,30,IF(F475=2,20,IF(F475=3,10,IF(F475&lt;&gt;"",1,0))))+IF(G475=1,30,IF(G475=2,20,IF(G475=3,10,IF(G475&lt;&gt;"",1,0))))+IF(H475=1,30,IF(H475=2,20,IF(H475=3,10,IF(H475&lt;&gt;"",1,0)))))*2)</f>
        <v/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14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>
        <f>IF(AND(C476="",OR(E476="",E476=0)),"",(IF(E476=1,30,IF(E476=2,20,IF(E476=3,10,IF(E476&lt;&gt;"",1,0))))+IF(F476=1,30,IF(F476=2,20,IF(F476=3,10,IF(F476&lt;&gt;"",1,0))))+IF(G476=1,30,IF(G476=2,20,IF(G476=3,10,IF(G476&lt;&gt;"",1,0))))+IF(H476=1,30,IF(H476=2,20,IF(H476=3,10,IF(H476&lt;&gt;"",1,0)))))*2)</f>
        <v/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14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>
        <f>IF(AND(C477="",OR(E477="",E477=0)),"",(IF(E477=1,30,IF(E477=2,20,IF(E477=3,10,IF(E477&lt;&gt;"",1,0))))+IF(F477=1,30,IF(F477=2,20,IF(F477=3,10,IF(F477&lt;&gt;"",1,0))))+IF(G477=1,30,IF(G477=2,20,IF(G477=3,10,IF(G477&lt;&gt;"",1,0))))+IF(H477=1,30,IF(H477=2,20,IF(H477=3,10,IF(H477&lt;&gt;"",1,0)))))*2)</f>
        <v/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14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>
        <f>IF(AND(C478="",OR(E478="",E478=0)),"",(IF(E478=1,30,IF(E478=2,20,IF(E478=3,10,IF(E478&lt;&gt;"",1,0))))+IF(F478=1,30,IF(F478=2,20,IF(F478=3,10,IF(F478&lt;&gt;"",1,0))))+IF(G478=1,30,IF(G478=2,20,IF(G478=3,10,IF(G478&lt;&gt;"",1,0))))+IF(H478=1,30,IF(H478=2,20,IF(H478=3,10,IF(H478&lt;&gt;"",1,0)))))*2)</f>
        <v/>
      </c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14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>
        <f>IF(AND(C479="",OR(E479="",E479=0)),"",(IF(E479=1,30,IF(E479=2,20,IF(E479=3,10,IF(E479&lt;&gt;"",1,0))))+IF(F479=1,30,IF(F479=2,20,IF(F479=3,10,IF(F479&lt;&gt;"",1,0))))+IF(G479=1,30,IF(G479=2,20,IF(G479=3,10,IF(G479&lt;&gt;"",1,0))))+IF(H479=1,30,IF(H479=2,20,IF(H479=3,10,IF(H479&lt;&gt;"",1,0)))))*2)</f>
        <v/>
      </c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14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>
        <f>IF(AND(C480="",OR(E480="",E480=0)),"",(IF(E480=1,30,IF(E480=2,20,IF(E480=3,10,IF(E480&lt;&gt;"",1,0))))+IF(F480=1,30,IF(F480=2,20,IF(F480=3,10,IF(F480&lt;&gt;"",1,0))))+IF(G480=1,30,IF(G480=2,20,IF(G480=3,10,IF(G480&lt;&gt;"",1,0))))+IF(H480=1,30,IF(H480=2,20,IF(H480=3,10,IF(H480&lt;&gt;"",1,0)))))*2)</f>
        <v/>
      </c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14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>
        <f>IF(AND(C481="",OR(E481="",E481=0)),"",(IF(E481=1,30,IF(E481=2,20,IF(E481=3,10,IF(E481&lt;&gt;"",1,0))))+IF(F481=1,30,IF(F481=2,20,IF(F481=3,10,IF(F481&lt;&gt;"",1,0))))+IF(G481=1,30,IF(G481=2,20,IF(G481=3,10,IF(G481&lt;&gt;"",1,0))))+IF(H481=1,30,IF(H481=2,20,IF(H481=3,10,IF(H481&lt;&gt;"",1,0)))))*2)</f>
        <v/>
      </c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14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>
        <f>IF(AND(C482="",OR(E482="",E482=0)),"",(IF(E482=1,30,IF(E482=2,20,IF(E482=3,10,IF(E482&lt;&gt;"",1,0))))+IF(F482=1,30,IF(F482=2,20,IF(F482=3,10,IF(F482&lt;&gt;"",1,0))))+IF(G482=1,30,IF(G482=2,20,IF(G482=3,10,IF(G482&lt;&gt;"",1,0))))+IF(H482=1,30,IF(H482=2,20,IF(H482=3,10,IF(H482&lt;&gt;"",1,0)))))*2)</f>
        <v/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14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>
        <f>IF(AND(C483="",OR(E483="",E483=0)),"",(IF(E483=1,30,IF(E483=2,20,IF(E483=3,10,IF(E483&lt;&gt;"",1,0))))+IF(F483=1,30,IF(F483=2,20,IF(F483=3,10,IF(F483&lt;&gt;"",1,0))))+IF(G483=1,30,IF(G483=2,20,IF(G483=3,10,IF(G483&lt;&gt;"",1,0))))+IF(H483=1,30,IF(H483=2,20,IF(H483=3,10,IF(H483&lt;&gt;"",1,0)))))*2)</f>
        <v/>
      </c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14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>
        <f>IF(AND(C484="",OR(E484="",E484=0)),"",(IF(E484=1,30,IF(E484=2,20,IF(E484=3,10,IF(E484&lt;&gt;"",1,0))))+IF(F484=1,30,IF(F484=2,20,IF(F484=3,10,IF(F484&lt;&gt;"",1,0))))+IF(G484=1,30,IF(G484=2,20,IF(G484=3,10,IF(G484&lt;&gt;"",1,0))))+IF(H484=1,30,IF(H484=2,20,IF(H484=3,10,IF(H484&lt;&gt;"",1,0)))))*2)</f>
        <v/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14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>
        <f>IF(AND(C485="",OR(E485="",E485=0)),"",(IF(E485=1,30,IF(E485=2,20,IF(E485=3,10,IF(E485&lt;&gt;"",1,0))))+IF(F485=1,30,IF(F485=2,20,IF(F485=3,10,IF(F485&lt;&gt;"",1,0))))+IF(G485=1,30,IF(G485=2,20,IF(G485=3,10,IF(G485&lt;&gt;"",1,0))))+IF(H485=1,30,IF(H485=2,20,IF(H485=3,10,IF(H485&lt;&gt;"",1,0)))))*2)</f>
        <v/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14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>
        <f>IF(AND(C486="",OR(E486="",E486=0)),"",(IF(E486=1,30,IF(E486=2,20,IF(E486=3,10,IF(E486&lt;&gt;"",1,0))))+IF(F486=1,30,IF(F486=2,20,IF(F486=3,10,IF(F486&lt;&gt;"",1,0))))+IF(G486=1,30,IF(G486=2,20,IF(G486=3,10,IF(G486&lt;&gt;"",1,0))))+IF(H486=1,30,IF(H486=2,20,IF(H486=3,10,IF(H486&lt;&gt;"",1,0)))))*2)</f>
        <v/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14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>
        <f>IF(AND(C487="",OR(E487="",E487=0)),"",(IF(E487=1,30,IF(E487=2,20,IF(E487=3,10,IF(E487&lt;&gt;"",1,0))))+IF(F487=1,30,IF(F487=2,20,IF(F487=3,10,IF(F487&lt;&gt;"",1,0))))+IF(G487=1,30,IF(G487=2,20,IF(G487=3,10,IF(G487&lt;&gt;"",1,0))))+IF(H487=1,30,IF(H487=2,20,IF(H487=3,10,IF(H487&lt;&gt;"",1,0)))))*2)</f>
        <v/>
      </c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14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>
        <f>IF(AND(C488="",OR(E488="",E488=0)),"",(IF(E488=1,30,IF(E488=2,20,IF(E488=3,10,IF(E488&lt;&gt;"",1,0))))+IF(F488=1,30,IF(F488=2,20,IF(F488=3,10,IF(F488&lt;&gt;"",1,0))))+IF(G488=1,30,IF(G488=2,20,IF(G488=3,10,IF(G488&lt;&gt;"",1,0))))+IF(H488=1,30,IF(H488=2,20,IF(H488=3,10,IF(H488&lt;&gt;"",1,0)))))*2)</f>
        <v/>
      </c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14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>
        <f>IF(AND(C489="",OR(E489="",E489=0)),"",(IF(E489=1,30,IF(E489=2,20,IF(E489=3,10,IF(E489&lt;&gt;"",1,0))))+IF(F489=1,30,IF(F489=2,20,IF(F489=3,10,IF(F489&lt;&gt;"",1,0))))+IF(G489=1,30,IF(G489=2,20,IF(G489=3,10,IF(G489&lt;&gt;"",1,0))))+IF(H489=1,30,IF(H489=2,20,IF(H489=3,10,IF(H489&lt;&gt;"",1,0)))))*2)</f>
        <v/>
      </c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14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>
        <f>IF(AND(C490="",OR(E490="",E490=0)),"",(IF(E490=1,30,IF(E490=2,20,IF(E490=3,10,IF(E490&lt;&gt;"",1,0))))+IF(F490=1,30,IF(F490=2,20,IF(F490=3,10,IF(F490&lt;&gt;"",1,0))))+IF(G490=1,30,IF(G490=2,20,IF(G490=3,10,IF(G490&lt;&gt;"",1,0))))+IF(H490=1,30,IF(H490=2,20,IF(H490=3,10,IF(H490&lt;&gt;"",1,0)))))*2)</f>
        <v/>
      </c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14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>
        <f>IF(AND(C491="",OR(E491="",E491=0)),"",(IF(E491=1,30,IF(E491=2,20,IF(E491=3,10,IF(E491&lt;&gt;"",1,0))))+IF(F491=1,30,IF(F491=2,20,IF(F491=3,10,IF(F491&lt;&gt;"",1,0))))+IF(G491=1,30,IF(G491=2,20,IF(G491=3,10,IF(G491&lt;&gt;"",1,0))))+IF(H491=1,30,IF(H491=2,20,IF(H491=3,10,IF(H491&lt;&gt;"",1,0)))))*2)</f>
        <v/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14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>
        <f>IF(AND(C492="",OR(E492="",E492=0)),"",(IF(E492=1,30,IF(E492=2,20,IF(E492=3,10,IF(E492&lt;&gt;"",1,0))))+IF(F492=1,30,IF(F492=2,20,IF(F492=3,10,IF(F492&lt;&gt;"",1,0))))+IF(G492=1,30,IF(G492=2,20,IF(G492=3,10,IF(G492&lt;&gt;"",1,0))))+IF(H492=1,30,IF(H492=2,20,IF(H492=3,10,IF(H492&lt;&gt;"",1,0)))))*2)</f>
        <v/>
      </c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14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>
        <f>IF(AND(C493="",OR(E493="",E493=0)),"",(IF(E493=1,30,IF(E493=2,20,IF(E493=3,10,IF(E493&lt;&gt;"",1,0))))+IF(F493=1,30,IF(F493=2,20,IF(F493=3,10,IF(F493&lt;&gt;"",1,0))))+IF(G493=1,30,IF(G493=2,20,IF(G493=3,10,IF(G493&lt;&gt;"",1,0))))+IF(H493=1,30,IF(H493=2,20,IF(H493=3,10,IF(H493&lt;&gt;"",1,0)))))*2)</f>
        <v/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14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>
        <f>IF(AND(C494="",OR(E494="",E494=0)),"",(IF(E494=1,30,IF(E494=2,20,IF(E494=3,10,IF(E494&lt;&gt;"",1,0))))+IF(F494=1,30,IF(F494=2,20,IF(F494=3,10,IF(F494&lt;&gt;"",1,0))))+IF(G494=1,30,IF(G494=2,20,IF(G494=3,10,IF(G494&lt;&gt;"",1,0))))+IF(H494=1,30,IF(H494=2,20,IF(H494=3,10,IF(H494&lt;&gt;"",1,0)))))*2)</f>
        <v/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14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>
        <f>IF(AND(C495="",OR(E495="",E495=0)),"",(IF(E495=1,30,IF(E495=2,20,IF(E495=3,10,IF(E495&lt;&gt;"",1,0))))+IF(F495=1,30,IF(F495=2,20,IF(F495=3,10,IF(F495&lt;&gt;"",1,0))))+IF(G495=1,30,IF(G495=2,20,IF(G495=3,10,IF(G495&lt;&gt;"",1,0))))+IF(H495=1,30,IF(H495=2,20,IF(H495=3,10,IF(H495&lt;&gt;"",1,0)))))*2)</f>
        <v/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14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>
        <f>IF(AND(C496="",OR(E496="",E496=0)),"",(IF(E496=1,30,IF(E496=2,20,IF(E496=3,10,IF(E496&lt;&gt;"",1,0))))+IF(F496=1,30,IF(F496=2,20,IF(F496=3,10,IF(F496&lt;&gt;"",1,0))))+IF(G496=1,30,IF(G496=2,20,IF(G496=3,10,IF(G496&lt;&gt;"",1,0))))+IF(H496=1,30,IF(H496=2,20,IF(H496=3,10,IF(H496&lt;&gt;"",1,0)))))*2)</f>
        <v/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14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>
        <f>IF(AND(C497="",OR(E497="",E497=0)),"",(IF(E497=1,30,IF(E497=2,20,IF(E497=3,10,IF(E497&lt;&gt;"",1,0))))+IF(F497=1,30,IF(F497=2,20,IF(F497=3,10,IF(F497&lt;&gt;"",1,0))))+IF(G497=1,30,IF(G497=2,20,IF(G497=3,10,IF(G497&lt;&gt;"",1,0))))+IF(H497=1,30,IF(H497=2,20,IF(H497=3,10,IF(H497&lt;&gt;"",1,0)))))*2)</f>
        <v/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14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>
        <f>IF(AND(C498="",OR(E498="",E498=0)),"",(IF(E498=1,30,IF(E498=2,20,IF(E498=3,10,IF(E498&lt;&gt;"",1,0))))+IF(F498=1,30,IF(F498=2,20,IF(F498=3,10,IF(F498&lt;&gt;"",1,0))))+IF(G498=1,30,IF(G498=2,20,IF(G498=3,10,IF(G498&lt;&gt;"",1,0))))+IF(H498=1,30,IF(H498=2,20,IF(H498=3,10,IF(H498&lt;&gt;"",1,0)))))*2)</f>
        <v/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14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>
        <f>IF(AND(C499="",OR(E499="",E499=0)),"",(IF(E499=1,30,IF(E499=2,20,IF(E499=3,10,IF(E499&lt;&gt;"",1,0))))+IF(F499=1,30,IF(F499=2,20,IF(F499=3,10,IF(F499&lt;&gt;"",1,0))))+IF(G499=1,30,IF(G499=2,20,IF(G499=3,10,IF(G499&lt;&gt;"",1,0))))+IF(H499=1,30,IF(H499=2,20,IF(H499=3,10,IF(H499&lt;&gt;"",1,0)))))*2)</f>
        <v/>
      </c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14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>
        <f>IF(AND(C500="",OR(E500="",E500=0)),"",(IF(E500=1,30,IF(E500=2,20,IF(E500=3,10,IF(E500&lt;&gt;"",1,0))))+IF(F500=1,30,IF(F500=2,20,IF(F500=3,10,IF(F500&lt;&gt;"",1,0))))+IF(G500=1,30,IF(G500=2,20,IF(G500=3,10,IF(G500&lt;&gt;"",1,0))))+IF(H500=1,30,IF(H500=2,20,IF(H500=3,10,IF(H500&lt;&gt;"",1,0)))))*2)</f>
        <v/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14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>
        <f>IF(AND(C501="",OR(E501="",E501=0)),"",(IF(E501=1,30,IF(E501=2,20,IF(E501=3,10,IF(E501&lt;&gt;"",1,0))))+IF(F501=1,30,IF(F501=2,20,IF(F501=3,10,IF(F501&lt;&gt;"",1,0))))+IF(G501=1,30,IF(G501=2,20,IF(G501=3,10,IF(G501&lt;&gt;"",1,0))))+IF(H501=1,30,IF(H501=2,20,IF(H501=3,10,IF(H501&lt;&gt;"",1,0)))))*2)</f>
        <v/>
      </c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14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>
        <f>IF(AND(C502="",OR(E502="",E502=0)),"",(IF(E502=1,30,IF(E502=2,20,IF(E502=3,10,IF(E502&lt;&gt;"",1,0))))+IF(F502=1,30,IF(F502=2,20,IF(F502=3,10,IF(F502&lt;&gt;"",1,0))))+IF(G502=1,30,IF(G502=2,20,IF(G502=3,10,IF(G502&lt;&gt;"",1,0))))+IF(H502=1,30,IF(H502=2,20,IF(H502=3,10,IF(H502&lt;&gt;"",1,0)))))*2)</f>
        <v/>
      </c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14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>
        <f>IF(AND(C503="",OR(E503="",E503=0)),"",(IF(E503=1,30,IF(E503=2,20,IF(E503=3,10,IF(E503&lt;&gt;"",1,0))))+IF(F503=1,30,IF(F503=2,20,IF(F503=3,10,IF(F503&lt;&gt;"",1,0))))+IF(G503=1,30,IF(G503=2,20,IF(G503=3,10,IF(G503&lt;&gt;"",1,0))))+IF(H503=1,30,IF(H503=2,20,IF(H503=3,10,IF(H503&lt;&gt;"",1,0)))))*2)</f>
        <v/>
      </c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14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>
        <f>IF(AND(C504="",OR(E504="",E504=0)),"",(IF(E504=1,30,IF(E504=2,20,IF(E504=3,10,IF(E504&lt;&gt;"",1,0))))+IF(F504=1,30,IF(F504=2,20,IF(F504=3,10,IF(F504&lt;&gt;"",1,0))))+IF(G504=1,30,IF(G504=2,20,IF(G504=3,10,IF(G504&lt;&gt;"",1,0))))+IF(H504=1,30,IF(H504=2,20,IF(H504=3,10,IF(H504&lt;&gt;"",1,0)))))*2)</f>
        <v/>
      </c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14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>
        <f>IF(AND(C505="",OR(E505="",E505=0)),"",(IF(E505=1,30,IF(E505=2,20,IF(E505=3,10,IF(E505&lt;&gt;"",1,0))))+IF(F505=1,30,IF(F505=2,20,IF(F505=3,10,IF(F505&lt;&gt;"",1,0))))+IF(G505=1,30,IF(G505=2,20,IF(G505=3,10,IF(G505&lt;&gt;"",1,0))))+IF(H505=1,30,IF(H505=2,20,IF(H505=3,10,IF(H505&lt;&gt;"",1,0)))))*2)</f>
        <v/>
      </c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14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>
        <f>IF(AND(C506="",OR(E506="",E506=0)),"",(IF(E506=1,30,IF(E506=2,20,IF(E506=3,10,IF(E506&lt;&gt;"",1,0))))+IF(F506=1,30,IF(F506=2,20,IF(F506=3,10,IF(F506&lt;&gt;"",1,0))))+IF(G506=1,30,IF(G506=2,20,IF(G506=3,10,IF(G506&lt;&gt;"",1,0))))+IF(H506=1,30,IF(H506=2,20,IF(H506=3,10,IF(H506&lt;&gt;"",1,0)))))*2)</f>
        <v/>
      </c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14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>
        <f>IF(AND(C507="",OR(E507="",E507=0)),"",(IF(E507=1,30,IF(E507=2,20,IF(E507=3,10,IF(E507&lt;&gt;"",1,0))))+IF(F507=1,30,IF(F507=2,20,IF(F507=3,10,IF(F507&lt;&gt;"",1,0))))+IF(G507=1,30,IF(G507=2,20,IF(G507=3,10,IF(G507&lt;&gt;"",1,0))))+IF(H507=1,30,IF(H507=2,20,IF(H507=3,10,IF(H507&lt;&gt;"",1,0)))))*2)</f>
        <v/>
      </c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14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>
        <f>IF(AND(C508="",OR(E508="",E508=0)),"",(IF(E508=1,30,IF(E508=2,20,IF(E508=3,10,IF(E508&lt;&gt;"",1,0))))+IF(F508=1,30,IF(F508=2,20,IF(F508=3,10,IF(F508&lt;&gt;"",1,0))))+IF(G508=1,30,IF(G508=2,20,IF(G508=3,10,IF(G508&lt;&gt;"",1,0))))+IF(H508=1,30,IF(H508=2,20,IF(H508=3,10,IF(H508&lt;&gt;"",1,0)))))*2)</f>
        <v/>
      </c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14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>
        <f>IF(AND(C509="",OR(E509="",E509=0)),"",(IF(E509=1,30,IF(E509=2,20,IF(E509=3,10,IF(E509&lt;&gt;"",1,0))))+IF(F509=1,30,IF(F509=2,20,IF(F509=3,10,IF(F509&lt;&gt;"",1,0))))+IF(G509=1,30,IF(G509=2,20,IF(G509=3,10,IF(G509&lt;&gt;"",1,0))))+IF(H509=1,30,IF(H509=2,20,IF(H509=3,10,IF(H509&lt;&gt;"",1,0)))))*2)</f>
        <v/>
      </c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14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>
        <f>IF(AND(C510="",OR(E510="",E510=0)),"",(IF(E510=1,30,IF(E510=2,20,IF(E510=3,10,IF(E510&lt;&gt;"",1,0))))+IF(F510=1,30,IF(F510=2,20,IF(F510=3,10,IF(F510&lt;&gt;"",1,0))))+IF(G510=1,30,IF(G510=2,20,IF(G510=3,10,IF(G510&lt;&gt;"",1,0))))+IF(H510=1,30,IF(H510=2,20,IF(H510=3,10,IF(H510&lt;&gt;"",1,0)))))*2)</f>
        <v/>
      </c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14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>
        <f>IF(AND(C511="",OR(E511="",E511=0)),"",(IF(E511=1,30,IF(E511=2,20,IF(E511=3,10,IF(E511&lt;&gt;"",1,0))))+IF(F511=1,30,IF(F511=2,20,IF(F511=3,10,IF(F511&lt;&gt;"",1,0))))+IF(G511=1,30,IF(G511=2,20,IF(G511=3,10,IF(G511&lt;&gt;"",1,0))))+IF(H511=1,30,IF(H511=2,20,IF(H511=3,10,IF(H511&lt;&gt;"",1,0)))))*2)</f>
        <v/>
      </c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14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>
        <f>IF(AND(C512="",OR(E512="",E512=0)),"",(IF(E512=1,30,IF(E512=2,20,IF(E512=3,10,IF(E512&lt;&gt;"",1,0))))+IF(F512=1,30,IF(F512=2,20,IF(F512=3,10,IF(F512&lt;&gt;"",1,0))))+IF(G512=1,30,IF(G512=2,20,IF(G512=3,10,IF(G512&lt;&gt;"",1,0))))+IF(H512=1,30,IF(H512=2,20,IF(H512=3,10,IF(H512&lt;&gt;"",1,0)))))*2)</f>
        <v/>
      </c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14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>
        <f>IF(AND(C513="",OR(E513="",E513=0)),"",(IF(E513=1,30,IF(E513=2,20,IF(E513=3,10,IF(E513&lt;&gt;"",1,0))))+IF(F513=1,30,IF(F513=2,20,IF(F513=3,10,IF(F513&lt;&gt;"",1,0))))+IF(G513=1,30,IF(G513=2,20,IF(G513=3,10,IF(G513&lt;&gt;"",1,0))))+IF(H513=1,30,IF(H513=2,20,IF(H513=3,10,IF(H513&lt;&gt;"",1,0)))))*2)</f>
        <v/>
      </c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14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>
        <f>IF(AND(C514="",OR(E514="",E514=0)),"",(IF(E514=1,30,IF(E514=2,20,IF(E514=3,10,IF(E514&lt;&gt;"",1,0))))+IF(F514=1,30,IF(F514=2,20,IF(F514=3,10,IF(F514&lt;&gt;"",1,0))))+IF(G514=1,30,IF(G514=2,20,IF(G514=3,10,IF(G514&lt;&gt;"",1,0))))+IF(H514=1,30,IF(H514=2,20,IF(H514=3,10,IF(H514&lt;&gt;"",1,0)))))*2)</f>
        <v/>
      </c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14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>
        <f>IF(AND(C515="",OR(E515="",E515=0)),"",(IF(E515=1,30,IF(E515=2,20,IF(E515=3,10,IF(E515&lt;&gt;"",1,0))))+IF(F515=1,30,IF(F515=2,20,IF(F515=3,10,IF(F515&lt;&gt;"",1,0))))+IF(G515=1,30,IF(G515=2,20,IF(G515=3,10,IF(G515&lt;&gt;"",1,0))))+IF(H515=1,30,IF(H515=2,20,IF(H515=3,10,IF(H515&lt;&gt;"",1,0)))))*2)</f>
        <v/>
      </c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14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>
        <f>IF(AND(C516="",OR(E516="",E516=0)),"",(IF(E516=1,30,IF(E516=2,20,IF(E516=3,10,IF(E516&lt;&gt;"",1,0))))+IF(F516=1,30,IF(F516=2,20,IF(F516=3,10,IF(F516&lt;&gt;"",1,0))))+IF(G516=1,30,IF(G516=2,20,IF(G516=3,10,IF(G516&lt;&gt;"",1,0))))+IF(H516=1,30,IF(H516=2,20,IF(H516=3,10,IF(H516&lt;&gt;"",1,0)))))*2)</f>
        <v/>
      </c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14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>
        <f>IF(AND(C517="",OR(E517="",E517=0)),"",(IF(E517=1,30,IF(E517=2,20,IF(E517=3,10,IF(E517&lt;&gt;"",1,0))))+IF(F517=1,30,IF(F517=2,20,IF(F517=3,10,IF(F517&lt;&gt;"",1,0))))+IF(G517=1,30,IF(G517=2,20,IF(G517=3,10,IF(G517&lt;&gt;"",1,0))))+IF(H517=1,30,IF(H517=2,20,IF(H517=3,10,IF(H517&lt;&gt;"",1,0)))))*2)</f>
        <v/>
      </c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14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>
        <f>IF(AND(C518="",OR(E518="",E518=0)),"",(IF(E518=1,30,IF(E518=2,20,IF(E518=3,10,IF(E518&lt;&gt;"",1,0))))+IF(F518=1,30,IF(F518=2,20,IF(F518=3,10,IF(F518&lt;&gt;"",1,0))))+IF(G518=1,30,IF(G518=2,20,IF(G518=3,10,IF(G518&lt;&gt;"",1,0))))+IF(H518=1,30,IF(H518=2,20,IF(H518=3,10,IF(H518&lt;&gt;"",1,0)))))*2)</f>
        <v/>
      </c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14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>
        <f>IF(AND(C519="",OR(E519="",E519=0)),"",(IF(E519=1,30,IF(E519=2,20,IF(E519=3,10,IF(E519&lt;&gt;"",1,0))))+IF(F519=1,30,IF(F519=2,20,IF(F519=3,10,IF(F519&lt;&gt;"",1,0))))+IF(G519=1,30,IF(G519=2,20,IF(G519=3,10,IF(G519&lt;&gt;"",1,0))))+IF(H519=1,30,IF(H519=2,20,IF(H519=3,10,IF(H519&lt;&gt;"",1,0)))))*2)</f>
        <v/>
      </c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14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>
        <f>IF(AND(C520="",OR(E520="",E520=0)),"",(IF(E520=1,30,IF(E520=2,20,IF(E520=3,10,IF(E520&lt;&gt;"",1,0))))+IF(F520=1,30,IF(F520=2,20,IF(F520=3,10,IF(F520&lt;&gt;"",1,0))))+IF(G520=1,30,IF(G520=2,20,IF(G520=3,10,IF(G520&lt;&gt;"",1,0))))+IF(H520=1,30,IF(H520=2,20,IF(H520=3,10,IF(H520&lt;&gt;"",1,0)))))*2)</f>
        <v/>
      </c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14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>
        <f>IF(AND(C521="",OR(E521="",E521=0)),"",(IF(E521=1,30,IF(E521=2,20,IF(E521=3,10,IF(E521&lt;&gt;"",1,0))))+IF(F521=1,30,IF(F521=2,20,IF(F521=3,10,IF(F521&lt;&gt;"",1,0))))+IF(G521=1,30,IF(G521=2,20,IF(G521=3,10,IF(G521&lt;&gt;"",1,0))))+IF(H521=1,30,IF(H521=2,20,IF(H521=3,10,IF(H521&lt;&gt;"",1,0)))))*2)</f>
        <v/>
      </c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14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>
        <f>IF(AND(C522="",OR(E522="",E522=0)),"",(IF(E522=1,30,IF(E522=2,20,IF(E522=3,10,IF(E522&lt;&gt;"",1,0))))+IF(F522=1,30,IF(F522=2,20,IF(F522=3,10,IF(F522&lt;&gt;"",1,0))))+IF(G522=1,30,IF(G522=2,20,IF(G522=3,10,IF(G522&lt;&gt;"",1,0))))+IF(H522=1,30,IF(H522=2,20,IF(H522=3,10,IF(H522&lt;&gt;"",1,0)))))*2)</f>
        <v/>
      </c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14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>
        <f>IF(AND(C523="",OR(E523="",E523=0)),"",(IF(E523=1,30,IF(E523=2,20,IF(E523=3,10,IF(E523&lt;&gt;"",1,0))))+IF(F523=1,30,IF(F523=2,20,IF(F523=3,10,IF(F523&lt;&gt;"",1,0))))+IF(G523=1,30,IF(G523=2,20,IF(G523=3,10,IF(G523&lt;&gt;"",1,0))))+IF(H523=1,30,IF(H523=2,20,IF(H523=3,10,IF(H523&lt;&gt;"",1,0)))))*2)</f>
        <v/>
      </c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14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>
        <f>IF(AND(C524="",OR(E524="",E524=0)),"",(IF(E524=1,30,IF(E524=2,20,IF(E524=3,10,IF(E524&lt;&gt;"",1,0))))+IF(F524=1,30,IF(F524=2,20,IF(F524=3,10,IF(F524&lt;&gt;"",1,0))))+IF(G524=1,30,IF(G524=2,20,IF(G524=3,10,IF(G524&lt;&gt;"",1,0))))+IF(H524=1,30,IF(H524=2,20,IF(H524=3,10,IF(H524&lt;&gt;"",1,0)))))*2)</f>
        <v/>
      </c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14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>
        <f>IF(AND(C525="",OR(E525="",E525=0)),"",(IF(E525=1,30,IF(E525=2,20,IF(E525=3,10,IF(E525&lt;&gt;"",1,0))))+IF(F525=1,30,IF(F525=2,20,IF(F525=3,10,IF(F525&lt;&gt;"",1,0))))+IF(G525=1,30,IF(G525=2,20,IF(G525=3,10,IF(G525&lt;&gt;"",1,0))))+IF(H525=1,30,IF(H525=2,20,IF(H525=3,10,IF(H525&lt;&gt;"",1,0)))))*2)</f>
        <v/>
      </c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14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>
        <f>IF(AND(C526="",OR(E526="",E526=0)),"",(IF(E526=1,30,IF(E526=2,20,IF(E526=3,10,IF(E526&lt;&gt;"",1,0))))+IF(F526=1,30,IF(F526=2,20,IF(F526=3,10,IF(F526&lt;&gt;"",1,0))))+IF(G526=1,30,IF(G526=2,20,IF(G526=3,10,IF(G526&lt;&gt;"",1,0))))+IF(H526=1,30,IF(H526=2,20,IF(H526=3,10,IF(H526&lt;&gt;"",1,0)))))*2)</f>
        <v/>
      </c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14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>
        <f>IF(AND(C527="",OR(E527="",E527=0)),"",(IF(E527=1,30,IF(E527=2,20,IF(E527=3,10,IF(E527&lt;&gt;"",1,0))))+IF(F527=1,30,IF(F527=2,20,IF(F527=3,10,IF(F527&lt;&gt;"",1,0))))+IF(G527=1,30,IF(G527=2,20,IF(G527=3,10,IF(G527&lt;&gt;"",1,0))))+IF(H527=1,30,IF(H527=2,20,IF(H527=3,10,IF(H527&lt;&gt;"",1,0)))))*2)</f>
        <v/>
      </c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14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>
        <f>IF(AND(C528="",OR(E528="",E528=0)),"",(IF(E528=1,30,IF(E528=2,20,IF(E528=3,10,IF(E528&lt;&gt;"",1,0))))+IF(F528=1,30,IF(F528=2,20,IF(F528=3,10,IF(F528&lt;&gt;"",1,0))))+IF(G528=1,30,IF(G528=2,20,IF(G528=3,10,IF(G528&lt;&gt;"",1,0))))+IF(H528=1,30,IF(H528=2,20,IF(H528=3,10,IF(H528&lt;&gt;"",1,0)))))*2)</f>
        <v/>
      </c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14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>
        <f>IF(AND(C529="",OR(E529="",E529=0)),"",(IF(E529=1,30,IF(E529=2,20,IF(E529=3,10,IF(E529&lt;&gt;"",1,0))))+IF(F529=1,30,IF(F529=2,20,IF(F529=3,10,IF(F529&lt;&gt;"",1,0))))+IF(G529=1,30,IF(G529=2,20,IF(G529=3,10,IF(G529&lt;&gt;"",1,0))))+IF(H529=1,30,IF(H529=2,20,IF(H529=3,10,IF(H529&lt;&gt;"",1,0)))))*2)</f>
        <v/>
      </c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14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>
        <f>IF(AND(C530="",OR(E530="",E530=0)),"",(IF(E530=1,30,IF(E530=2,20,IF(E530=3,10,IF(E530&lt;&gt;"",1,0))))+IF(F530=1,30,IF(F530=2,20,IF(F530=3,10,IF(F530&lt;&gt;"",1,0))))+IF(G530=1,30,IF(G530=2,20,IF(G530=3,10,IF(G530&lt;&gt;"",1,0))))+IF(H530=1,30,IF(H530=2,20,IF(H530=3,10,IF(H530&lt;&gt;"",1,0)))))*2)</f>
        <v/>
      </c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14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>
        <f>IF(AND(C531="",OR(E531="",E531=0)),"",(IF(E531=1,30,IF(E531=2,20,IF(E531=3,10,IF(E531&lt;&gt;"",1,0))))+IF(F531=1,30,IF(F531=2,20,IF(F531=3,10,IF(F531&lt;&gt;"",1,0))))+IF(G531=1,30,IF(G531=2,20,IF(G531=3,10,IF(G531&lt;&gt;"",1,0))))+IF(H531=1,30,IF(H531=2,20,IF(H531=3,10,IF(H531&lt;&gt;"",1,0)))))*2)</f>
        <v/>
      </c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14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>
        <f>IF(AND(C532="",OR(E532="",E532=0)),"",(IF(E532=1,30,IF(E532=2,20,IF(E532=3,10,IF(E532&lt;&gt;"",1,0))))+IF(F532=1,30,IF(F532=2,20,IF(F532=3,10,IF(F532&lt;&gt;"",1,0))))+IF(G532=1,30,IF(G532=2,20,IF(G532=3,10,IF(G532&lt;&gt;"",1,0))))+IF(H532=1,30,IF(H532=2,20,IF(H532=3,10,IF(H532&lt;&gt;"",1,0)))))*2)</f>
        <v/>
      </c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14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>
        <f>IF(AND(C533="",OR(E533="",E533=0)),"",(IF(E533=1,30,IF(E533=2,20,IF(E533=3,10,IF(E533&lt;&gt;"",1,0))))+IF(F533=1,30,IF(F533=2,20,IF(F533=3,10,IF(F533&lt;&gt;"",1,0))))+IF(G533=1,30,IF(G533=2,20,IF(G533=3,10,IF(G533&lt;&gt;"",1,0))))+IF(H533=1,30,IF(H533=2,20,IF(H533=3,10,IF(H533&lt;&gt;"",1,0)))))*2)</f>
        <v/>
      </c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14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>
        <f>IF(AND(C534="",OR(E534="",E534=0)),"",(IF(E534=1,30,IF(E534=2,20,IF(E534=3,10,IF(E534&lt;&gt;"",1,0))))+IF(F534=1,30,IF(F534=2,20,IF(F534=3,10,IF(F534&lt;&gt;"",1,0))))+IF(G534=1,30,IF(G534=2,20,IF(G534=3,10,IF(G534&lt;&gt;"",1,0))))+IF(H534=1,30,IF(H534=2,20,IF(H534=3,10,IF(H534&lt;&gt;"",1,0)))))*2)</f>
        <v/>
      </c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14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>
        <f>IF(AND(C535="",OR(E535="",E535=0)),"",(IF(E535=1,30,IF(E535=2,20,IF(E535=3,10,IF(E535&lt;&gt;"",1,0))))+IF(F535=1,30,IF(F535=2,20,IF(F535=3,10,IF(F535&lt;&gt;"",1,0))))+IF(G535=1,30,IF(G535=2,20,IF(G535=3,10,IF(G535&lt;&gt;"",1,0))))+IF(H535=1,30,IF(H535=2,20,IF(H535=3,10,IF(H535&lt;&gt;"",1,0)))))*2)</f>
        <v/>
      </c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14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>
        <f>IF(AND(C536="",OR(E536="",E536=0)),"",(IF(E536=1,30,IF(E536=2,20,IF(E536=3,10,IF(E536&lt;&gt;"",1,0))))+IF(F536=1,30,IF(F536=2,20,IF(F536=3,10,IF(F536&lt;&gt;"",1,0))))+IF(G536=1,30,IF(G536=2,20,IF(G536=3,10,IF(G536&lt;&gt;"",1,0))))+IF(H536=1,30,IF(H536=2,20,IF(H536=3,10,IF(H536&lt;&gt;"",1,0)))))*2)</f>
        <v/>
      </c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14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>
        <f>IF(AND(C537="",OR(E537="",E537=0)),"",(IF(E537=1,30,IF(E537=2,20,IF(E537=3,10,IF(E537&lt;&gt;"",1,0))))+IF(F537=1,30,IF(F537=2,20,IF(F537=3,10,IF(F537&lt;&gt;"",1,0))))+IF(G537=1,30,IF(G537=2,20,IF(G537=3,10,IF(G537&lt;&gt;"",1,0))))+IF(H537=1,30,IF(H537=2,20,IF(H537=3,10,IF(H537&lt;&gt;"",1,0)))))*2)</f>
        <v/>
      </c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14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>
        <f>IF(AND(C538="",OR(E538="",E538=0)),"",(IF(E538=1,30,IF(E538=2,20,IF(E538=3,10,IF(E538&lt;&gt;"",1,0))))+IF(F538=1,30,IF(F538=2,20,IF(F538=3,10,IF(F538&lt;&gt;"",1,0))))+IF(G538=1,30,IF(G538=2,20,IF(G538=3,10,IF(G538&lt;&gt;"",1,0))))+IF(H538=1,30,IF(H538=2,20,IF(H538=3,10,IF(H538&lt;&gt;"",1,0)))))*2)</f>
        <v/>
      </c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14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>
        <f>IF(AND(C539="",OR(E539="",E539=0)),"",(IF(E539=1,30,IF(E539=2,20,IF(E539=3,10,IF(E539&lt;&gt;"",1,0))))+IF(F539=1,30,IF(F539=2,20,IF(F539=3,10,IF(F539&lt;&gt;"",1,0))))+IF(G539=1,30,IF(G539=2,20,IF(G539=3,10,IF(G539&lt;&gt;"",1,0))))+IF(H539=1,30,IF(H539=2,20,IF(H539=3,10,IF(H539&lt;&gt;"",1,0)))))*2)</f>
        <v/>
      </c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14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>
        <f>IF(AND(C540="",OR(E540="",E540=0)),"",(IF(E540=1,30,IF(E540=2,20,IF(E540=3,10,IF(E540&lt;&gt;"",1,0))))+IF(F540=1,30,IF(F540=2,20,IF(F540=3,10,IF(F540&lt;&gt;"",1,0))))+IF(G540=1,30,IF(G540=2,20,IF(G540=3,10,IF(G540&lt;&gt;"",1,0))))+IF(H540=1,30,IF(H540=2,20,IF(H540=3,10,IF(H540&lt;&gt;"",1,0)))))*2)</f>
        <v/>
      </c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14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>
        <f>IF(AND(C541="",OR(E541="",E541=0)),"",(IF(E541=1,30,IF(E541=2,20,IF(E541=3,10,IF(E541&lt;&gt;"",1,0))))+IF(F541=1,30,IF(F541=2,20,IF(F541=3,10,IF(F541&lt;&gt;"",1,0))))+IF(G541=1,30,IF(G541=2,20,IF(G541=3,10,IF(G541&lt;&gt;"",1,0))))+IF(H541=1,30,IF(H541=2,20,IF(H541=3,10,IF(H541&lt;&gt;"",1,0)))))*2)</f>
        <v/>
      </c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14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>
        <f>IF(AND(C542="",OR(E542="",E542=0)),"",(IF(E542=1,30,IF(E542=2,20,IF(E542=3,10,IF(E542&lt;&gt;"",1,0))))+IF(F542=1,30,IF(F542=2,20,IF(F542=3,10,IF(F542&lt;&gt;"",1,0))))+IF(G542=1,30,IF(G542=2,20,IF(G542=3,10,IF(G542&lt;&gt;"",1,0))))+IF(H542=1,30,IF(H542=2,20,IF(H542=3,10,IF(H542&lt;&gt;"",1,0)))))*2)</f>
        <v/>
      </c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1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>
        <f>IF(AND(C543="",OR(E543="",E543=0)),"",(IF(E543=1,30,IF(E543=2,20,IF(E543=3,10,IF(E543&lt;&gt;"",1,0))))+IF(F543=1,30,IF(F543=2,20,IF(F543=3,10,IF(F543&lt;&gt;"",1,0))))+IF(G543=1,30,IF(G543=2,20,IF(G543=3,10,IF(G543&lt;&gt;"",1,0))))+IF(H543=1,30,IF(H543=2,20,IF(H543=3,10,IF(H543&lt;&gt;"",1,0)))))*2)</f>
        <v/>
      </c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14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>
        <f>IF(AND(C544="",OR(E544="",E544=0)),"",(IF(E544=1,30,IF(E544=2,20,IF(E544=3,10,IF(E544&lt;&gt;"",1,0))))+IF(F544=1,30,IF(F544=2,20,IF(F544=3,10,IF(F544&lt;&gt;"",1,0))))+IF(G544=1,30,IF(G544=2,20,IF(G544=3,10,IF(G544&lt;&gt;"",1,0))))+IF(H544=1,30,IF(H544=2,20,IF(H544=3,10,IF(H544&lt;&gt;"",1,0)))))*2)</f>
        <v/>
      </c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14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>
        <f>IF(AND(C545="",OR(E545="",E545=0)),"",(IF(E545=1,30,IF(E545=2,20,IF(E545=3,10,IF(E545&lt;&gt;"",1,0))))+IF(F545=1,30,IF(F545=2,20,IF(F545=3,10,IF(F545&lt;&gt;"",1,0))))+IF(G545=1,30,IF(G545=2,20,IF(G545=3,10,IF(G545&lt;&gt;"",1,0))))+IF(H545=1,30,IF(H545=2,20,IF(H545=3,10,IF(H545&lt;&gt;"",1,0)))))*2)</f>
        <v/>
      </c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14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>
        <f>IF(AND(C546="",OR(E546="",E546=0)),"",(IF(E546=1,30,IF(E546=2,20,IF(E546=3,10,IF(E546&lt;&gt;"",1,0))))+IF(F546=1,30,IF(F546=2,20,IF(F546=3,10,IF(F546&lt;&gt;"",1,0))))+IF(G546=1,30,IF(G546=2,20,IF(G546=3,10,IF(G546&lt;&gt;"",1,0))))+IF(H546=1,30,IF(H546=2,20,IF(H546=3,10,IF(H546&lt;&gt;"",1,0)))))*2)</f>
        <v/>
      </c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14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>
        <f>IF(AND(C547="",OR(E547="",E547=0)),"",(IF(E547=1,30,IF(E547=2,20,IF(E547=3,10,IF(E547&lt;&gt;"",1,0))))+IF(F547=1,30,IF(F547=2,20,IF(F547=3,10,IF(F547&lt;&gt;"",1,0))))+IF(G547=1,30,IF(G547=2,20,IF(G547=3,10,IF(G547&lt;&gt;"",1,0))))+IF(H547=1,30,IF(H547=2,20,IF(H547=3,10,IF(H547&lt;&gt;"",1,0)))))*2)</f>
        <v/>
      </c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14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>
        <f>IF(AND(C548="",OR(E548="",E548=0)),"",(IF(E548=1,30,IF(E548=2,20,IF(E548=3,10,IF(E548&lt;&gt;"",1,0))))+IF(F548=1,30,IF(F548=2,20,IF(F548=3,10,IF(F548&lt;&gt;"",1,0))))+IF(G548=1,30,IF(G548=2,20,IF(G548=3,10,IF(G548&lt;&gt;"",1,0))))+IF(H548=1,30,IF(H548=2,20,IF(H548=3,10,IF(H548&lt;&gt;"",1,0)))))*2)</f>
        <v/>
      </c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14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>
        <f>IF(AND(C549="",OR(E549="",E549=0)),"",(IF(E549=1,30,IF(E549=2,20,IF(E549=3,10,IF(E549&lt;&gt;"",1,0))))+IF(F549=1,30,IF(F549=2,20,IF(F549=3,10,IF(F549&lt;&gt;"",1,0))))+IF(G549=1,30,IF(G549=2,20,IF(G549=3,10,IF(G549&lt;&gt;"",1,0))))+IF(H549=1,30,IF(H549=2,20,IF(H549=3,10,IF(H549&lt;&gt;"",1,0)))))*2)</f>
        <v/>
      </c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14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>
        <f>IF(AND(C550="",OR(E550="",E550=0)),"",(IF(E550=1,30,IF(E550=2,20,IF(E550=3,10,IF(E550&lt;&gt;"",1,0))))+IF(F550=1,30,IF(F550=2,20,IF(F550=3,10,IF(F550&lt;&gt;"",1,0))))+IF(G550=1,30,IF(G550=2,20,IF(G550=3,10,IF(G550&lt;&gt;"",1,0))))+IF(H550=1,30,IF(H550=2,20,IF(H550=3,10,IF(H550&lt;&gt;"",1,0)))))*2)</f>
        <v/>
      </c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14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>
        <f>IF(AND(C551="",OR(E551="",E551=0)),"",(IF(E551=1,30,IF(E551=2,20,IF(E551=3,10,IF(E551&lt;&gt;"",1,0))))+IF(F551=1,30,IF(F551=2,20,IF(F551=3,10,IF(F551&lt;&gt;"",1,0))))+IF(G551=1,30,IF(G551=2,20,IF(G551=3,10,IF(G551&lt;&gt;"",1,0))))+IF(H551=1,30,IF(H551=2,20,IF(H551=3,10,IF(H551&lt;&gt;"",1,0)))))*2)</f>
        <v/>
      </c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14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>
        <f>IF(AND(C552="",OR(E552="",E552=0)),"",(IF(E552=1,30,IF(E552=2,20,IF(E552=3,10,IF(E552&lt;&gt;"",1,0))))+IF(F552=1,30,IF(F552=2,20,IF(F552=3,10,IF(F552&lt;&gt;"",1,0))))+IF(G552=1,30,IF(G552=2,20,IF(G552=3,10,IF(G552&lt;&gt;"",1,0))))+IF(H552=1,30,IF(H552=2,20,IF(H552=3,10,IF(H552&lt;&gt;"",1,0)))))*2)</f>
        <v/>
      </c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14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>
        <f>IF(AND(C553="",OR(E553="",E553=0)),"",(IF(E553=1,30,IF(E553=2,20,IF(E553=3,10,IF(E553&lt;&gt;"",1,0))))+IF(F553=1,30,IF(F553=2,20,IF(F553=3,10,IF(F553&lt;&gt;"",1,0))))+IF(G553=1,30,IF(G553=2,20,IF(G553=3,10,IF(G553&lt;&gt;"",1,0))))+IF(H553=1,30,IF(H553=2,20,IF(H553=3,10,IF(H553&lt;&gt;"",1,0)))))*2)</f>
        <v/>
      </c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14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>
        <f>IF(AND(C554="",OR(E554="",E554=0)),"",(IF(E554=1,30,IF(E554=2,20,IF(E554=3,10,IF(E554&lt;&gt;"",1,0))))+IF(F554=1,30,IF(F554=2,20,IF(F554=3,10,IF(F554&lt;&gt;"",1,0))))+IF(G554=1,30,IF(G554=2,20,IF(G554=3,10,IF(G554&lt;&gt;"",1,0))))+IF(H554=1,30,IF(H554=2,20,IF(H554=3,10,IF(H554&lt;&gt;"",1,0)))))*2)</f>
        <v/>
      </c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14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>
        <f>IF(AND(C555="",OR(E555="",E555=0)),"",(IF(E555=1,30,IF(E555=2,20,IF(E555=3,10,IF(E555&lt;&gt;"",1,0))))+IF(F555=1,30,IF(F555=2,20,IF(F555=3,10,IF(F555&lt;&gt;"",1,0))))+IF(G555=1,30,IF(G555=2,20,IF(G555=3,10,IF(G555&lt;&gt;"",1,0))))+IF(H555=1,30,IF(H555=2,20,IF(H555=3,10,IF(H555&lt;&gt;"",1,0)))))*2)</f>
        <v/>
      </c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14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>
        <f>IF(AND(C556="",OR(E556="",E556=0)),"",(IF(E556=1,30,IF(E556=2,20,IF(E556=3,10,IF(E556&lt;&gt;"",1,0))))+IF(F556=1,30,IF(F556=2,20,IF(F556=3,10,IF(F556&lt;&gt;"",1,0))))+IF(G556=1,30,IF(G556=2,20,IF(G556=3,10,IF(G556&lt;&gt;"",1,0))))+IF(H556=1,30,IF(H556=2,20,IF(H556=3,10,IF(H556&lt;&gt;"",1,0)))))*2)</f>
        <v/>
      </c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14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>
        <f>IF(AND(C557="",OR(E557="",E557=0)),"",(IF(E557=1,30,IF(E557=2,20,IF(E557=3,10,IF(E557&lt;&gt;"",1,0))))+IF(F557=1,30,IF(F557=2,20,IF(F557=3,10,IF(F557&lt;&gt;"",1,0))))+IF(G557=1,30,IF(G557=2,20,IF(G557=3,10,IF(G557&lt;&gt;"",1,0))))+IF(H557=1,30,IF(H557=2,20,IF(H557=3,10,IF(H557&lt;&gt;"",1,0)))))*2)</f>
        <v/>
      </c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14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>
        <f>IF(AND(C558="",OR(E558="",E558=0)),"",(IF(E558=1,30,IF(E558=2,20,IF(E558=3,10,IF(E558&lt;&gt;"",1,0))))+IF(F558=1,30,IF(F558=2,20,IF(F558=3,10,IF(F558&lt;&gt;"",1,0))))+IF(G558=1,30,IF(G558=2,20,IF(G558=3,10,IF(G558&lt;&gt;"",1,0))))+IF(H558=1,30,IF(H558=2,20,IF(H558=3,10,IF(H558&lt;&gt;"",1,0)))))*2)</f>
        <v/>
      </c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14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>
        <f>IF(AND(C559="",OR(E559="",E559=0)),"",(IF(E559=1,30,IF(E559=2,20,IF(E559=3,10,IF(E559&lt;&gt;"",1,0))))+IF(F559=1,30,IF(F559=2,20,IF(F559=3,10,IF(F559&lt;&gt;"",1,0))))+IF(G559=1,30,IF(G559=2,20,IF(G559=3,10,IF(G559&lt;&gt;"",1,0))))+IF(H559=1,30,IF(H559=2,20,IF(H559=3,10,IF(H559&lt;&gt;"",1,0)))))*2)</f>
        <v/>
      </c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14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>
        <f>IF(AND(C560="",OR(E560="",E560=0)),"",(IF(E560=1,30,IF(E560=2,20,IF(E560=3,10,IF(E560&lt;&gt;"",1,0))))+IF(F560=1,30,IF(F560=2,20,IF(F560=3,10,IF(F560&lt;&gt;"",1,0))))+IF(G560=1,30,IF(G560=2,20,IF(G560=3,10,IF(G560&lt;&gt;"",1,0))))+IF(H560=1,30,IF(H560=2,20,IF(H560=3,10,IF(H560&lt;&gt;"",1,0)))))*2)</f>
        <v/>
      </c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14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>
        <f>IF(AND(C561="",OR(E561="",E561=0)),"",(IF(E561=1,30,IF(E561=2,20,IF(E561=3,10,IF(E561&lt;&gt;"",1,0))))+IF(F561=1,30,IF(F561=2,20,IF(F561=3,10,IF(F561&lt;&gt;"",1,0))))+IF(G561=1,30,IF(G561=2,20,IF(G561=3,10,IF(G561&lt;&gt;"",1,0))))+IF(H561=1,30,IF(H561=2,20,IF(H561=3,10,IF(H561&lt;&gt;"",1,0)))))*2)</f>
        <v/>
      </c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14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>
        <f>IF(AND(C562="",OR(E562="",E562=0)),"",(IF(E562=1,30,IF(E562=2,20,IF(E562=3,10,IF(E562&lt;&gt;"",1,0))))+IF(F562=1,30,IF(F562=2,20,IF(F562=3,10,IF(F562&lt;&gt;"",1,0))))+IF(G562=1,30,IF(G562=2,20,IF(G562=3,10,IF(G562&lt;&gt;"",1,0))))+IF(H562=1,30,IF(H562=2,20,IF(H562=3,10,IF(H562&lt;&gt;"",1,0)))))*2)</f>
        <v/>
      </c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14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>
        <f>IF(AND(C563="",OR(E563="",E563=0)),"",(IF(E563=1,30,IF(E563=2,20,IF(E563=3,10,IF(E563&lt;&gt;"",1,0))))+IF(F563=1,30,IF(F563=2,20,IF(F563=3,10,IF(F563&lt;&gt;"",1,0))))+IF(G563=1,30,IF(G563=2,20,IF(G563=3,10,IF(G563&lt;&gt;"",1,0))))+IF(H563=1,30,IF(H563=2,20,IF(H563=3,10,IF(H563&lt;&gt;"",1,0)))))*2)</f>
        <v/>
      </c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14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>
        <f>IF(AND(C564="",OR(E564="",E564=0)),"",(IF(E564=1,30,IF(E564=2,20,IF(E564=3,10,IF(E564&lt;&gt;"",1,0))))+IF(F564=1,30,IF(F564=2,20,IF(F564=3,10,IF(F564&lt;&gt;"",1,0))))+IF(G564=1,30,IF(G564=2,20,IF(G564=3,10,IF(G564&lt;&gt;"",1,0))))+IF(H564=1,30,IF(H564=2,20,IF(H564=3,10,IF(H564&lt;&gt;"",1,0)))))*2)</f>
        <v/>
      </c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14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>
        <f>IF(AND(C565="",OR(E565="",E565=0)),"",(IF(E565=1,30,IF(E565=2,20,IF(E565=3,10,IF(E565&lt;&gt;"",1,0))))+IF(F565=1,30,IF(F565=2,20,IF(F565=3,10,IF(F565&lt;&gt;"",1,0))))+IF(G565=1,30,IF(G565=2,20,IF(G565=3,10,IF(G565&lt;&gt;"",1,0))))+IF(H565=1,30,IF(H565=2,20,IF(H565=3,10,IF(H565&lt;&gt;"",1,0)))))*2)</f>
        <v/>
      </c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14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>
        <f>IF(AND(C566="",OR(E566="",E566=0)),"",(IF(E566=1,30,IF(E566=2,20,IF(E566=3,10,IF(E566&lt;&gt;"",1,0))))+IF(F566=1,30,IF(F566=2,20,IF(F566=3,10,IF(F566&lt;&gt;"",1,0))))+IF(G566=1,30,IF(G566=2,20,IF(G566=3,10,IF(G566&lt;&gt;"",1,0))))+IF(H566=1,30,IF(H566=2,20,IF(H566=3,10,IF(H566&lt;&gt;"",1,0)))))*2)</f>
        <v/>
      </c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14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>
        <f>IF(AND(C567="",OR(E567="",E567=0)),"",(IF(E567=1,30,IF(E567=2,20,IF(E567=3,10,IF(E567&lt;&gt;"",1,0))))+IF(F567=1,30,IF(F567=2,20,IF(F567=3,10,IF(F567&lt;&gt;"",1,0))))+IF(G567=1,30,IF(G567=2,20,IF(G567=3,10,IF(G567&lt;&gt;"",1,0))))+IF(H567=1,30,IF(H567=2,20,IF(H567=3,10,IF(H567&lt;&gt;"",1,0)))))*2)</f>
        <v/>
      </c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14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>
        <f>IF(AND(C568="",OR(E568="",E568=0)),"",(IF(E568=1,30,IF(E568=2,20,IF(E568=3,10,IF(E568&lt;&gt;"",1,0))))+IF(F568=1,30,IF(F568=2,20,IF(F568=3,10,IF(F568&lt;&gt;"",1,0))))+IF(G568=1,30,IF(G568=2,20,IF(G568=3,10,IF(G568&lt;&gt;"",1,0))))+IF(H568=1,30,IF(H568=2,20,IF(H568=3,10,IF(H568&lt;&gt;"",1,0)))))*2)</f>
        <v/>
      </c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14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>
        <f>IF(AND(C569="",OR(E569="",E569=0)),"",(IF(E569=1,30,IF(E569=2,20,IF(E569=3,10,IF(E569&lt;&gt;"",1,0))))+IF(F569=1,30,IF(F569=2,20,IF(F569=3,10,IF(F569&lt;&gt;"",1,0))))+IF(G569=1,30,IF(G569=2,20,IF(G569=3,10,IF(G569&lt;&gt;"",1,0))))+IF(H569=1,30,IF(H569=2,20,IF(H569=3,10,IF(H569&lt;&gt;"",1,0)))))*2)</f>
        <v/>
      </c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14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>
        <f>IF(AND(C570="",OR(E570="",E570=0)),"",(IF(E570=1,30,IF(E570=2,20,IF(E570=3,10,IF(E570&lt;&gt;"",1,0))))+IF(F570=1,30,IF(F570=2,20,IF(F570=3,10,IF(F570&lt;&gt;"",1,0))))+IF(G570=1,30,IF(G570=2,20,IF(G570=3,10,IF(G570&lt;&gt;"",1,0))))+IF(H570=1,30,IF(H570=2,20,IF(H570=3,10,IF(H570&lt;&gt;"",1,0)))))*2)</f>
        <v/>
      </c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14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>
        <f>IF(AND(C571="",OR(E571="",E571=0)),"",(IF(E571=1,30,IF(E571=2,20,IF(E571=3,10,IF(E571&lt;&gt;"",1,0))))+IF(F571=1,30,IF(F571=2,20,IF(F571=3,10,IF(F571&lt;&gt;"",1,0))))+IF(G571=1,30,IF(G571=2,20,IF(G571=3,10,IF(G571&lt;&gt;"",1,0))))+IF(H571=1,30,IF(H571=2,20,IF(H571=3,10,IF(H571&lt;&gt;"",1,0)))))*2)</f>
        <v/>
      </c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14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>
        <f>IF(AND(C572="",OR(E572="",E572=0)),"",(IF(E572=1,30,IF(E572=2,20,IF(E572=3,10,IF(E572&lt;&gt;"",1,0))))+IF(F572=1,30,IF(F572=2,20,IF(F572=3,10,IF(F572&lt;&gt;"",1,0))))+IF(G572=1,30,IF(G572=2,20,IF(G572=3,10,IF(G572&lt;&gt;"",1,0))))+IF(H572=1,30,IF(H572=2,20,IF(H572=3,10,IF(H572&lt;&gt;"",1,0)))))*2)</f>
        <v/>
      </c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14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>
        <f>IF(AND(C573="",OR(E573="",E573=0)),"",(IF(E573=1,30,IF(E573=2,20,IF(E573=3,10,IF(E573&lt;&gt;"",1,0))))+IF(F573=1,30,IF(F573=2,20,IF(F573=3,10,IF(F573&lt;&gt;"",1,0))))+IF(G573=1,30,IF(G573=2,20,IF(G573=3,10,IF(G573&lt;&gt;"",1,0))))+IF(H573=1,30,IF(H573=2,20,IF(H573=3,10,IF(H573&lt;&gt;"",1,0)))))*2)</f>
        <v/>
      </c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14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>
        <f>IF(AND(C574="",OR(E574="",E574=0)),"",(IF(E574=1,30,IF(E574=2,20,IF(E574=3,10,IF(E574&lt;&gt;"",1,0))))+IF(F574=1,30,IF(F574=2,20,IF(F574=3,10,IF(F574&lt;&gt;"",1,0))))+IF(G574=1,30,IF(G574=2,20,IF(G574=3,10,IF(G574&lt;&gt;"",1,0))))+IF(H574=1,30,IF(H574=2,20,IF(H574=3,10,IF(H574&lt;&gt;"",1,0)))))*2)</f>
        <v/>
      </c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14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>
        <f>IF(AND(C575="",OR(E575="",E575=0)),"",(IF(E575=1,30,IF(E575=2,20,IF(E575=3,10,IF(E575&lt;&gt;"",1,0))))+IF(F575=1,30,IF(F575=2,20,IF(F575=3,10,IF(F575&lt;&gt;"",1,0))))+IF(G575=1,30,IF(G575=2,20,IF(G575=3,10,IF(G575&lt;&gt;"",1,0))))+IF(H575=1,30,IF(H575=2,20,IF(H575=3,10,IF(H575&lt;&gt;"",1,0)))))*2)</f>
        <v/>
      </c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14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>
        <f>IF(AND(C576="",OR(E576="",E576=0)),"",(IF(E576=1,30,IF(E576=2,20,IF(E576=3,10,IF(E576&lt;&gt;"",1,0))))+IF(F576=1,30,IF(F576=2,20,IF(F576=3,10,IF(F576&lt;&gt;"",1,0))))+IF(G576=1,30,IF(G576=2,20,IF(G576=3,10,IF(G576&lt;&gt;"",1,0))))+IF(H576=1,30,IF(H576=2,20,IF(H576=3,10,IF(H576&lt;&gt;"",1,0)))))*2)</f>
        <v/>
      </c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14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>
        <f>IF(AND(C577="",OR(E577="",E577=0)),"",(IF(E577=1,30,IF(E577=2,20,IF(E577=3,10,IF(E577&lt;&gt;"",1,0))))+IF(F577=1,30,IF(F577=2,20,IF(F577=3,10,IF(F577&lt;&gt;"",1,0))))+IF(G577=1,30,IF(G577=2,20,IF(G577=3,10,IF(G577&lt;&gt;"",1,0))))+IF(H577=1,30,IF(H577=2,20,IF(H577=3,10,IF(H577&lt;&gt;"",1,0)))))*2)</f>
        <v/>
      </c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14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>
        <f>IF(AND(C578="",OR(E578="",E578=0)),"",(IF(E578=1,30,IF(E578=2,20,IF(E578=3,10,IF(E578&lt;&gt;"",1,0))))+IF(F578=1,30,IF(F578=2,20,IF(F578=3,10,IF(F578&lt;&gt;"",1,0))))+IF(G578=1,30,IF(G578=2,20,IF(G578=3,10,IF(G578&lt;&gt;"",1,0))))+IF(H578=1,30,IF(H578=2,20,IF(H578=3,10,IF(H578&lt;&gt;"",1,0)))))*2)</f>
        <v/>
      </c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14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>
        <f>IF(AND(C579="",OR(E579="",E579=0)),"",(IF(E579=1,30,IF(E579=2,20,IF(E579=3,10,IF(E579&lt;&gt;"",1,0))))+IF(F579=1,30,IF(F579=2,20,IF(F579=3,10,IF(F579&lt;&gt;"",1,0))))+IF(G579=1,30,IF(G579=2,20,IF(G579=3,10,IF(G579&lt;&gt;"",1,0))))+IF(H579=1,30,IF(H579=2,20,IF(H579=3,10,IF(H579&lt;&gt;"",1,0)))))*2)</f>
        <v/>
      </c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14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>
        <f>IF(AND(C580="",OR(E580="",E580=0)),"",(IF(E580=1,30,IF(E580=2,20,IF(E580=3,10,IF(E580&lt;&gt;"",1,0))))+IF(F580=1,30,IF(F580=2,20,IF(F580=3,10,IF(F580&lt;&gt;"",1,0))))+IF(G580=1,30,IF(G580=2,20,IF(G580=3,10,IF(G580&lt;&gt;"",1,0))))+IF(H580=1,30,IF(H580=2,20,IF(H580=3,10,IF(H580&lt;&gt;"",1,0)))))*2)</f>
        <v/>
      </c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14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>
        <f>IF(AND(C581="",OR(E581="",E581=0)),"",(IF(E581=1,30,IF(E581=2,20,IF(E581=3,10,IF(E581&lt;&gt;"",1,0))))+IF(F581=1,30,IF(F581=2,20,IF(F581=3,10,IF(F581&lt;&gt;"",1,0))))+IF(G581=1,30,IF(G581=2,20,IF(G581=3,10,IF(G581&lt;&gt;"",1,0))))+IF(H581=1,30,IF(H581=2,20,IF(H581=3,10,IF(H581&lt;&gt;"",1,0)))))*2)</f>
        <v/>
      </c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14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>
        <f>IF(AND(C582="",OR(E582="",E582=0)),"",(IF(E582=1,30,IF(E582=2,20,IF(E582=3,10,IF(E582&lt;&gt;"",1,0))))+IF(F582=1,30,IF(F582=2,20,IF(F582=3,10,IF(F582&lt;&gt;"",1,0))))+IF(G582=1,30,IF(G582=2,20,IF(G582=3,10,IF(G582&lt;&gt;"",1,0))))+IF(H582=1,30,IF(H582=2,20,IF(H582=3,10,IF(H582&lt;&gt;"",1,0)))))*2)</f>
        <v/>
      </c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14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>
        <f>IF(AND(C583="",OR(E583="",E583=0)),"",(IF(E583=1,30,IF(E583=2,20,IF(E583=3,10,IF(E583&lt;&gt;"",1,0))))+IF(F583=1,30,IF(F583=2,20,IF(F583=3,10,IF(F583&lt;&gt;"",1,0))))+IF(G583=1,30,IF(G583=2,20,IF(G583=3,10,IF(G583&lt;&gt;"",1,0))))+IF(H583=1,30,IF(H583=2,20,IF(H583=3,10,IF(H583&lt;&gt;"",1,0)))))*2)</f>
        <v/>
      </c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14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>
        <f>IF(AND(C584="",OR(E584="",E584=0)),"",(IF(E584=1,30,IF(E584=2,20,IF(E584=3,10,IF(E584&lt;&gt;"",1,0))))+IF(F584=1,30,IF(F584=2,20,IF(F584=3,10,IF(F584&lt;&gt;"",1,0))))+IF(G584=1,30,IF(G584=2,20,IF(G584=3,10,IF(G584&lt;&gt;"",1,0))))+IF(H584=1,30,IF(H584=2,20,IF(H584=3,10,IF(H584&lt;&gt;"",1,0)))))*2)</f>
        <v/>
      </c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14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>
        <f>IF(AND(C585="",OR(E585="",E585=0)),"",(IF(E585=1,30,IF(E585=2,20,IF(E585=3,10,IF(E585&lt;&gt;"",1,0))))+IF(F585=1,30,IF(F585=2,20,IF(F585=3,10,IF(F585&lt;&gt;"",1,0))))+IF(G585=1,30,IF(G585=2,20,IF(G585=3,10,IF(G585&lt;&gt;"",1,0))))+IF(H585=1,30,IF(H585=2,20,IF(H585=3,10,IF(H585&lt;&gt;"",1,0)))))*2)</f>
        <v/>
      </c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14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>
        <f>IF(AND(C586="",OR(E586="",E586=0)),"",(IF(E586=1,30,IF(E586=2,20,IF(E586=3,10,IF(E586&lt;&gt;"",1,0))))+IF(F586=1,30,IF(F586=2,20,IF(F586=3,10,IF(F586&lt;&gt;"",1,0))))+IF(G586=1,30,IF(G586=2,20,IF(G586=3,10,IF(G586&lt;&gt;"",1,0))))+IF(H586=1,30,IF(H586=2,20,IF(H586=3,10,IF(H586&lt;&gt;"",1,0)))))*2)</f>
        <v/>
      </c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14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>
        <f>IF(AND(C587="",OR(E587="",E587=0)),"",(IF(E587=1,30,IF(E587=2,20,IF(E587=3,10,IF(E587&lt;&gt;"",1,0))))+IF(F587=1,30,IF(F587=2,20,IF(F587=3,10,IF(F587&lt;&gt;"",1,0))))+IF(G587=1,30,IF(G587=2,20,IF(G587=3,10,IF(G587&lt;&gt;"",1,0))))+IF(H587=1,30,IF(H587=2,20,IF(H587=3,10,IF(H587&lt;&gt;"",1,0)))))*2)</f>
        <v/>
      </c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14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>
        <f>IF(AND(C588="",OR(E588="",E588=0)),"",(IF(E588=1,30,IF(E588=2,20,IF(E588=3,10,IF(E588&lt;&gt;"",1,0))))+IF(F588=1,30,IF(F588=2,20,IF(F588=3,10,IF(F588&lt;&gt;"",1,0))))+IF(G588=1,30,IF(G588=2,20,IF(G588=3,10,IF(G588&lt;&gt;"",1,0))))+IF(H588=1,30,IF(H588=2,20,IF(H588=3,10,IF(H588&lt;&gt;"",1,0)))))*2)</f>
        <v/>
      </c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14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>
        <f>IF(AND(C589="",OR(E589="",E589=0)),"",(IF(E589=1,30,IF(E589=2,20,IF(E589=3,10,IF(E589&lt;&gt;"",1,0))))+IF(F589=1,30,IF(F589=2,20,IF(F589=3,10,IF(F589&lt;&gt;"",1,0))))+IF(G589=1,30,IF(G589=2,20,IF(G589=3,10,IF(G589&lt;&gt;"",1,0))))+IF(H589=1,30,IF(H589=2,20,IF(H589=3,10,IF(H589&lt;&gt;"",1,0)))))*2)</f>
        <v/>
      </c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14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>
        <f>IF(AND(C590="",OR(E590="",E590=0)),"",(IF(E590=1,30,IF(E590=2,20,IF(E590=3,10,IF(E590&lt;&gt;"",1,0))))+IF(F590=1,30,IF(F590=2,20,IF(F590=3,10,IF(F590&lt;&gt;"",1,0))))+IF(G590=1,30,IF(G590=2,20,IF(G590=3,10,IF(G590&lt;&gt;"",1,0))))+IF(H590=1,30,IF(H590=2,20,IF(H590=3,10,IF(H590&lt;&gt;"",1,0)))))*2)</f>
        <v/>
      </c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14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>
        <f>IF(AND(C591="",OR(E591="",E591=0)),"",(IF(E591=1,30,IF(E591=2,20,IF(E591=3,10,IF(E591&lt;&gt;"",1,0))))+IF(F591=1,30,IF(F591=2,20,IF(F591=3,10,IF(F591&lt;&gt;"",1,0))))+IF(G591=1,30,IF(G591=2,20,IF(G591=3,10,IF(G591&lt;&gt;"",1,0))))+IF(H591=1,30,IF(H591=2,20,IF(H591=3,10,IF(H591&lt;&gt;"",1,0)))))*2)</f>
        <v/>
      </c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14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>
        <f>IF(AND(C592="",OR(E592="",E592=0)),"",(IF(E592=1,30,IF(E592=2,20,IF(E592=3,10,IF(E592&lt;&gt;"",1,0))))+IF(F592=1,30,IF(F592=2,20,IF(F592=3,10,IF(F592&lt;&gt;"",1,0))))+IF(G592=1,30,IF(G592=2,20,IF(G592=3,10,IF(G592&lt;&gt;"",1,0))))+IF(H592=1,30,IF(H592=2,20,IF(H592=3,10,IF(H592&lt;&gt;"",1,0)))))*2)</f>
        <v/>
      </c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14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>
        <f>IF(AND(C593="",OR(E593="",E593=0)),"",(IF(E593=1,30,IF(E593=2,20,IF(E593=3,10,IF(E593&lt;&gt;"",1,0))))+IF(F593=1,30,IF(F593=2,20,IF(F593=3,10,IF(F593&lt;&gt;"",1,0))))+IF(G593=1,30,IF(G593=2,20,IF(G593=3,10,IF(G593&lt;&gt;"",1,0))))+IF(H593=1,30,IF(H593=2,20,IF(H593=3,10,IF(H593&lt;&gt;"",1,0)))))*2)</f>
        <v/>
      </c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14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>
        <f>IF(AND(C594="",OR(E594="",E594=0)),"",(IF(E594=1,30,IF(E594=2,20,IF(E594=3,10,IF(E594&lt;&gt;"",1,0))))+IF(F594=1,30,IF(F594=2,20,IF(F594=3,10,IF(F594&lt;&gt;"",1,0))))+IF(G594=1,30,IF(G594=2,20,IF(G594=3,10,IF(G594&lt;&gt;"",1,0))))+IF(H594=1,30,IF(H594=2,20,IF(H594=3,10,IF(H594&lt;&gt;"",1,0)))))*2)</f>
        <v/>
      </c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14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>
        <f>IF(AND(C595="",OR(E595="",E595=0)),"",(IF(E595=1,30,IF(E595=2,20,IF(E595=3,10,IF(E595&lt;&gt;"",1,0))))+IF(F595=1,30,IF(F595=2,20,IF(F595=3,10,IF(F595&lt;&gt;"",1,0))))+IF(G595=1,30,IF(G595=2,20,IF(G595=3,10,IF(G595&lt;&gt;"",1,0))))+IF(H595=1,30,IF(H595=2,20,IF(H595=3,10,IF(H595&lt;&gt;"",1,0)))))*2)</f>
        <v/>
      </c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14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>
        <f>IF(AND(C596="",OR(E596="",E596=0)),"",(IF(E596=1,30,IF(E596=2,20,IF(E596=3,10,IF(E596&lt;&gt;"",1,0))))+IF(F596=1,30,IF(F596=2,20,IF(F596=3,10,IF(F596&lt;&gt;"",1,0))))+IF(G596=1,30,IF(G596=2,20,IF(G596=3,10,IF(G596&lt;&gt;"",1,0))))+IF(H596=1,30,IF(H596=2,20,IF(H596=3,10,IF(H596&lt;&gt;"",1,0)))))*2)</f>
        <v/>
      </c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14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>
        <f>IF(AND(C597="",OR(E597="",E597=0)),"",(IF(E597=1,30,IF(E597=2,20,IF(E597=3,10,IF(E597&lt;&gt;"",1,0))))+IF(F597=1,30,IF(F597=2,20,IF(F597=3,10,IF(F597&lt;&gt;"",1,0))))+IF(G597=1,30,IF(G597=2,20,IF(G597=3,10,IF(G597&lt;&gt;"",1,0))))+IF(H597=1,30,IF(H597=2,20,IF(H597=3,10,IF(H597&lt;&gt;"",1,0)))))*2)</f>
        <v/>
      </c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14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>
        <f>IF(AND(C598="",OR(E598="",E598=0)),"",(IF(E598=1,30,IF(E598=2,20,IF(E598=3,10,IF(E598&lt;&gt;"",1,0))))+IF(F598=1,30,IF(F598=2,20,IF(F598=3,10,IF(F598&lt;&gt;"",1,0))))+IF(G598=1,30,IF(G598=2,20,IF(G598=3,10,IF(G598&lt;&gt;"",1,0))))+IF(H598=1,30,IF(H598=2,20,IF(H598=3,10,IF(H598&lt;&gt;"",1,0)))))*2)</f>
        <v/>
      </c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14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>
        <f>IF(AND(C599="",OR(E599="",E599=0)),"",(IF(E599=1,30,IF(E599=2,20,IF(E599=3,10,IF(E599&lt;&gt;"",1,0))))+IF(F599=1,30,IF(F599=2,20,IF(F599=3,10,IF(F599&lt;&gt;"",1,0))))+IF(G599=1,30,IF(G599=2,20,IF(G599=3,10,IF(G599&lt;&gt;"",1,0))))+IF(H599=1,30,IF(H599=2,20,IF(H599=3,10,IF(H599&lt;&gt;"",1,0)))))*2)</f>
        <v/>
      </c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14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>
        <f>IF(AND(C600="",OR(E600="",E600=0)),"",(IF(E600=1,30,IF(E600=2,20,IF(E600=3,10,IF(E600&lt;&gt;"",1,0))))+IF(F600=1,30,IF(F600=2,20,IF(F600=3,10,IF(F600&lt;&gt;"",1,0))))+IF(G600=1,30,IF(G600=2,20,IF(G600=3,10,IF(G600&lt;&gt;"",1,0))))+IF(H600=1,30,IF(H600=2,20,IF(H600=3,10,IF(H600&lt;&gt;"",1,0)))))*2)</f>
        <v/>
      </c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14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>
        <f>IF(AND(C601="",OR(E601="",E601=0)),"",(IF(E601=1,30,IF(E601=2,20,IF(E601=3,10,IF(E601&lt;&gt;"",1,0))))+IF(F601=1,30,IF(F601=2,20,IF(F601=3,10,IF(F601&lt;&gt;"",1,0))))+IF(G601=1,30,IF(G601=2,20,IF(G601=3,10,IF(G601&lt;&gt;"",1,0))))+IF(H601=1,30,IF(H601=2,20,IF(H601=3,10,IF(H601&lt;&gt;"",1,0)))))*2)</f>
        <v/>
      </c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14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>
        <f>IF(AND(C602="",OR(E602="",E602=0)),"",(IF(E602=1,30,IF(E602=2,20,IF(E602=3,10,IF(E602&lt;&gt;"",1,0))))+IF(F602=1,30,IF(F602=2,20,IF(F602=3,10,IF(F602&lt;&gt;"",1,0))))+IF(G602=1,30,IF(G602=2,20,IF(G602=3,10,IF(G602&lt;&gt;"",1,0))))+IF(H602=1,30,IF(H602=2,20,IF(H602=3,10,IF(H602&lt;&gt;"",1,0)))))*2)</f>
        <v/>
      </c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14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>
        <f>IF(AND(C603="",OR(E603="",E603=0)),"",(IF(E603=1,30,IF(E603=2,20,IF(E603=3,10,IF(E603&lt;&gt;"",1,0))))+IF(F603=1,30,IF(F603=2,20,IF(F603=3,10,IF(F603&lt;&gt;"",1,0))))+IF(G603=1,30,IF(G603=2,20,IF(G603=3,10,IF(G603&lt;&gt;"",1,0))))+IF(H603=1,30,IF(H603=2,20,IF(H603=3,10,IF(H603&lt;&gt;"",1,0)))))*2)</f>
        <v/>
      </c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14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>
        <f>IF(AND(C604="",OR(E604="",E604=0)),"",(IF(E604=1,30,IF(E604=2,20,IF(E604=3,10,IF(E604&lt;&gt;"",1,0))))+IF(F604=1,30,IF(F604=2,20,IF(F604=3,10,IF(F604&lt;&gt;"",1,0))))+IF(G604=1,30,IF(G604=2,20,IF(G604=3,10,IF(G604&lt;&gt;"",1,0))))+IF(H604=1,30,IF(H604=2,20,IF(H604=3,10,IF(H604&lt;&gt;"",1,0)))))*2)</f>
        <v/>
      </c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14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>
        <f>IF(AND(C605="",OR(E605="",E605=0)),"",(IF(E605=1,30,IF(E605=2,20,IF(E605=3,10,IF(E605&lt;&gt;"",1,0))))+IF(F605=1,30,IF(F605=2,20,IF(F605=3,10,IF(F605&lt;&gt;"",1,0))))+IF(G605=1,30,IF(G605=2,20,IF(G605=3,10,IF(G605&lt;&gt;"",1,0))))+IF(H605=1,30,IF(H605=2,20,IF(H605=3,10,IF(H605&lt;&gt;"",1,0)))))*2)</f>
        <v/>
      </c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14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>
        <f>IF(AND(C606="",OR(E606="",E606=0)),"",(IF(E606=1,30,IF(E606=2,20,IF(E606=3,10,IF(E606&lt;&gt;"",1,0))))+IF(F606=1,30,IF(F606=2,20,IF(F606=3,10,IF(F606&lt;&gt;"",1,0))))+IF(G606=1,30,IF(G606=2,20,IF(G606=3,10,IF(G606&lt;&gt;"",1,0))))+IF(H606=1,30,IF(H606=2,20,IF(H606=3,10,IF(H606&lt;&gt;"",1,0)))))*2)</f>
        <v/>
      </c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14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>
        <f>IF(AND(C607="",OR(E607="",E607=0)),"",(IF(E607=1,30,IF(E607=2,20,IF(E607=3,10,IF(E607&lt;&gt;"",1,0))))+IF(F607=1,30,IF(F607=2,20,IF(F607=3,10,IF(F607&lt;&gt;"",1,0))))+IF(G607=1,30,IF(G607=2,20,IF(G607=3,10,IF(G607&lt;&gt;"",1,0))))+IF(H607=1,30,IF(H607=2,20,IF(H607=3,10,IF(H607&lt;&gt;"",1,0)))))*2)</f>
        <v/>
      </c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14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>
        <f>IF(AND(C608="",OR(E608="",E608=0)),"",(IF(E608=1,30,IF(E608=2,20,IF(E608=3,10,IF(E608&lt;&gt;"",1,0))))+IF(F608=1,30,IF(F608=2,20,IF(F608=3,10,IF(F608&lt;&gt;"",1,0))))+IF(G608=1,30,IF(G608=2,20,IF(G608=3,10,IF(G608&lt;&gt;"",1,0))))+IF(H608=1,30,IF(H608=2,20,IF(H608=3,10,IF(H608&lt;&gt;"",1,0)))))*2)</f>
        <v/>
      </c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14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>
        <f>IF(AND(C609="",OR(E609="",E609=0)),"",(IF(E609=1,30,IF(E609=2,20,IF(E609=3,10,IF(E609&lt;&gt;"",1,0))))+IF(F609=1,30,IF(F609=2,20,IF(F609=3,10,IF(F609&lt;&gt;"",1,0))))+IF(G609=1,30,IF(G609=2,20,IF(G609=3,10,IF(G609&lt;&gt;"",1,0))))+IF(H609=1,30,IF(H609=2,20,IF(H609=3,10,IF(H609&lt;&gt;"",1,0)))))*2)</f>
        <v/>
      </c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14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>
        <f>IF(AND(C610="",OR(E610="",E610=0)),"",(IF(E610=1,30,IF(E610=2,20,IF(E610=3,10,IF(E610&lt;&gt;"",1,0))))+IF(F610=1,30,IF(F610=2,20,IF(F610=3,10,IF(F610&lt;&gt;"",1,0))))+IF(G610=1,30,IF(G610=2,20,IF(G610=3,10,IF(G610&lt;&gt;"",1,0))))+IF(H610=1,30,IF(H610=2,20,IF(H610=3,10,IF(H610&lt;&gt;"",1,0)))))*2)</f>
        <v/>
      </c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14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>
        <f>IF(AND(C611="",OR(E611="",E611=0)),"",(IF(E611=1,30,IF(E611=2,20,IF(E611=3,10,IF(E611&lt;&gt;"",1,0))))+IF(F611=1,30,IF(F611=2,20,IF(F611=3,10,IF(F611&lt;&gt;"",1,0))))+IF(G611=1,30,IF(G611=2,20,IF(G611=3,10,IF(G611&lt;&gt;"",1,0))))+IF(H611=1,30,IF(H611=2,20,IF(H611=3,10,IF(H611&lt;&gt;"",1,0)))))*2)</f>
        <v/>
      </c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14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>
        <f>IF(AND(C612="",OR(E612="",E612=0)),"",(IF(E612=1,30,IF(E612=2,20,IF(E612=3,10,IF(E612&lt;&gt;"",1,0))))+IF(F612=1,30,IF(F612=2,20,IF(F612=3,10,IF(F612&lt;&gt;"",1,0))))+IF(G612=1,30,IF(G612=2,20,IF(G612=3,10,IF(G612&lt;&gt;"",1,0))))+IF(H612=1,30,IF(H612=2,20,IF(H612=3,10,IF(H612&lt;&gt;"",1,0)))))*2)</f>
        <v/>
      </c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14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>
        <f>IF(AND(C613="",OR(E613="",E613=0)),"",(IF(E613=1,30,IF(E613=2,20,IF(E613=3,10,IF(E613&lt;&gt;"",1,0))))+IF(F613=1,30,IF(F613=2,20,IF(F613=3,10,IF(F613&lt;&gt;"",1,0))))+IF(G613=1,30,IF(G613=2,20,IF(G613=3,10,IF(G613&lt;&gt;"",1,0))))+IF(H613=1,30,IF(H613=2,20,IF(H613=3,10,IF(H613&lt;&gt;"",1,0)))))*2)</f>
        <v/>
      </c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14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>
        <f>IF(AND(C614="",OR(E614="",E614=0)),"",(IF(E614=1,30,IF(E614=2,20,IF(E614=3,10,IF(E614&lt;&gt;"",1,0))))+IF(F614=1,30,IF(F614=2,20,IF(F614=3,10,IF(F614&lt;&gt;"",1,0))))+IF(G614=1,30,IF(G614=2,20,IF(G614=3,10,IF(G614&lt;&gt;"",1,0))))+IF(H614=1,30,IF(H614=2,20,IF(H614=3,10,IF(H614&lt;&gt;"",1,0)))))*2)</f>
        <v/>
      </c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14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>
        <f>IF(AND(C615="",OR(E615="",E615=0)),"",(IF(E615=1,30,IF(E615=2,20,IF(E615=3,10,IF(E615&lt;&gt;"",1,0))))+IF(F615=1,30,IF(F615=2,20,IF(F615=3,10,IF(F615&lt;&gt;"",1,0))))+IF(G615=1,30,IF(G615=2,20,IF(G615=3,10,IF(G615&lt;&gt;"",1,0))))+IF(H615=1,30,IF(H615=2,20,IF(H615=3,10,IF(H615&lt;&gt;"",1,0)))))*2)</f>
        <v/>
      </c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14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>
        <f>IF(AND(C616="",OR(E616="",E616=0)),"",(IF(E616=1,30,IF(E616=2,20,IF(E616=3,10,IF(E616&lt;&gt;"",1,0))))+IF(F616=1,30,IF(F616=2,20,IF(F616=3,10,IF(F616&lt;&gt;"",1,0))))+IF(G616=1,30,IF(G616=2,20,IF(G616=3,10,IF(G616&lt;&gt;"",1,0))))+IF(H616=1,30,IF(H616=2,20,IF(H616=3,10,IF(H616&lt;&gt;"",1,0)))))*2)</f>
        <v/>
      </c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14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>
        <f>IF(AND(C617="",OR(E617="",E617=0)),"",(IF(E617=1,30,IF(E617=2,20,IF(E617=3,10,IF(E617&lt;&gt;"",1,0))))+IF(F617=1,30,IF(F617=2,20,IF(F617=3,10,IF(F617&lt;&gt;"",1,0))))+IF(G617=1,30,IF(G617=2,20,IF(G617=3,10,IF(G617&lt;&gt;"",1,0))))+IF(H617=1,30,IF(H617=2,20,IF(H617=3,10,IF(H617&lt;&gt;"",1,0)))))*2)</f>
        <v/>
      </c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14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>
        <f>IF(AND(C618="",OR(E618="",E618=0)),"",(IF(E618=1,30,IF(E618=2,20,IF(E618=3,10,IF(E618&lt;&gt;"",1,0))))+IF(F618=1,30,IF(F618=2,20,IF(F618=3,10,IF(F618&lt;&gt;"",1,0))))+IF(G618=1,30,IF(G618=2,20,IF(G618=3,10,IF(G618&lt;&gt;"",1,0))))+IF(H618=1,30,IF(H618=2,20,IF(H618=3,10,IF(H618&lt;&gt;"",1,0)))))*2)</f>
        <v/>
      </c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14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>
        <f>IF(AND(C619="",OR(E619="",E619=0)),"",(IF(E619=1,30,IF(E619=2,20,IF(E619=3,10,IF(E619&lt;&gt;"",1,0))))+IF(F619=1,30,IF(F619=2,20,IF(F619=3,10,IF(F619&lt;&gt;"",1,0))))+IF(G619=1,30,IF(G619=2,20,IF(G619=3,10,IF(G619&lt;&gt;"",1,0))))+IF(H619=1,30,IF(H619=2,20,IF(H619=3,10,IF(H619&lt;&gt;"",1,0)))))*2)</f>
        <v/>
      </c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14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>
        <f>IF(AND(C620="",OR(E620="",E620=0)),"",(IF(E620=1,30,IF(E620=2,20,IF(E620=3,10,IF(E620&lt;&gt;"",1,0))))+IF(F620=1,30,IF(F620=2,20,IF(F620=3,10,IF(F620&lt;&gt;"",1,0))))+IF(G620=1,30,IF(G620=2,20,IF(G620=3,10,IF(G620&lt;&gt;"",1,0))))+IF(H620=1,30,IF(H620=2,20,IF(H620=3,10,IF(H620&lt;&gt;"",1,0)))))*2)</f>
        <v/>
      </c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14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>
        <f>IF(AND(C621="",OR(E621="",E621=0)),"",(IF(E621=1,30,IF(E621=2,20,IF(E621=3,10,IF(E621&lt;&gt;"",1,0))))+IF(F621=1,30,IF(F621=2,20,IF(F621=3,10,IF(F621&lt;&gt;"",1,0))))+IF(G621=1,30,IF(G621=2,20,IF(G621=3,10,IF(G621&lt;&gt;"",1,0))))+IF(H621=1,30,IF(H621=2,20,IF(H621=3,10,IF(H621&lt;&gt;"",1,0)))))*2)</f>
        <v/>
      </c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14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>
        <f>IF(AND(C622="",OR(E622="",E622=0)),"",(IF(E622=1,30,IF(E622=2,20,IF(E622=3,10,IF(E622&lt;&gt;"",1,0))))+IF(F622=1,30,IF(F622=2,20,IF(F622=3,10,IF(F622&lt;&gt;"",1,0))))+IF(G622=1,30,IF(G622=2,20,IF(G622=3,10,IF(G622&lt;&gt;"",1,0))))+IF(H622=1,30,IF(H622=2,20,IF(H622=3,10,IF(H622&lt;&gt;"",1,0)))))*2)</f>
        <v/>
      </c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14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>
        <f>IF(AND(C623="",OR(E623="",E623=0)),"",(IF(E623=1,30,IF(E623=2,20,IF(E623=3,10,IF(E623&lt;&gt;"",1,0))))+IF(F623=1,30,IF(F623=2,20,IF(F623=3,10,IF(F623&lt;&gt;"",1,0))))+IF(G623=1,30,IF(G623=2,20,IF(G623=3,10,IF(G623&lt;&gt;"",1,0))))+IF(H623=1,30,IF(H623=2,20,IF(H623=3,10,IF(H623&lt;&gt;"",1,0)))))*2)</f>
        <v/>
      </c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14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>
        <f>IF(AND(C624="",OR(E624="",E624=0)),"",(IF(E624=1,30,IF(E624=2,20,IF(E624=3,10,IF(E624&lt;&gt;"",1,0))))+IF(F624=1,30,IF(F624=2,20,IF(F624=3,10,IF(F624&lt;&gt;"",1,0))))+IF(G624=1,30,IF(G624=2,20,IF(G624=3,10,IF(G624&lt;&gt;"",1,0))))+IF(H624=1,30,IF(H624=2,20,IF(H624=3,10,IF(H624&lt;&gt;"",1,0)))))*2)</f>
        <v/>
      </c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14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>
        <f>IF(AND(C625="",OR(E625="",E625=0)),"",(IF(E625=1,30,IF(E625=2,20,IF(E625=3,10,IF(E625&lt;&gt;"",1,0))))+IF(F625=1,30,IF(F625=2,20,IF(F625=3,10,IF(F625&lt;&gt;"",1,0))))+IF(G625=1,30,IF(G625=2,20,IF(G625=3,10,IF(G625&lt;&gt;"",1,0))))+IF(H625=1,30,IF(H625=2,20,IF(H625=3,10,IF(H625&lt;&gt;"",1,0)))))*2)</f>
        <v/>
      </c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14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>
        <f>IF(AND(C626="",OR(E626="",E626=0)),"",(IF(E626=1,30,IF(E626=2,20,IF(E626=3,10,IF(E626&lt;&gt;"",1,0))))+IF(F626=1,30,IF(F626=2,20,IF(F626=3,10,IF(F626&lt;&gt;"",1,0))))+IF(G626=1,30,IF(G626=2,20,IF(G626=3,10,IF(G626&lt;&gt;"",1,0))))+IF(H626=1,30,IF(H626=2,20,IF(H626=3,10,IF(H626&lt;&gt;"",1,0)))))*2)</f>
        <v/>
      </c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14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>
        <f>IF(AND(C627="",OR(E627="",E627=0)),"",(IF(E627=1,30,IF(E627=2,20,IF(E627=3,10,IF(E627&lt;&gt;"",1,0))))+IF(F627=1,30,IF(F627=2,20,IF(F627=3,10,IF(F627&lt;&gt;"",1,0))))+IF(G627=1,30,IF(G627=2,20,IF(G627=3,10,IF(G627&lt;&gt;"",1,0))))+IF(H627=1,30,IF(H627=2,20,IF(H627=3,10,IF(H627&lt;&gt;"",1,0)))))*2)</f>
        <v/>
      </c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14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>
        <f>IF(AND(C628="",OR(E628="",E628=0)),"",(IF(E628=1,30,IF(E628=2,20,IF(E628=3,10,IF(E628&lt;&gt;"",1,0))))+IF(F628=1,30,IF(F628=2,20,IF(F628=3,10,IF(F628&lt;&gt;"",1,0))))+IF(G628=1,30,IF(G628=2,20,IF(G628=3,10,IF(G628&lt;&gt;"",1,0))))+IF(H628=1,30,IF(H628=2,20,IF(H628=3,10,IF(H628&lt;&gt;"",1,0)))))*2)</f>
        <v/>
      </c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14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>
        <f>IF(AND(C629="",OR(E629="",E629=0)),"",(IF(E629=1,30,IF(E629=2,20,IF(E629=3,10,IF(E629&lt;&gt;"",1,0))))+IF(F629=1,30,IF(F629=2,20,IF(F629=3,10,IF(F629&lt;&gt;"",1,0))))+IF(G629=1,30,IF(G629=2,20,IF(G629=3,10,IF(G629&lt;&gt;"",1,0))))+IF(H629=1,30,IF(H629=2,20,IF(H629=3,10,IF(H629&lt;&gt;"",1,0)))))*2)</f>
        <v/>
      </c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14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>
        <f>IF(AND(C630="",OR(E630="",E630=0)),"",(IF(E630=1,30,IF(E630=2,20,IF(E630=3,10,IF(E630&lt;&gt;"",1,0))))+IF(F630=1,30,IF(F630=2,20,IF(F630=3,10,IF(F630&lt;&gt;"",1,0))))+IF(G630=1,30,IF(G630=2,20,IF(G630=3,10,IF(G630&lt;&gt;"",1,0))))+IF(H630=1,30,IF(H630=2,20,IF(H630=3,10,IF(H630&lt;&gt;"",1,0)))))*2)</f>
        <v/>
      </c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14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>
        <f>IF(AND(C631="",OR(E631="",E631=0)),"",(IF(E631=1,30,IF(E631=2,20,IF(E631=3,10,IF(E631&lt;&gt;"",1,0))))+IF(F631=1,30,IF(F631=2,20,IF(F631=3,10,IF(F631&lt;&gt;"",1,0))))+IF(G631=1,30,IF(G631=2,20,IF(G631=3,10,IF(G631&lt;&gt;"",1,0))))+IF(H631=1,30,IF(H631=2,20,IF(H631=3,10,IF(H631&lt;&gt;"",1,0)))))*2)</f>
        <v/>
      </c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14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>
        <f>IF(AND(C632="",OR(E632="",E632=0)),"",(IF(E632=1,30,IF(E632=2,20,IF(E632=3,10,IF(E632&lt;&gt;"",1,0))))+IF(F632=1,30,IF(F632=2,20,IF(F632=3,10,IF(F632&lt;&gt;"",1,0))))+IF(G632=1,30,IF(G632=2,20,IF(G632=3,10,IF(G632&lt;&gt;"",1,0))))+IF(H632=1,30,IF(H632=2,20,IF(H632=3,10,IF(H632&lt;&gt;"",1,0)))))*2)</f>
        <v/>
      </c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14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>
        <f>IF(AND(C633="",OR(E633="",E633=0)),"",(IF(E633=1,30,IF(E633=2,20,IF(E633=3,10,IF(E633&lt;&gt;"",1,0))))+IF(F633=1,30,IF(F633=2,20,IF(F633=3,10,IF(F633&lt;&gt;"",1,0))))+IF(G633=1,30,IF(G633=2,20,IF(G633=3,10,IF(G633&lt;&gt;"",1,0))))+IF(H633=1,30,IF(H633=2,20,IF(H633=3,10,IF(H633&lt;&gt;"",1,0)))))*2)</f>
        <v/>
      </c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14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>
        <f>IF(AND(C634="",OR(E634="",E634=0)),"",(IF(E634=1,30,IF(E634=2,20,IF(E634=3,10,IF(E634&lt;&gt;"",1,0))))+IF(F634=1,30,IF(F634=2,20,IF(F634=3,10,IF(F634&lt;&gt;"",1,0))))+IF(G634=1,30,IF(G634=2,20,IF(G634=3,10,IF(G634&lt;&gt;"",1,0))))+IF(H634=1,30,IF(H634=2,20,IF(H634=3,10,IF(H634&lt;&gt;"",1,0)))))*2)</f>
        <v/>
      </c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14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>
        <f>IF(AND(C635="",OR(E635="",E635=0)),"",(IF(E635=1,30,IF(E635=2,20,IF(E635=3,10,IF(E635&lt;&gt;"",1,0))))+IF(F635=1,30,IF(F635=2,20,IF(F635=3,10,IF(F635&lt;&gt;"",1,0))))+IF(G635=1,30,IF(G635=2,20,IF(G635=3,10,IF(G635&lt;&gt;"",1,0))))+IF(H635=1,30,IF(H635=2,20,IF(H635=3,10,IF(H635&lt;&gt;"",1,0)))))*2)</f>
        <v/>
      </c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14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>
        <f>IF(AND(C636="",OR(E636="",E636=0)),"",(IF(E636=1,30,IF(E636=2,20,IF(E636=3,10,IF(E636&lt;&gt;"",1,0))))+IF(F636=1,30,IF(F636=2,20,IF(F636=3,10,IF(F636&lt;&gt;"",1,0))))+IF(G636=1,30,IF(G636=2,20,IF(G636=3,10,IF(G636&lt;&gt;"",1,0))))+IF(H636=1,30,IF(H636=2,20,IF(H636=3,10,IF(H636&lt;&gt;"",1,0)))))*2)</f>
        <v/>
      </c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14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>
        <f>IF(AND(C637="",OR(E637="",E637=0)),"",(IF(E637=1,30,IF(E637=2,20,IF(E637=3,10,IF(E637&lt;&gt;"",1,0))))+IF(F637=1,30,IF(F637=2,20,IF(F637=3,10,IF(F637&lt;&gt;"",1,0))))+IF(G637=1,30,IF(G637=2,20,IF(G637=3,10,IF(G637&lt;&gt;"",1,0))))+IF(H637=1,30,IF(H637=2,20,IF(H637=3,10,IF(H637&lt;&gt;"",1,0)))))*2)</f>
        <v/>
      </c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14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>
        <f>IF(AND(C638="",OR(E638="",E638=0)),"",(IF(E638=1,30,IF(E638=2,20,IF(E638=3,10,IF(E638&lt;&gt;"",1,0))))+IF(F638=1,30,IF(F638=2,20,IF(F638=3,10,IF(F638&lt;&gt;"",1,0))))+IF(G638=1,30,IF(G638=2,20,IF(G638=3,10,IF(G638&lt;&gt;"",1,0))))+IF(H638=1,30,IF(H638=2,20,IF(H638=3,10,IF(H638&lt;&gt;"",1,0)))))*2)</f>
        <v/>
      </c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14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>
        <f>IF(AND(C639="",OR(E639="",E639=0)),"",(IF(E639=1,30,IF(E639=2,20,IF(E639=3,10,IF(E639&lt;&gt;"",1,0))))+IF(F639=1,30,IF(F639=2,20,IF(F639=3,10,IF(F639&lt;&gt;"",1,0))))+IF(G639=1,30,IF(G639=2,20,IF(G639=3,10,IF(G639&lt;&gt;"",1,0))))+IF(H639=1,30,IF(H639=2,20,IF(H639=3,10,IF(H639&lt;&gt;"",1,0)))))*2)</f>
        <v/>
      </c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14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>
        <f>IF(AND(C640="",OR(E640="",E640=0)),"",(IF(E640=1,30,IF(E640=2,20,IF(E640=3,10,IF(E640&lt;&gt;"",1,0))))+IF(F640=1,30,IF(F640=2,20,IF(F640=3,10,IF(F640&lt;&gt;"",1,0))))+IF(G640=1,30,IF(G640=2,20,IF(G640=3,10,IF(G640&lt;&gt;"",1,0))))+IF(H640=1,30,IF(H640=2,20,IF(H640=3,10,IF(H640&lt;&gt;"",1,0)))))*2)</f>
        <v/>
      </c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14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>
        <f>IF(AND(C641="",OR(E641="",E641=0)),"",(IF(E641=1,30,IF(E641=2,20,IF(E641=3,10,IF(E641&lt;&gt;"",1,0))))+IF(F641=1,30,IF(F641=2,20,IF(F641=3,10,IF(F641&lt;&gt;"",1,0))))+IF(G641=1,30,IF(G641=2,20,IF(G641=3,10,IF(G641&lt;&gt;"",1,0))))+IF(H641=1,30,IF(H641=2,20,IF(H641=3,10,IF(H641&lt;&gt;"",1,0)))))*2)</f>
        <v/>
      </c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14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>
        <f>IF(AND(C642="",OR(E642="",E642=0)),"",(IF(E642=1,30,IF(E642=2,20,IF(E642=3,10,IF(E642&lt;&gt;"",1,0))))+IF(F642=1,30,IF(F642=2,20,IF(F642=3,10,IF(F642&lt;&gt;"",1,0))))+IF(G642=1,30,IF(G642=2,20,IF(G642=3,10,IF(G642&lt;&gt;"",1,0))))+IF(H642=1,30,IF(H642=2,20,IF(H642=3,10,IF(H642&lt;&gt;"",1,0)))))*2)</f>
        <v/>
      </c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1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>
        <f>IF(AND(C643="",OR(E643="",E643=0)),"",(IF(E643=1,30,IF(E643=2,20,IF(E643=3,10,IF(E643&lt;&gt;"",1,0))))+IF(F643=1,30,IF(F643=2,20,IF(F643=3,10,IF(F643&lt;&gt;"",1,0))))+IF(G643=1,30,IF(G643=2,20,IF(G643=3,10,IF(G643&lt;&gt;"",1,0))))+IF(H643=1,30,IF(H643=2,20,IF(H643=3,10,IF(H643&lt;&gt;"",1,0)))))*2)</f>
        <v/>
      </c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14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>
        <f>IF(AND(C644="",OR(E644="",E644=0)),"",(IF(E644=1,30,IF(E644=2,20,IF(E644=3,10,IF(E644&lt;&gt;"",1,0))))+IF(F644=1,30,IF(F644=2,20,IF(F644=3,10,IF(F644&lt;&gt;"",1,0))))+IF(G644=1,30,IF(G644=2,20,IF(G644=3,10,IF(G644&lt;&gt;"",1,0))))+IF(H644=1,30,IF(H644=2,20,IF(H644=3,10,IF(H644&lt;&gt;"",1,0)))))*2)</f>
        <v/>
      </c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14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>
        <f>IF(AND(C645="",OR(E645="",E645=0)),"",(IF(E645=1,30,IF(E645=2,20,IF(E645=3,10,IF(E645&lt;&gt;"",1,0))))+IF(F645=1,30,IF(F645=2,20,IF(F645=3,10,IF(F645&lt;&gt;"",1,0))))+IF(G645=1,30,IF(G645=2,20,IF(G645=3,10,IF(G645&lt;&gt;"",1,0))))+IF(H645=1,30,IF(H645=2,20,IF(H645=3,10,IF(H645&lt;&gt;"",1,0)))))*2)</f>
        <v/>
      </c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14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>
        <f>IF(AND(C646="",OR(E646="",E646=0)),"",(IF(E646=1,30,IF(E646=2,20,IF(E646=3,10,IF(E646&lt;&gt;"",1,0))))+IF(F646=1,30,IF(F646=2,20,IF(F646=3,10,IF(F646&lt;&gt;"",1,0))))+IF(G646=1,30,IF(G646=2,20,IF(G646=3,10,IF(G646&lt;&gt;"",1,0))))+IF(H646=1,30,IF(H646=2,20,IF(H646=3,10,IF(H646&lt;&gt;"",1,0)))))*2)</f>
        <v/>
      </c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14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>
        <f>IF(AND(C647="",OR(E647="",E647=0)),"",(IF(E647=1,30,IF(E647=2,20,IF(E647=3,10,IF(E647&lt;&gt;"",1,0))))+IF(F647=1,30,IF(F647=2,20,IF(F647=3,10,IF(F647&lt;&gt;"",1,0))))+IF(G647=1,30,IF(G647=2,20,IF(G647=3,10,IF(G647&lt;&gt;"",1,0))))+IF(H647=1,30,IF(H647=2,20,IF(H647=3,10,IF(H647&lt;&gt;"",1,0)))))*2)</f>
        <v/>
      </c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14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>
        <f>IF(AND(C648="",OR(E648="",E648=0)),"",(IF(E648=1,30,IF(E648=2,20,IF(E648=3,10,IF(E648&lt;&gt;"",1,0))))+IF(F648=1,30,IF(F648=2,20,IF(F648=3,10,IF(F648&lt;&gt;"",1,0))))+IF(G648=1,30,IF(G648=2,20,IF(G648=3,10,IF(G648&lt;&gt;"",1,0))))+IF(H648=1,30,IF(H648=2,20,IF(H648=3,10,IF(H648&lt;&gt;"",1,0)))))*2)</f>
        <v/>
      </c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14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>
        <f>IF(AND(C649="",OR(E649="",E649=0)),"",(IF(E649=1,30,IF(E649=2,20,IF(E649=3,10,IF(E649&lt;&gt;"",1,0))))+IF(F649=1,30,IF(F649=2,20,IF(F649=3,10,IF(F649&lt;&gt;"",1,0))))+IF(G649=1,30,IF(G649=2,20,IF(G649=3,10,IF(G649&lt;&gt;"",1,0))))+IF(H649=1,30,IF(H649=2,20,IF(H649=3,10,IF(H649&lt;&gt;"",1,0)))))*2)</f>
        <v/>
      </c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14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>
        <f>IF(AND(C650="",OR(E650="",E650=0)),"",(IF(E650=1,30,IF(E650=2,20,IF(E650=3,10,IF(E650&lt;&gt;"",1,0))))+IF(F650=1,30,IF(F650=2,20,IF(F650=3,10,IF(F650&lt;&gt;"",1,0))))+IF(G650=1,30,IF(G650=2,20,IF(G650=3,10,IF(G650&lt;&gt;"",1,0))))+IF(H650=1,30,IF(H650=2,20,IF(H650=3,10,IF(H650&lt;&gt;"",1,0)))))*2)</f>
        <v/>
      </c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14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>
        <f>IF(AND(C651="",OR(E651="",E651=0)),"",(IF(E651=1,30,IF(E651=2,20,IF(E651=3,10,IF(E651&lt;&gt;"",1,0))))+IF(F651=1,30,IF(F651=2,20,IF(F651=3,10,IF(F651&lt;&gt;"",1,0))))+IF(G651=1,30,IF(G651=2,20,IF(G651=3,10,IF(G651&lt;&gt;"",1,0))))+IF(H651=1,30,IF(H651=2,20,IF(H651=3,10,IF(H651&lt;&gt;"",1,0)))))*2)</f>
        <v/>
      </c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14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>
        <f>IF(AND(C652="",OR(E652="",E652=0)),"",(IF(E652=1,30,IF(E652=2,20,IF(E652=3,10,IF(E652&lt;&gt;"",1,0))))+IF(F652=1,30,IF(F652=2,20,IF(F652=3,10,IF(F652&lt;&gt;"",1,0))))+IF(G652=1,30,IF(G652=2,20,IF(G652=3,10,IF(G652&lt;&gt;"",1,0))))+IF(H652=1,30,IF(H652=2,20,IF(H652=3,10,IF(H652&lt;&gt;"",1,0)))))*2)</f>
        <v/>
      </c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14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>
        <f>IF(AND(C653="",OR(E653="",E653=0)),"",(IF(E653=1,30,IF(E653=2,20,IF(E653=3,10,IF(E653&lt;&gt;"",1,0))))+IF(F653=1,30,IF(F653=2,20,IF(F653=3,10,IF(F653&lt;&gt;"",1,0))))+IF(G653=1,30,IF(G653=2,20,IF(G653=3,10,IF(G653&lt;&gt;"",1,0))))+IF(H653=1,30,IF(H653=2,20,IF(H653=3,10,IF(H653&lt;&gt;"",1,0)))))*2)</f>
        <v/>
      </c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14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>
        <f>IF(AND(C654="",OR(E654="",E654=0)),"",(IF(E654=1,30,IF(E654=2,20,IF(E654=3,10,IF(E654&lt;&gt;"",1,0))))+IF(F654=1,30,IF(F654=2,20,IF(F654=3,10,IF(F654&lt;&gt;"",1,0))))+IF(G654=1,30,IF(G654=2,20,IF(G654=3,10,IF(G654&lt;&gt;"",1,0))))+IF(H654=1,30,IF(H654=2,20,IF(H654=3,10,IF(H654&lt;&gt;"",1,0)))))*2)</f>
        <v/>
      </c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14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>
        <f>IF(AND(C655="",OR(E655="",E655=0)),"",(IF(E655=1,30,IF(E655=2,20,IF(E655=3,10,IF(E655&lt;&gt;"",1,0))))+IF(F655=1,30,IF(F655=2,20,IF(F655=3,10,IF(F655&lt;&gt;"",1,0))))+IF(G655=1,30,IF(G655=2,20,IF(G655=3,10,IF(G655&lt;&gt;"",1,0))))+IF(H655=1,30,IF(H655=2,20,IF(H655=3,10,IF(H655&lt;&gt;"",1,0)))))*2)</f>
        <v/>
      </c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14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>
        <f>IF(AND(C656="",OR(E656="",E656=0)),"",(IF(E656=1,30,IF(E656=2,20,IF(E656=3,10,IF(E656&lt;&gt;"",1,0))))+IF(F656=1,30,IF(F656=2,20,IF(F656=3,10,IF(F656&lt;&gt;"",1,0))))+IF(G656=1,30,IF(G656=2,20,IF(G656=3,10,IF(G656&lt;&gt;"",1,0))))+IF(H656=1,30,IF(H656=2,20,IF(H656=3,10,IF(H656&lt;&gt;"",1,0)))))*2)</f>
        <v/>
      </c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14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>
        <f>IF(AND(C657="",OR(E657="",E657=0)),"",(IF(E657=1,30,IF(E657=2,20,IF(E657=3,10,IF(E657&lt;&gt;"",1,0))))+IF(F657=1,30,IF(F657=2,20,IF(F657=3,10,IF(F657&lt;&gt;"",1,0))))+IF(G657=1,30,IF(G657=2,20,IF(G657=3,10,IF(G657&lt;&gt;"",1,0))))+IF(H657=1,30,IF(H657=2,20,IF(H657=3,10,IF(H657&lt;&gt;"",1,0)))))*2)</f>
        <v/>
      </c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14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>
        <f>IF(AND(C658="",OR(E658="",E658=0)),"",(IF(E658=1,30,IF(E658=2,20,IF(E658=3,10,IF(E658&lt;&gt;"",1,0))))+IF(F658=1,30,IF(F658=2,20,IF(F658=3,10,IF(F658&lt;&gt;"",1,0))))+IF(G658=1,30,IF(G658=2,20,IF(G658=3,10,IF(G658&lt;&gt;"",1,0))))+IF(H658=1,30,IF(H658=2,20,IF(H658=3,10,IF(H658&lt;&gt;"",1,0)))))*2)</f>
        <v/>
      </c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14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>
        <f>IF(AND(C659="",OR(E659="",E659=0)),"",(IF(E659=1,30,IF(E659=2,20,IF(E659=3,10,IF(E659&lt;&gt;"",1,0))))+IF(F659=1,30,IF(F659=2,20,IF(F659=3,10,IF(F659&lt;&gt;"",1,0))))+IF(G659=1,30,IF(G659=2,20,IF(G659=3,10,IF(G659&lt;&gt;"",1,0))))+IF(H659=1,30,IF(H659=2,20,IF(H659=3,10,IF(H659&lt;&gt;"",1,0)))))*2)</f>
        <v/>
      </c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14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>
        <f>IF(AND(C660="",OR(E660="",E660=0)),"",(IF(E660=1,30,IF(E660=2,20,IF(E660=3,10,IF(E660&lt;&gt;"",1,0))))+IF(F660=1,30,IF(F660=2,20,IF(F660=3,10,IF(F660&lt;&gt;"",1,0))))+IF(G660=1,30,IF(G660=2,20,IF(G660=3,10,IF(G660&lt;&gt;"",1,0))))+IF(H660=1,30,IF(H660=2,20,IF(H660=3,10,IF(H660&lt;&gt;"",1,0)))))*2)</f>
        <v/>
      </c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14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>
        <f>IF(AND(C661="",OR(E661="",E661=0)),"",(IF(E661=1,30,IF(E661=2,20,IF(E661=3,10,IF(E661&lt;&gt;"",1,0))))+IF(F661=1,30,IF(F661=2,20,IF(F661=3,10,IF(F661&lt;&gt;"",1,0))))+IF(G661=1,30,IF(G661=2,20,IF(G661=3,10,IF(G661&lt;&gt;"",1,0))))+IF(H661=1,30,IF(H661=2,20,IF(H661=3,10,IF(H661&lt;&gt;"",1,0)))))*2)</f>
        <v/>
      </c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14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>
        <f>IF(AND(C662="",OR(E662="",E662=0)),"",(IF(E662=1,30,IF(E662=2,20,IF(E662=3,10,IF(E662&lt;&gt;"",1,0))))+IF(F662=1,30,IF(F662=2,20,IF(F662=3,10,IF(F662&lt;&gt;"",1,0))))+IF(G662=1,30,IF(G662=2,20,IF(G662=3,10,IF(G662&lt;&gt;"",1,0))))+IF(H662=1,30,IF(H662=2,20,IF(H662=3,10,IF(H662&lt;&gt;"",1,0)))))*2)</f>
        <v/>
      </c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14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>
        <f>IF(AND(C663="",OR(E663="",E663=0)),"",(IF(E663=1,30,IF(E663=2,20,IF(E663=3,10,IF(E663&lt;&gt;"",1,0))))+IF(F663=1,30,IF(F663=2,20,IF(F663=3,10,IF(F663&lt;&gt;"",1,0))))+IF(G663=1,30,IF(G663=2,20,IF(G663=3,10,IF(G663&lt;&gt;"",1,0))))+IF(H663=1,30,IF(H663=2,20,IF(H663=3,10,IF(H663&lt;&gt;"",1,0)))))*2)</f>
        <v/>
      </c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14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>
        <f>IF(AND(C664="",OR(E664="",E664=0)),"",(IF(E664=1,30,IF(E664=2,20,IF(E664=3,10,IF(E664&lt;&gt;"",1,0))))+IF(F664=1,30,IF(F664=2,20,IF(F664=3,10,IF(F664&lt;&gt;"",1,0))))+IF(G664=1,30,IF(G664=2,20,IF(G664=3,10,IF(G664&lt;&gt;"",1,0))))+IF(H664=1,30,IF(H664=2,20,IF(H664=3,10,IF(H664&lt;&gt;"",1,0)))))*2)</f>
        <v/>
      </c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14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>
        <f>IF(AND(C665="",OR(E665="",E665=0)),"",(IF(E665=1,30,IF(E665=2,20,IF(E665=3,10,IF(E665&lt;&gt;"",1,0))))+IF(F665=1,30,IF(F665=2,20,IF(F665=3,10,IF(F665&lt;&gt;"",1,0))))+IF(G665=1,30,IF(G665=2,20,IF(G665=3,10,IF(G665&lt;&gt;"",1,0))))+IF(H665=1,30,IF(H665=2,20,IF(H665=3,10,IF(H665&lt;&gt;"",1,0)))))*2)</f>
        <v/>
      </c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14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>
        <f>IF(AND(C666="",OR(E666="",E666=0)),"",(IF(E666=1,30,IF(E666=2,20,IF(E666=3,10,IF(E666&lt;&gt;"",1,0))))+IF(F666=1,30,IF(F666=2,20,IF(F666=3,10,IF(F666&lt;&gt;"",1,0))))+IF(G666=1,30,IF(G666=2,20,IF(G666=3,10,IF(G666&lt;&gt;"",1,0))))+IF(H666=1,30,IF(H666=2,20,IF(H666=3,10,IF(H666&lt;&gt;"",1,0)))))*2)</f>
        <v/>
      </c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14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>
        <f>IF(AND(C667="",OR(E667="",E667=0)),"",(IF(E667=1,30,IF(E667=2,20,IF(E667=3,10,IF(E667&lt;&gt;"",1,0))))+IF(F667=1,30,IF(F667=2,20,IF(F667=3,10,IF(F667&lt;&gt;"",1,0))))+IF(G667=1,30,IF(G667=2,20,IF(G667=3,10,IF(G667&lt;&gt;"",1,0))))+IF(H667=1,30,IF(H667=2,20,IF(H667=3,10,IF(H667&lt;&gt;"",1,0)))))*2)</f>
        <v/>
      </c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14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>
        <f>IF(AND(C668="",OR(E668="",E668=0)),"",(IF(E668=1,30,IF(E668=2,20,IF(E668=3,10,IF(E668&lt;&gt;"",1,0))))+IF(F668=1,30,IF(F668=2,20,IF(F668=3,10,IF(F668&lt;&gt;"",1,0))))+IF(G668=1,30,IF(G668=2,20,IF(G668=3,10,IF(G668&lt;&gt;"",1,0))))+IF(H668=1,30,IF(H668=2,20,IF(H668=3,10,IF(H668&lt;&gt;"",1,0)))))*2)</f>
        <v/>
      </c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14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>
        <f>IF(AND(C669="",OR(E669="",E669=0)),"",(IF(E669=1,30,IF(E669=2,20,IF(E669=3,10,IF(E669&lt;&gt;"",1,0))))+IF(F669=1,30,IF(F669=2,20,IF(F669=3,10,IF(F669&lt;&gt;"",1,0))))+IF(G669=1,30,IF(G669=2,20,IF(G669=3,10,IF(G669&lt;&gt;"",1,0))))+IF(H669=1,30,IF(H669=2,20,IF(H669=3,10,IF(H669&lt;&gt;"",1,0)))))*2)</f>
        <v/>
      </c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14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>
        <f>IF(AND(C670="",OR(E670="",E670=0)),"",(IF(E670=1,30,IF(E670=2,20,IF(E670=3,10,IF(E670&lt;&gt;"",1,0))))+IF(F670=1,30,IF(F670=2,20,IF(F670=3,10,IF(F670&lt;&gt;"",1,0))))+IF(G670=1,30,IF(G670=2,20,IF(G670=3,10,IF(G670&lt;&gt;"",1,0))))+IF(H670=1,30,IF(H670=2,20,IF(H670=3,10,IF(H670&lt;&gt;"",1,0)))))*2)</f>
        <v/>
      </c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14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>
        <f>IF(AND(C671="",OR(E671="",E671=0)),"",(IF(E671=1,30,IF(E671=2,20,IF(E671=3,10,IF(E671&lt;&gt;"",1,0))))+IF(F671=1,30,IF(F671=2,20,IF(F671=3,10,IF(F671&lt;&gt;"",1,0))))+IF(G671=1,30,IF(G671=2,20,IF(G671=3,10,IF(G671&lt;&gt;"",1,0))))+IF(H671=1,30,IF(H671=2,20,IF(H671=3,10,IF(H671&lt;&gt;"",1,0)))))*2)</f>
        <v/>
      </c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14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>
        <f>IF(AND(C672="",OR(E672="",E672=0)),"",(IF(E672=1,30,IF(E672=2,20,IF(E672=3,10,IF(E672&lt;&gt;"",1,0))))+IF(F672=1,30,IF(F672=2,20,IF(F672=3,10,IF(F672&lt;&gt;"",1,0))))+IF(G672=1,30,IF(G672=2,20,IF(G672=3,10,IF(G672&lt;&gt;"",1,0))))+IF(H672=1,30,IF(H672=2,20,IF(H672=3,10,IF(H672&lt;&gt;"",1,0)))))*2)</f>
        <v/>
      </c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14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>
        <f>IF(AND(C673="",OR(E673="",E673=0)),"",(IF(E673=1,30,IF(E673=2,20,IF(E673=3,10,IF(E673&lt;&gt;"",1,0))))+IF(F673=1,30,IF(F673=2,20,IF(F673=3,10,IF(F673&lt;&gt;"",1,0))))+IF(G673=1,30,IF(G673=2,20,IF(G673=3,10,IF(G673&lt;&gt;"",1,0))))+IF(H673=1,30,IF(H673=2,20,IF(H673=3,10,IF(H673&lt;&gt;"",1,0)))))*2)</f>
        <v/>
      </c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14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>
        <f>IF(AND(C674="",OR(E674="",E674=0)),"",(IF(E674=1,30,IF(E674=2,20,IF(E674=3,10,IF(E674&lt;&gt;"",1,0))))+IF(F674=1,30,IF(F674=2,20,IF(F674=3,10,IF(F674&lt;&gt;"",1,0))))+IF(G674=1,30,IF(G674=2,20,IF(G674=3,10,IF(G674&lt;&gt;"",1,0))))+IF(H674=1,30,IF(H674=2,20,IF(H674=3,10,IF(H674&lt;&gt;"",1,0)))))*2)</f>
        <v/>
      </c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14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>
        <f>IF(AND(C675="",OR(E675="",E675=0)),"",(IF(E675=1,30,IF(E675=2,20,IF(E675=3,10,IF(E675&lt;&gt;"",1,0))))+IF(F675=1,30,IF(F675=2,20,IF(F675=3,10,IF(F675&lt;&gt;"",1,0))))+IF(G675=1,30,IF(G675=2,20,IF(G675=3,10,IF(G675&lt;&gt;"",1,0))))+IF(H675=1,30,IF(H675=2,20,IF(H675=3,10,IF(H675&lt;&gt;"",1,0)))))*2)</f>
        <v/>
      </c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14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>
        <f>IF(AND(C676="",OR(E676="",E676=0)),"",(IF(E676=1,30,IF(E676=2,20,IF(E676=3,10,IF(E676&lt;&gt;"",1,0))))+IF(F676=1,30,IF(F676=2,20,IF(F676=3,10,IF(F676&lt;&gt;"",1,0))))+IF(G676=1,30,IF(G676=2,20,IF(G676=3,10,IF(G676&lt;&gt;"",1,0))))+IF(H676=1,30,IF(H676=2,20,IF(H676=3,10,IF(H676&lt;&gt;"",1,0)))))*2)</f>
        <v/>
      </c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14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>
        <f>IF(AND(C677="",OR(E677="",E677=0)),"",(IF(E677=1,30,IF(E677=2,20,IF(E677=3,10,IF(E677&lt;&gt;"",1,0))))+IF(F677=1,30,IF(F677=2,20,IF(F677=3,10,IF(F677&lt;&gt;"",1,0))))+IF(G677=1,30,IF(G677=2,20,IF(G677=3,10,IF(G677&lt;&gt;"",1,0))))+IF(H677=1,30,IF(H677=2,20,IF(H677=3,10,IF(H677&lt;&gt;"",1,0)))))*2)</f>
        <v/>
      </c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14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>
        <f>IF(AND(C678="",OR(E678="",E678=0)),"",(IF(E678=1,30,IF(E678=2,20,IF(E678=3,10,IF(E678&lt;&gt;"",1,0))))+IF(F678=1,30,IF(F678=2,20,IF(F678=3,10,IF(F678&lt;&gt;"",1,0))))+IF(G678=1,30,IF(G678=2,20,IF(G678=3,10,IF(G678&lt;&gt;"",1,0))))+IF(H678=1,30,IF(H678=2,20,IF(H678=3,10,IF(H678&lt;&gt;"",1,0)))))*2)</f>
        <v/>
      </c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14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>
        <f>IF(AND(C679="",OR(E679="",E679=0)),"",(IF(E679=1,30,IF(E679=2,20,IF(E679=3,10,IF(E679&lt;&gt;"",1,0))))+IF(F679=1,30,IF(F679=2,20,IF(F679=3,10,IF(F679&lt;&gt;"",1,0))))+IF(G679=1,30,IF(G679=2,20,IF(G679=3,10,IF(G679&lt;&gt;"",1,0))))+IF(H679=1,30,IF(H679=2,20,IF(H679=3,10,IF(H679&lt;&gt;"",1,0)))))*2)</f>
        <v/>
      </c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14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>
        <f>IF(AND(C680="",OR(E680="",E680=0)),"",(IF(E680=1,30,IF(E680=2,20,IF(E680=3,10,IF(E680&lt;&gt;"",1,0))))+IF(F680=1,30,IF(F680=2,20,IF(F680=3,10,IF(F680&lt;&gt;"",1,0))))+IF(G680=1,30,IF(G680=2,20,IF(G680=3,10,IF(G680&lt;&gt;"",1,0))))+IF(H680=1,30,IF(H680=2,20,IF(H680=3,10,IF(H680&lt;&gt;"",1,0)))))*2)</f>
        <v/>
      </c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14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>
        <f>IF(AND(C681="",OR(E681="",E681=0)),"",(IF(E681=1,30,IF(E681=2,20,IF(E681=3,10,IF(E681&lt;&gt;"",1,0))))+IF(F681=1,30,IF(F681=2,20,IF(F681=3,10,IF(F681&lt;&gt;"",1,0))))+IF(G681=1,30,IF(G681=2,20,IF(G681=3,10,IF(G681&lt;&gt;"",1,0))))+IF(H681=1,30,IF(H681=2,20,IF(H681=3,10,IF(H681&lt;&gt;"",1,0)))))*2)</f>
        <v/>
      </c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14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>
        <f>IF(AND(C682="",OR(E682="",E682=0)),"",(IF(E682=1,30,IF(E682=2,20,IF(E682=3,10,IF(E682&lt;&gt;"",1,0))))+IF(F682=1,30,IF(F682=2,20,IF(F682=3,10,IF(F682&lt;&gt;"",1,0))))+IF(G682=1,30,IF(G682=2,20,IF(G682=3,10,IF(G682&lt;&gt;"",1,0))))+IF(H682=1,30,IF(H682=2,20,IF(H682=3,10,IF(H682&lt;&gt;"",1,0)))))*2)</f>
        <v/>
      </c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14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>
        <f>IF(AND(C683="",OR(E683="",E683=0)),"",(IF(E683=1,30,IF(E683=2,20,IF(E683=3,10,IF(E683&lt;&gt;"",1,0))))+IF(F683=1,30,IF(F683=2,20,IF(F683=3,10,IF(F683&lt;&gt;"",1,0))))+IF(G683=1,30,IF(G683=2,20,IF(G683=3,10,IF(G683&lt;&gt;"",1,0))))+IF(H683=1,30,IF(H683=2,20,IF(H683=3,10,IF(H683&lt;&gt;"",1,0)))))*2)</f>
        <v/>
      </c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14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>
        <f>IF(AND(C684="",OR(E684="",E684=0)),"",(IF(E684=1,30,IF(E684=2,20,IF(E684=3,10,IF(E684&lt;&gt;"",1,0))))+IF(F684=1,30,IF(F684=2,20,IF(F684=3,10,IF(F684&lt;&gt;"",1,0))))+IF(G684=1,30,IF(G684=2,20,IF(G684=3,10,IF(G684&lt;&gt;"",1,0))))+IF(H684=1,30,IF(H684=2,20,IF(H684=3,10,IF(H684&lt;&gt;"",1,0)))))*2)</f>
        <v/>
      </c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14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>
        <f>IF(AND(C685="",OR(E685="",E685=0)),"",(IF(E685=1,30,IF(E685=2,20,IF(E685=3,10,IF(E685&lt;&gt;"",1,0))))+IF(F685=1,30,IF(F685=2,20,IF(F685=3,10,IF(F685&lt;&gt;"",1,0))))+IF(G685=1,30,IF(G685=2,20,IF(G685=3,10,IF(G685&lt;&gt;"",1,0))))+IF(H685=1,30,IF(H685=2,20,IF(H685=3,10,IF(H685&lt;&gt;"",1,0)))))*2)</f>
        <v/>
      </c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14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>
        <f>IF(AND(C686="",OR(E686="",E686=0)),"",(IF(E686=1,30,IF(E686=2,20,IF(E686=3,10,IF(E686&lt;&gt;"",1,0))))+IF(F686=1,30,IF(F686=2,20,IF(F686=3,10,IF(F686&lt;&gt;"",1,0))))+IF(G686=1,30,IF(G686=2,20,IF(G686=3,10,IF(G686&lt;&gt;"",1,0))))+IF(H686=1,30,IF(H686=2,20,IF(H686=3,10,IF(H686&lt;&gt;"",1,0)))))*2)</f>
        <v/>
      </c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14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>
        <f>IF(AND(C687="",OR(E687="",E687=0)),"",(IF(E687=1,30,IF(E687=2,20,IF(E687=3,10,IF(E687&lt;&gt;"",1,0))))+IF(F687=1,30,IF(F687=2,20,IF(F687=3,10,IF(F687&lt;&gt;"",1,0))))+IF(G687=1,30,IF(G687=2,20,IF(G687=3,10,IF(G687&lt;&gt;"",1,0))))+IF(H687=1,30,IF(H687=2,20,IF(H687=3,10,IF(H687&lt;&gt;"",1,0)))))*2)</f>
        <v/>
      </c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14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>
        <f>IF(AND(C688="",OR(E688="",E688=0)),"",(IF(E688=1,30,IF(E688=2,20,IF(E688=3,10,IF(E688&lt;&gt;"",1,0))))+IF(F688=1,30,IF(F688=2,20,IF(F688=3,10,IF(F688&lt;&gt;"",1,0))))+IF(G688=1,30,IF(G688=2,20,IF(G688=3,10,IF(G688&lt;&gt;"",1,0))))+IF(H688=1,30,IF(H688=2,20,IF(H688=3,10,IF(H688&lt;&gt;"",1,0)))))*2)</f>
        <v/>
      </c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14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>
        <f>IF(AND(C689="",OR(E689="",E689=0)),"",(IF(E689=1,30,IF(E689=2,20,IF(E689=3,10,IF(E689&lt;&gt;"",1,0))))+IF(F689=1,30,IF(F689=2,20,IF(F689=3,10,IF(F689&lt;&gt;"",1,0))))+IF(G689=1,30,IF(G689=2,20,IF(G689=3,10,IF(G689&lt;&gt;"",1,0))))+IF(H689=1,30,IF(H689=2,20,IF(H689=3,10,IF(H689&lt;&gt;"",1,0)))))*2)</f>
        <v/>
      </c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14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>
        <f>IF(AND(C690="",OR(E690="",E690=0)),"",(IF(E690=1,30,IF(E690=2,20,IF(E690=3,10,IF(E690&lt;&gt;"",1,0))))+IF(F690=1,30,IF(F690=2,20,IF(F690=3,10,IF(F690&lt;&gt;"",1,0))))+IF(G690=1,30,IF(G690=2,20,IF(G690=3,10,IF(G690&lt;&gt;"",1,0))))+IF(H690=1,30,IF(H690=2,20,IF(H690=3,10,IF(H690&lt;&gt;"",1,0)))))*2)</f>
        <v/>
      </c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14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>
        <f>IF(AND(C691="",OR(E691="",E691=0)),"",(IF(E691=1,30,IF(E691=2,20,IF(E691=3,10,IF(E691&lt;&gt;"",1,0))))+IF(F691=1,30,IF(F691=2,20,IF(F691=3,10,IF(F691&lt;&gt;"",1,0))))+IF(G691=1,30,IF(G691=2,20,IF(G691=3,10,IF(G691&lt;&gt;"",1,0))))+IF(H691=1,30,IF(H691=2,20,IF(H691=3,10,IF(H691&lt;&gt;"",1,0)))))*2)</f>
        <v/>
      </c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14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>
        <f>IF(AND(C692="",OR(E692="",E692=0)),"",(IF(E692=1,30,IF(E692=2,20,IF(E692=3,10,IF(E692&lt;&gt;"",1,0))))+IF(F692=1,30,IF(F692=2,20,IF(F692=3,10,IF(F692&lt;&gt;"",1,0))))+IF(G692=1,30,IF(G692=2,20,IF(G692=3,10,IF(G692&lt;&gt;"",1,0))))+IF(H692=1,30,IF(H692=2,20,IF(H692=3,10,IF(H692&lt;&gt;"",1,0)))))*2)</f>
        <v/>
      </c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14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>
        <f>IF(AND(C693="",OR(E693="",E693=0)),"",(IF(E693=1,30,IF(E693=2,20,IF(E693=3,10,IF(E693&lt;&gt;"",1,0))))+IF(F693=1,30,IF(F693=2,20,IF(F693=3,10,IF(F693&lt;&gt;"",1,0))))+IF(G693=1,30,IF(G693=2,20,IF(G693=3,10,IF(G693&lt;&gt;"",1,0))))+IF(H693=1,30,IF(H693=2,20,IF(H693=3,10,IF(H693&lt;&gt;"",1,0)))))*2)</f>
        <v/>
      </c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14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>
        <f>IF(AND(C694="",OR(E694="",E694=0)),"",(IF(E694=1,30,IF(E694=2,20,IF(E694=3,10,IF(E694&lt;&gt;"",1,0))))+IF(F694=1,30,IF(F694=2,20,IF(F694=3,10,IF(F694&lt;&gt;"",1,0))))+IF(G694=1,30,IF(G694=2,20,IF(G694=3,10,IF(G694&lt;&gt;"",1,0))))+IF(H694=1,30,IF(H694=2,20,IF(H694=3,10,IF(H694&lt;&gt;"",1,0)))))*2)</f>
        <v/>
      </c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14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>
        <f>IF(AND(C695="",OR(E695="",E695=0)),"",(IF(E695=1,30,IF(E695=2,20,IF(E695=3,10,IF(E695&lt;&gt;"",1,0))))+IF(F695=1,30,IF(F695=2,20,IF(F695=3,10,IF(F695&lt;&gt;"",1,0))))+IF(G695=1,30,IF(G695=2,20,IF(G695=3,10,IF(G695&lt;&gt;"",1,0))))+IF(H695=1,30,IF(H695=2,20,IF(H695=3,10,IF(H695&lt;&gt;"",1,0)))))*2)</f>
        <v/>
      </c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14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>
        <f>IF(AND(C696="",OR(E696="",E696=0)),"",(IF(E696=1,30,IF(E696=2,20,IF(E696=3,10,IF(E696&lt;&gt;"",1,0))))+IF(F696=1,30,IF(F696=2,20,IF(F696=3,10,IF(F696&lt;&gt;"",1,0))))+IF(G696=1,30,IF(G696=2,20,IF(G696=3,10,IF(G696&lt;&gt;"",1,0))))+IF(H696=1,30,IF(H696=2,20,IF(H696=3,10,IF(H696&lt;&gt;"",1,0)))))*2)</f>
        <v/>
      </c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14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>
        <f>IF(AND(C697="",OR(E697="",E697=0)),"",(IF(E697=1,30,IF(E697=2,20,IF(E697=3,10,IF(E697&lt;&gt;"",1,0))))+IF(F697=1,30,IF(F697=2,20,IF(F697=3,10,IF(F697&lt;&gt;"",1,0))))+IF(G697=1,30,IF(G697=2,20,IF(G697=3,10,IF(G697&lt;&gt;"",1,0))))+IF(H697=1,30,IF(H697=2,20,IF(H697=3,10,IF(H697&lt;&gt;"",1,0)))))*2)</f>
        <v/>
      </c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14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>
        <f>IF(AND(C698="",OR(E698="",E698=0)),"",(IF(E698=1,30,IF(E698=2,20,IF(E698=3,10,IF(E698&lt;&gt;"",1,0))))+IF(F698=1,30,IF(F698=2,20,IF(F698=3,10,IF(F698&lt;&gt;"",1,0))))+IF(G698=1,30,IF(G698=2,20,IF(G698=3,10,IF(G698&lt;&gt;"",1,0))))+IF(H698=1,30,IF(H698=2,20,IF(H698=3,10,IF(H698&lt;&gt;"",1,0)))))*2)</f>
        <v/>
      </c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14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>
        <f>IF(AND(C699="",OR(E699="",E699=0)),"",(IF(E699=1,30,IF(E699=2,20,IF(E699=3,10,IF(E699&lt;&gt;"",1,0))))+IF(F699=1,30,IF(F699=2,20,IF(F699=3,10,IF(F699&lt;&gt;"",1,0))))+IF(G699=1,30,IF(G699=2,20,IF(G699=3,10,IF(G699&lt;&gt;"",1,0))))+IF(H699=1,30,IF(H699=2,20,IF(H699=3,10,IF(H699&lt;&gt;"",1,0)))))*2)</f>
        <v/>
      </c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14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>
        <f>IF(AND(C700="",OR(E700="",E700=0)),"",(IF(E700=1,30,IF(E700=2,20,IF(E700=3,10,IF(E700&lt;&gt;"",1,0))))+IF(F700=1,30,IF(F700=2,20,IF(F700=3,10,IF(F700&lt;&gt;"",1,0))))+IF(G700=1,30,IF(G700=2,20,IF(G700=3,10,IF(G700&lt;&gt;"",1,0))))+IF(H700=1,30,IF(H700=2,20,IF(H700=3,10,IF(H700&lt;&gt;"",1,0)))))*2)</f>
        <v/>
      </c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14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>
        <f>IF(AND(C701="",OR(E701="",E701=0)),"",(IF(E701=1,30,IF(E701=2,20,IF(E701=3,10,IF(E701&lt;&gt;"",1,0))))+IF(F701=1,30,IF(F701=2,20,IF(F701=3,10,IF(F701&lt;&gt;"",1,0))))+IF(G701=1,30,IF(G701=2,20,IF(G701=3,10,IF(G701&lt;&gt;"",1,0))))+IF(H701=1,30,IF(H701=2,20,IF(H701=3,10,IF(H701&lt;&gt;"",1,0)))))*2)</f>
        <v/>
      </c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14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>
        <f>IF(AND(C702="",OR(E702="",E702=0)),"",(IF(E702=1,30,IF(E702=2,20,IF(E702=3,10,IF(E702&lt;&gt;"",1,0))))+IF(F702=1,30,IF(F702=2,20,IF(F702=3,10,IF(F702&lt;&gt;"",1,0))))+IF(G702=1,30,IF(G702=2,20,IF(G702=3,10,IF(G702&lt;&gt;"",1,0))))+IF(H702=1,30,IF(H702=2,20,IF(H702=3,10,IF(H702&lt;&gt;"",1,0)))))*2)</f>
        <v/>
      </c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14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>
        <f>IF(AND(C703="",OR(E703="",E703=0)),"",(IF(E703=1,30,IF(E703=2,20,IF(E703=3,10,IF(E703&lt;&gt;"",1,0))))+IF(F703=1,30,IF(F703=2,20,IF(F703=3,10,IF(F703&lt;&gt;"",1,0))))+IF(G703=1,30,IF(G703=2,20,IF(G703=3,10,IF(G703&lt;&gt;"",1,0))))+IF(H703=1,30,IF(H703=2,20,IF(H703=3,10,IF(H703&lt;&gt;"",1,0)))))*2)</f>
        <v/>
      </c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14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>
        <f>IF(AND(C704="",OR(E704="",E704=0)),"",(IF(E704=1,30,IF(E704=2,20,IF(E704=3,10,IF(E704&lt;&gt;"",1,0))))+IF(F704=1,30,IF(F704=2,20,IF(F704=3,10,IF(F704&lt;&gt;"",1,0))))+IF(G704=1,30,IF(G704=2,20,IF(G704=3,10,IF(G704&lt;&gt;"",1,0))))+IF(H704=1,30,IF(H704=2,20,IF(H704=3,10,IF(H704&lt;&gt;"",1,0)))))*2)</f>
        <v/>
      </c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14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>
        <f>IF(AND(C705="",OR(E705="",E705=0)),"",(IF(E705=1,30,IF(E705=2,20,IF(E705=3,10,IF(E705&lt;&gt;"",1,0))))+IF(F705=1,30,IF(F705=2,20,IF(F705=3,10,IF(F705&lt;&gt;"",1,0))))+IF(G705=1,30,IF(G705=2,20,IF(G705=3,10,IF(G705&lt;&gt;"",1,0))))+IF(H705=1,30,IF(H705=2,20,IF(H705=3,10,IF(H705&lt;&gt;"",1,0)))))*2)</f>
        <v/>
      </c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14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>
        <f>IF(AND(C706="",OR(E706="",E706=0)),"",(IF(E706=1,30,IF(E706=2,20,IF(E706=3,10,IF(E706&lt;&gt;"",1,0))))+IF(F706=1,30,IF(F706=2,20,IF(F706=3,10,IF(F706&lt;&gt;"",1,0))))+IF(G706=1,30,IF(G706=2,20,IF(G706=3,10,IF(G706&lt;&gt;"",1,0))))+IF(H706=1,30,IF(H706=2,20,IF(H706=3,10,IF(H706&lt;&gt;"",1,0)))))*2)</f>
        <v/>
      </c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14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>
        <f>IF(AND(C707="",OR(E707="",E707=0)),"",(IF(E707=1,30,IF(E707=2,20,IF(E707=3,10,IF(E707&lt;&gt;"",1,0))))+IF(F707=1,30,IF(F707=2,20,IF(F707=3,10,IF(F707&lt;&gt;"",1,0))))+IF(G707=1,30,IF(G707=2,20,IF(G707=3,10,IF(G707&lt;&gt;"",1,0))))+IF(H707=1,30,IF(H707=2,20,IF(H707=3,10,IF(H707&lt;&gt;"",1,0)))))*2)</f>
        <v/>
      </c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14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>
        <f>IF(AND(C708="",OR(E708="",E708=0)),"",(IF(E708=1,30,IF(E708=2,20,IF(E708=3,10,IF(E708&lt;&gt;"",1,0))))+IF(F708=1,30,IF(F708=2,20,IF(F708=3,10,IF(F708&lt;&gt;"",1,0))))+IF(G708=1,30,IF(G708=2,20,IF(G708=3,10,IF(G708&lt;&gt;"",1,0))))+IF(H708=1,30,IF(H708=2,20,IF(H708=3,10,IF(H708&lt;&gt;"",1,0)))))*2)</f>
        <v/>
      </c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14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>
        <f>IF(AND(C709="",OR(E709="",E709=0)),"",(IF(E709=1,30,IF(E709=2,20,IF(E709=3,10,IF(E709&lt;&gt;"",1,0))))+IF(F709=1,30,IF(F709=2,20,IF(F709=3,10,IF(F709&lt;&gt;"",1,0))))+IF(G709=1,30,IF(G709=2,20,IF(G709=3,10,IF(G709&lt;&gt;"",1,0))))+IF(H709=1,30,IF(H709=2,20,IF(H709=3,10,IF(H709&lt;&gt;"",1,0)))))*2)</f>
        <v/>
      </c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14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>
        <f>IF(AND(C710="",OR(E710="",E710=0)),"",(IF(E710=1,30,IF(E710=2,20,IF(E710=3,10,IF(E710&lt;&gt;"",1,0))))+IF(F710=1,30,IF(F710=2,20,IF(F710=3,10,IF(F710&lt;&gt;"",1,0))))+IF(G710=1,30,IF(G710=2,20,IF(G710=3,10,IF(G710&lt;&gt;"",1,0))))+IF(H710=1,30,IF(H710=2,20,IF(H710=3,10,IF(H710&lt;&gt;"",1,0)))))*2)</f>
        <v/>
      </c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14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>
        <f>IF(AND(C711="",OR(E711="",E711=0)),"",(IF(E711=1,30,IF(E711=2,20,IF(E711=3,10,IF(E711&lt;&gt;"",1,0))))+IF(F711=1,30,IF(F711=2,20,IF(F711=3,10,IF(F711&lt;&gt;"",1,0))))+IF(G711=1,30,IF(G711=2,20,IF(G711=3,10,IF(G711&lt;&gt;"",1,0))))+IF(H711=1,30,IF(H711=2,20,IF(H711=3,10,IF(H711&lt;&gt;"",1,0)))))*2)</f>
        <v/>
      </c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14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>
        <f>IF(AND(C712="",OR(E712="",E712=0)),"",(IF(E712=1,30,IF(E712=2,20,IF(E712=3,10,IF(E712&lt;&gt;"",1,0))))+IF(F712=1,30,IF(F712=2,20,IF(F712=3,10,IF(F712&lt;&gt;"",1,0))))+IF(G712=1,30,IF(G712=2,20,IF(G712=3,10,IF(G712&lt;&gt;"",1,0))))+IF(H712=1,30,IF(H712=2,20,IF(H712=3,10,IF(H712&lt;&gt;"",1,0)))))*2)</f>
        <v/>
      </c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14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>
        <f>IF(AND(C713="",OR(E713="",E713=0)),"",(IF(E713=1,30,IF(E713=2,20,IF(E713=3,10,IF(E713&lt;&gt;"",1,0))))+IF(F713=1,30,IF(F713=2,20,IF(F713=3,10,IF(F713&lt;&gt;"",1,0))))+IF(G713=1,30,IF(G713=2,20,IF(G713=3,10,IF(G713&lt;&gt;"",1,0))))+IF(H713=1,30,IF(H713=2,20,IF(H713=3,10,IF(H713&lt;&gt;"",1,0)))))*2)</f>
        <v/>
      </c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14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>
        <f>IF(AND(C714="",OR(E714="",E714=0)),"",(IF(E714=1,30,IF(E714=2,20,IF(E714=3,10,IF(E714&lt;&gt;"",1,0))))+IF(F714=1,30,IF(F714=2,20,IF(F714=3,10,IF(F714&lt;&gt;"",1,0))))+IF(G714=1,30,IF(G714=2,20,IF(G714=3,10,IF(G714&lt;&gt;"",1,0))))+IF(H714=1,30,IF(H714=2,20,IF(H714=3,10,IF(H714&lt;&gt;"",1,0)))))*2)</f>
        <v/>
      </c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14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>
        <f>IF(AND(C715="",OR(E715="",E715=0)),"",(IF(E715=1,30,IF(E715=2,20,IF(E715=3,10,IF(E715&lt;&gt;"",1,0))))+IF(F715=1,30,IF(F715=2,20,IF(F715=3,10,IF(F715&lt;&gt;"",1,0))))+IF(G715=1,30,IF(G715=2,20,IF(G715=3,10,IF(G715&lt;&gt;"",1,0))))+IF(H715=1,30,IF(H715=2,20,IF(H715=3,10,IF(H715&lt;&gt;"",1,0)))))*2)</f>
        <v/>
      </c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14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>
        <f>IF(AND(C716="",OR(E716="",E716=0)),"",(IF(E716=1,30,IF(E716=2,20,IF(E716=3,10,IF(E716&lt;&gt;"",1,0))))+IF(F716=1,30,IF(F716=2,20,IF(F716=3,10,IF(F716&lt;&gt;"",1,0))))+IF(G716=1,30,IF(G716=2,20,IF(G716=3,10,IF(G716&lt;&gt;"",1,0))))+IF(H716=1,30,IF(H716=2,20,IF(H716=3,10,IF(H716&lt;&gt;"",1,0)))))*2)</f>
        <v/>
      </c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14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>
        <f>IF(AND(C717="",OR(E717="",E717=0)),"",(IF(E717=1,30,IF(E717=2,20,IF(E717=3,10,IF(E717&lt;&gt;"",1,0))))+IF(F717=1,30,IF(F717=2,20,IF(F717=3,10,IF(F717&lt;&gt;"",1,0))))+IF(G717=1,30,IF(G717=2,20,IF(G717=3,10,IF(G717&lt;&gt;"",1,0))))+IF(H717=1,30,IF(H717=2,20,IF(H717=3,10,IF(H717&lt;&gt;"",1,0)))))*2)</f>
        <v/>
      </c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14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>
        <f>IF(AND(C718="",OR(E718="",E718=0)),"",(IF(E718=1,30,IF(E718=2,20,IF(E718=3,10,IF(E718&lt;&gt;"",1,0))))+IF(F718=1,30,IF(F718=2,20,IF(F718=3,10,IF(F718&lt;&gt;"",1,0))))+IF(G718=1,30,IF(G718=2,20,IF(G718=3,10,IF(G718&lt;&gt;"",1,0))))+IF(H718=1,30,IF(H718=2,20,IF(H718=3,10,IF(H718&lt;&gt;"",1,0)))))*2)</f>
        <v/>
      </c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14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>
        <f>IF(AND(C719="",OR(E719="",E719=0)),"",(IF(E719=1,30,IF(E719=2,20,IF(E719=3,10,IF(E719&lt;&gt;"",1,0))))+IF(F719=1,30,IF(F719=2,20,IF(F719=3,10,IF(F719&lt;&gt;"",1,0))))+IF(G719=1,30,IF(G719=2,20,IF(G719=3,10,IF(G719&lt;&gt;"",1,0))))+IF(H719=1,30,IF(H719=2,20,IF(H719=3,10,IF(H719&lt;&gt;"",1,0)))))*2)</f>
        <v/>
      </c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14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>
        <f>IF(AND(C720="",OR(E720="",E720=0)),"",(IF(E720=1,30,IF(E720=2,20,IF(E720=3,10,IF(E720&lt;&gt;"",1,0))))+IF(F720=1,30,IF(F720=2,20,IF(F720=3,10,IF(F720&lt;&gt;"",1,0))))+IF(G720=1,30,IF(G720=2,20,IF(G720=3,10,IF(G720&lt;&gt;"",1,0))))+IF(H720=1,30,IF(H720=2,20,IF(H720=3,10,IF(H720&lt;&gt;"",1,0)))))*2)</f>
        <v/>
      </c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14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>
        <f>IF(AND(C721="",OR(E721="",E721=0)),"",(IF(E721=1,30,IF(E721=2,20,IF(E721=3,10,IF(E721&lt;&gt;"",1,0))))+IF(F721=1,30,IF(F721=2,20,IF(F721=3,10,IF(F721&lt;&gt;"",1,0))))+IF(G721=1,30,IF(G721=2,20,IF(G721=3,10,IF(G721&lt;&gt;"",1,0))))+IF(H721=1,30,IF(H721=2,20,IF(H721=3,10,IF(H721&lt;&gt;"",1,0)))))*2)</f>
        <v/>
      </c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14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>
        <f>IF(AND(C722="",OR(E722="",E722=0)),"",(IF(E722=1,30,IF(E722=2,20,IF(E722=3,10,IF(E722&lt;&gt;"",1,0))))+IF(F722=1,30,IF(F722=2,20,IF(F722=3,10,IF(F722&lt;&gt;"",1,0))))+IF(G722=1,30,IF(G722=2,20,IF(G722=3,10,IF(G722&lt;&gt;"",1,0))))+IF(H722=1,30,IF(H722=2,20,IF(H722=3,10,IF(H722&lt;&gt;"",1,0)))))*2)</f>
        <v/>
      </c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14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>
        <f>IF(AND(C723="",OR(E723="",E723=0)),"",(IF(E723=1,30,IF(E723=2,20,IF(E723=3,10,IF(E723&lt;&gt;"",1,0))))+IF(F723=1,30,IF(F723=2,20,IF(F723=3,10,IF(F723&lt;&gt;"",1,0))))+IF(G723=1,30,IF(G723=2,20,IF(G723=3,10,IF(G723&lt;&gt;"",1,0))))+IF(H723=1,30,IF(H723=2,20,IF(H723=3,10,IF(H723&lt;&gt;"",1,0)))))*2)</f>
        <v/>
      </c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14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>
        <f>IF(AND(C724="",OR(E724="",E724=0)),"",(IF(E724=1,30,IF(E724=2,20,IF(E724=3,10,IF(E724&lt;&gt;"",1,0))))+IF(F724=1,30,IF(F724=2,20,IF(F724=3,10,IF(F724&lt;&gt;"",1,0))))+IF(G724=1,30,IF(G724=2,20,IF(G724=3,10,IF(G724&lt;&gt;"",1,0))))+IF(H724=1,30,IF(H724=2,20,IF(H724=3,10,IF(H724&lt;&gt;"",1,0)))))*2)</f>
        <v/>
      </c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14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>
        <f>IF(AND(C725="",OR(E725="",E725=0)),"",(IF(E725=1,30,IF(E725=2,20,IF(E725=3,10,IF(E725&lt;&gt;"",1,0))))+IF(F725=1,30,IF(F725=2,20,IF(F725=3,10,IF(F725&lt;&gt;"",1,0))))+IF(G725=1,30,IF(G725=2,20,IF(G725=3,10,IF(G725&lt;&gt;"",1,0))))+IF(H725=1,30,IF(H725=2,20,IF(H725=3,10,IF(H725&lt;&gt;"",1,0)))))*2)</f>
        <v/>
      </c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14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>
        <f>IF(AND(C726="",OR(E726="",E726=0)),"",(IF(E726=1,30,IF(E726=2,20,IF(E726=3,10,IF(E726&lt;&gt;"",1,0))))+IF(F726=1,30,IF(F726=2,20,IF(F726=3,10,IF(F726&lt;&gt;"",1,0))))+IF(G726=1,30,IF(G726=2,20,IF(G726=3,10,IF(G726&lt;&gt;"",1,0))))+IF(H726=1,30,IF(H726=2,20,IF(H726=3,10,IF(H726&lt;&gt;"",1,0)))))*2)</f>
        <v/>
      </c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14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>
        <f>IF(AND(C727="",OR(E727="",E727=0)),"",(IF(E727=1,30,IF(E727=2,20,IF(E727=3,10,IF(E727&lt;&gt;"",1,0))))+IF(F727=1,30,IF(F727=2,20,IF(F727=3,10,IF(F727&lt;&gt;"",1,0))))+IF(G727=1,30,IF(G727=2,20,IF(G727=3,10,IF(G727&lt;&gt;"",1,0))))+IF(H727=1,30,IF(H727=2,20,IF(H727=3,10,IF(H727&lt;&gt;"",1,0)))))*2)</f>
        <v/>
      </c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14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>
        <f>IF(AND(C728="",OR(E728="",E728=0)),"",(IF(E728=1,30,IF(E728=2,20,IF(E728=3,10,IF(E728&lt;&gt;"",1,0))))+IF(F728=1,30,IF(F728=2,20,IF(F728=3,10,IF(F728&lt;&gt;"",1,0))))+IF(G728=1,30,IF(G728=2,20,IF(G728=3,10,IF(G728&lt;&gt;"",1,0))))+IF(H728=1,30,IF(H728=2,20,IF(H728=3,10,IF(H728&lt;&gt;"",1,0)))))*2)</f>
        <v/>
      </c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14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>
        <f>IF(AND(C729="",OR(E729="",E729=0)),"",(IF(E729=1,30,IF(E729=2,20,IF(E729=3,10,IF(E729&lt;&gt;"",1,0))))+IF(F729=1,30,IF(F729=2,20,IF(F729=3,10,IF(F729&lt;&gt;"",1,0))))+IF(G729=1,30,IF(G729=2,20,IF(G729=3,10,IF(G729&lt;&gt;"",1,0))))+IF(H729=1,30,IF(H729=2,20,IF(H729=3,10,IF(H729&lt;&gt;"",1,0)))))*2)</f>
        <v/>
      </c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14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>
        <f>IF(AND(C730="",OR(E730="",E730=0)),"",(IF(E730=1,30,IF(E730=2,20,IF(E730=3,10,IF(E730&lt;&gt;"",1,0))))+IF(F730=1,30,IF(F730=2,20,IF(F730=3,10,IF(F730&lt;&gt;"",1,0))))+IF(G730=1,30,IF(G730=2,20,IF(G730=3,10,IF(G730&lt;&gt;"",1,0))))+IF(H730=1,30,IF(H730=2,20,IF(H730=3,10,IF(H730&lt;&gt;"",1,0)))))*2)</f>
        <v/>
      </c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14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>
        <f>IF(AND(C731="",OR(E731="",E731=0)),"",(IF(E731=1,30,IF(E731=2,20,IF(E731=3,10,IF(E731&lt;&gt;"",1,0))))+IF(F731=1,30,IF(F731=2,20,IF(F731=3,10,IF(F731&lt;&gt;"",1,0))))+IF(G731=1,30,IF(G731=2,20,IF(G731=3,10,IF(G731&lt;&gt;"",1,0))))+IF(H731=1,30,IF(H731=2,20,IF(H731=3,10,IF(H731&lt;&gt;"",1,0)))))*2)</f>
        <v/>
      </c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14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>
        <f>IF(AND(C732="",OR(E732="",E732=0)),"",(IF(E732=1,30,IF(E732=2,20,IF(E732=3,10,IF(E732&lt;&gt;"",1,0))))+IF(F732=1,30,IF(F732=2,20,IF(F732=3,10,IF(F732&lt;&gt;"",1,0))))+IF(G732=1,30,IF(G732=2,20,IF(G732=3,10,IF(G732&lt;&gt;"",1,0))))+IF(H732=1,30,IF(H732=2,20,IF(H732=3,10,IF(H732&lt;&gt;"",1,0)))))*2)</f>
        <v/>
      </c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14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>
        <f>IF(AND(C733="",OR(E733="",E733=0)),"",(IF(E733=1,30,IF(E733=2,20,IF(E733=3,10,IF(E733&lt;&gt;"",1,0))))+IF(F733=1,30,IF(F733=2,20,IF(F733=3,10,IF(F733&lt;&gt;"",1,0))))+IF(G733=1,30,IF(G733=2,20,IF(G733=3,10,IF(G733&lt;&gt;"",1,0))))+IF(H733=1,30,IF(H733=2,20,IF(H733=3,10,IF(H733&lt;&gt;"",1,0)))))*2)</f>
        <v/>
      </c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14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>
        <f>IF(AND(C734="",OR(E734="",E734=0)),"",(IF(E734=1,30,IF(E734=2,20,IF(E734=3,10,IF(E734&lt;&gt;"",1,0))))+IF(F734=1,30,IF(F734=2,20,IF(F734=3,10,IF(F734&lt;&gt;"",1,0))))+IF(G734=1,30,IF(G734=2,20,IF(G734=3,10,IF(G734&lt;&gt;"",1,0))))+IF(H734=1,30,IF(H734=2,20,IF(H734=3,10,IF(H734&lt;&gt;"",1,0)))))*2)</f>
        <v/>
      </c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14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>
        <f>IF(AND(C735="",OR(E735="",E735=0)),"",(IF(E735=1,30,IF(E735=2,20,IF(E735=3,10,IF(E735&lt;&gt;"",1,0))))+IF(F735=1,30,IF(F735=2,20,IF(F735=3,10,IF(F735&lt;&gt;"",1,0))))+IF(G735=1,30,IF(G735=2,20,IF(G735=3,10,IF(G735&lt;&gt;"",1,0))))+IF(H735=1,30,IF(H735=2,20,IF(H735=3,10,IF(H735&lt;&gt;"",1,0)))))*2)</f>
        <v/>
      </c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14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>
        <f>IF(AND(C736="",OR(E736="",E736=0)),"",(IF(E736=1,30,IF(E736=2,20,IF(E736=3,10,IF(E736&lt;&gt;"",1,0))))+IF(F736=1,30,IF(F736=2,20,IF(F736=3,10,IF(F736&lt;&gt;"",1,0))))+IF(G736=1,30,IF(G736=2,20,IF(G736=3,10,IF(G736&lt;&gt;"",1,0))))+IF(H736=1,30,IF(H736=2,20,IF(H736=3,10,IF(H736&lt;&gt;"",1,0)))))*2)</f>
        <v/>
      </c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14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>
        <f>IF(AND(C737="",OR(E737="",E737=0)),"",(IF(E737=1,30,IF(E737=2,20,IF(E737=3,10,IF(E737&lt;&gt;"",1,0))))+IF(F737=1,30,IF(F737=2,20,IF(F737=3,10,IF(F737&lt;&gt;"",1,0))))+IF(G737=1,30,IF(G737=2,20,IF(G737=3,10,IF(G737&lt;&gt;"",1,0))))+IF(H737=1,30,IF(H737=2,20,IF(H737=3,10,IF(H737&lt;&gt;"",1,0)))))*2)</f>
        <v/>
      </c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14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>
        <f>IF(AND(C738="",OR(E738="",E738=0)),"",(IF(E738=1,30,IF(E738=2,20,IF(E738=3,10,IF(E738&lt;&gt;"",1,0))))+IF(F738=1,30,IF(F738=2,20,IF(F738=3,10,IF(F738&lt;&gt;"",1,0))))+IF(G738=1,30,IF(G738=2,20,IF(G738=3,10,IF(G738&lt;&gt;"",1,0))))+IF(H738=1,30,IF(H738=2,20,IF(H738=3,10,IF(H738&lt;&gt;"",1,0)))))*2)</f>
        <v/>
      </c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14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>
        <f>IF(AND(C739="",OR(E739="",E739=0)),"",(IF(E739=1,30,IF(E739=2,20,IF(E739=3,10,IF(E739&lt;&gt;"",1,0))))+IF(F739=1,30,IF(F739=2,20,IF(F739=3,10,IF(F739&lt;&gt;"",1,0))))+IF(G739=1,30,IF(G739=2,20,IF(G739=3,10,IF(G739&lt;&gt;"",1,0))))+IF(H739=1,30,IF(H739=2,20,IF(H739=3,10,IF(H739&lt;&gt;"",1,0)))))*2)</f>
        <v/>
      </c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14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>
        <f>IF(AND(C740="",OR(E740="",E740=0)),"",(IF(E740=1,30,IF(E740=2,20,IF(E740=3,10,IF(E740&lt;&gt;"",1,0))))+IF(F740=1,30,IF(F740=2,20,IF(F740=3,10,IF(F740&lt;&gt;"",1,0))))+IF(G740=1,30,IF(G740=2,20,IF(G740=3,10,IF(G740&lt;&gt;"",1,0))))+IF(H740=1,30,IF(H740=2,20,IF(H740=3,10,IF(H740&lt;&gt;"",1,0)))))*2)</f>
        <v/>
      </c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14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>
        <f>IF(AND(C741="",OR(E741="",E741=0)),"",(IF(E741=1,30,IF(E741=2,20,IF(E741=3,10,IF(E741&lt;&gt;"",1,0))))+IF(F741=1,30,IF(F741=2,20,IF(F741=3,10,IF(F741&lt;&gt;"",1,0))))+IF(G741=1,30,IF(G741=2,20,IF(G741=3,10,IF(G741&lt;&gt;"",1,0))))+IF(H741=1,30,IF(H741=2,20,IF(H741=3,10,IF(H741&lt;&gt;"",1,0)))))*2)</f>
        <v/>
      </c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14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>
        <f>IF(AND(C742="",OR(E742="",E742=0)),"",(IF(E742=1,30,IF(E742=2,20,IF(E742=3,10,IF(E742&lt;&gt;"",1,0))))+IF(F742=1,30,IF(F742=2,20,IF(F742=3,10,IF(F742&lt;&gt;"",1,0))))+IF(G742=1,30,IF(G742=2,20,IF(G742=3,10,IF(G742&lt;&gt;"",1,0))))+IF(H742=1,30,IF(H742=2,20,IF(H742=3,10,IF(H742&lt;&gt;"",1,0)))))*2)</f>
        <v/>
      </c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1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>
        <f>IF(AND(C743="",OR(E743="",E743=0)),"",(IF(E743=1,30,IF(E743=2,20,IF(E743=3,10,IF(E743&lt;&gt;"",1,0))))+IF(F743=1,30,IF(F743=2,20,IF(F743=3,10,IF(F743&lt;&gt;"",1,0))))+IF(G743=1,30,IF(G743=2,20,IF(G743=3,10,IF(G743&lt;&gt;"",1,0))))+IF(H743=1,30,IF(H743=2,20,IF(H743=3,10,IF(H743&lt;&gt;"",1,0)))))*2)</f>
        <v/>
      </c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14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>
        <f>IF(AND(C744="",OR(E744="",E744=0)),"",(IF(E744=1,30,IF(E744=2,20,IF(E744=3,10,IF(E744&lt;&gt;"",1,0))))+IF(F744=1,30,IF(F744=2,20,IF(F744=3,10,IF(F744&lt;&gt;"",1,0))))+IF(G744=1,30,IF(G744=2,20,IF(G744=3,10,IF(G744&lt;&gt;"",1,0))))+IF(H744=1,30,IF(H744=2,20,IF(H744=3,10,IF(H744&lt;&gt;"",1,0)))))*2)</f>
        <v/>
      </c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14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>
        <f>IF(AND(C745="",OR(E745="",E745=0)),"",(IF(E745=1,30,IF(E745=2,20,IF(E745=3,10,IF(E745&lt;&gt;"",1,0))))+IF(F745=1,30,IF(F745=2,20,IF(F745=3,10,IF(F745&lt;&gt;"",1,0))))+IF(G745=1,30,IF(G745=2,20,IF(G745=3,10,IF(G745&lt;&gt;"",1,0))))+IF(H745=1,30,IF(H745=2,20,IF(H745=3,10,IF(H745&lt;&gt;"",1,0)))))*2)</f>
        <v/>
      </c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14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>
        <f>IF(AND(C746="",OR(E746="",E746=0)),"",(IF(E746=1,30,IF(E746=2,20,IF(E746=3,10,IF(E746&lt;&gt;"",1,0))))+IF(F746=1,30,IF(F746=2,20,IF(F746=3,10,IF(F746&lt;&gt;"",1,0))))+IF(G746=1,30,IF(G746=2,20,IF(G746=3,10,IF(G746&lt;&gt;"",1,0))))+IF(H746=1,30,IF(H746=2,20,IF(H746=3,10,IF(H746&lt;&gt;"",1,0)))))*2)</f>
        <v/>
      </c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14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>
        <f>IF(AND(C747="",OR(E747="",E747=0)),"",(IF(E747=1,30,IF(E747=2,20,IF(E747=3,10,IF(E747&lt;&gt;"",1,0))))+IF(F747=1,30,IF(F747=2,20,IF(F747=3,10,IF(F747&lt;&gt;"",1,0))))+IF(G747=1,30,IF(G747=2,20,IF(G747=3,10,IF(G747&lt;&gt;"",1,0))))+IF(H747=1,30,IF(H747=2,20,IF(H747=3,10,IF(H747&lt;&gt;"",1,0)))))*2)</f>
        <v/>
      </c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14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>
        <f>IF(AND(C748="",OR(E748="",E748=0)),"",(IF(E748=1,30,IF(E748=2,20,IF(E748=3,10,IF(E748&lt;&gt;"",1,0))))+IF(F748=1,30,IF(F748=2,20,IF(F748=3,10,IF(F748&lt;&gt;"",1,0))))+IF(G748=1,30,IF(G748=2,20,IF(G748=3,10,IF(G748&lt;&gt;"",1,0))))+IF(H748=1,30,IF(H748=2,20,IF(H748=3,10,IF(H748&lt;&gt;"",1,0)))))*2)</f>
        <v/>
      </c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14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>
        <f>IF(AND(C749="",OR(E749="",E749=0)),"",(IF(E749=1,30,IF(E749=2,20,IF(E749=3,10,IF(E749&lt;&gt;"",1,0))))+IF(F749=1,30,IF(F749=2,20,IF(F749=3,10,IF(F749&lt;&gt;"",1,0))))+IF(G749=1,30,IF(G749=2,20,IF(G749=3,10,IF(G749&lt;&gt;"",1,0))))+IF(H749=1,30,IF(H749=2,20,IF(H749=3,10,IF(H749&lt;&gt;"",1,0)))))*2)</f>
        <v/>
      </c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14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>
        <f>IF(AND(C750="",OR(E750="",E750=0)),"",(IF(E750=1,30,IF(E750=2,20,IF(E750=3,10,IF(E750&lt;&gt;"",1,0))))+IF(F750=1,30,IF(F750=2,20,IF(F750=3,10,IF(F750&lt;&gt;"",1,0))))+IF(G750=1,30,IF(G750=2,20,IF(G750=3,10,IF(G750&lt;&gt;"",1,0))))+IF(H750=1,30,IF(H750=2,20,IF(H750=3,10,IF(H750&lt;&gt;"",1,0)))))*2)</f>
        <v/>
      </c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14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>
        <f>IF(AND(C751="",OR(E751="",E751=0)),"",(IF(E751=1,30,IF(E751=2,20,IF(E751=3,10,IF(E751&lt;&gt;"",1,0))))+IF(F751=1,30,IF(F751=2,20,IF(F751=3,10,IF(F751&lt;&gt;"",1,0))))+IF(G751=1,30,IF(G751=2,20,IF(G751=3,10,IF(G751&lt;&gt;"",1,0))))+IF(H751=1,30,IF(H751=2,20,IF(H751=3,10,IF(H751&lt;&gt;"",1,0)))))*2)</f>
        <v/>
      </c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14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>
        <f>IF(AND(C752="",OR(E752="",E752=0)),"",(IF(E752=1,30,IF(E752=2,20,IF(E752=3,10,IF(E752&lt;&gt;"",1,0))))+IF(F752=1,30,IF(F752=2,20,IF(F752=3,10,IF(F752&lt;&gt;"",1,0))))+IF(G752=1,30,IF(G752=2,20,IF(G752=3,10,IF(G752&lt;&gt;"",1,0))))+IF(H752=1,30,IF(H752=2,20,IF(H752=3,10,IF(H752&lt;&gt;"",1,0)))))*2)</f>
        <v/>
      </c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14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>
        <f>IF(AND(C753="",OR(E753="",E753=0)),"",(IF(E753=1,30,IF(E753=2,20,IF(E753=3,10,IF(E753&lt;&gt;"",1,0))))+IF(F753=1,30,IF(F753=2,20,IF(F753=3,10,IF(F753&lt;&gt;"",1,0))))+IF(G753=1,30,IF(G753=2,20,IF(G753=3,10,IF(G753&lt;&gt;"",1,0))))+IF(H753=1,30,IF(H753=2,20,IF(H753=3,10,IF(H753&lt;&gt;"",1,0)))))*2)</f>
        <v/>
      </c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14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>
        <f>IF(AND(C754="",OR(E754="",E754=0)),"",(IF(E754=1,30,IF(E754=2,20,IF(E754=3,10,IF(E754&lt;&gt;"",1,0))))+IF(F754=1,30,IF(F754=2,20,IF(F754=3,10,IF(F754&lt;&gt;"",1,0))))+IF(G754=1,30,IF(G754=2,20,IF(G754=3,10,IF(G754&lt;&gt;"",1,0))))+IF(H754=1,30,IF(H754=2,20,IF(H754=3,10,IF(H754&lt;&gt;"",1,0)))))*2)</f>
        <v/>
      </c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14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>
        <f>IF(AND(C755="",OR(E755="",E755=0)),"",(IF(E755=1,30,IF(E755=2,20,IF(E755=3,10,IF(E755&lt;&gt;"",1,0))))+IF(F755=1,30,IF(F755=2,20,IF(F755=3,10,IF(F755&lt;&gt;"",1,0))))+IF(G755=1,30,IF(G755=2,20,IF(G755=3,10,IF(G755&lt;&gt;"",1,0))))+IF(H755=1,30,IF(H755=2,20,IF(H755=3,10,IF(H755&lt;&gt;"",1,0)))))*2)</f>
        <v/>
      </c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14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>
        <f>IF(AND(C756="",OR(E756="",E756=0)),"",(IF(E756=1,30,IF(E756=2,20,IF(E756=3,10,IF(E756&lt;&gt;"",1,0))))+IF(F756=1,30,IF(F756=2,20,IF(F756=3,10,IF(F756&lt;&gt;"",1,0))))+IF(G756=1,30,IF(G756=2,20,IF(G756=3,10,IF(G756&lt;&gt;"",1,0))))+IF(H756=1,30,IF(H756=2,20,IF(H756=3,10,IF(H756&lt;&gt;"",1,0)))))*2)</f>
        <v/>
      </c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14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>
        <f>IF(AND(C757="",OR(E757="",E757=0)),"",(IF(E757=1,30,IF(E757=2,20,IF(E757=3,10,IF(E757&lt;&gt;"",1,0))))+IF(F757=1,30,IF(F757=2,20,IF(F757=3,10,IF(F757&lt;&gt;"",1,0))))+IF(G757=1,30,IF(G757=2,20,IF(G757=3,10,IF(G757&lt;&gt;"",1,0))))+IF(H757=1,30,IF(H757=2,20,IF(H757=3,10,IF(H757&lt;&gt;"",1,0)))))*2)</f>
        <v/>
      </c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14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>
        <f>IF(AND(C758="",OR(E758="",E758=0)),"",(IF(E758=1,30,IF(E758=2,20,IF(E758=3,10,IF(E758&lt;&gt;"",1,0))))+IF(F758=1,30,IF(F758=2,20,IF(F758=3,10,IF(F758&lt;&gt;"",1,0))))+IF(G758=1,30,IF(G758=2,20,IF(G758=3,10,IF(G758&lt;&gt;"",1,0))))+IF(H758=1,30,IF(H758=2,20,IF(H758=3,10,IF(H758&lt;&gt;"",1,0)))))*2)</f>
        <v/>
      </c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14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>
        <f>IF(AND(C759="",OR(E759="",E759=0)),"",(IF(E759=1,30,IF(E759=2,20,IF(E759=3,10,IF(E759&lt;&gt;"",1,0))))+IF(F759=1,30,IF(F759=2,20,IF(F759=3,10,IF(F759&lt;&gt;"",1,0))))+IF(G759=1,30,IF(G759=2,20,IF(G759=3,10,IF(G759&lt;&gt;"",1,0))))+IF(H759=1,30,IF(H759=2,20,IF(H759=3,10,IF(H759&lt;&gt;"",1,0)))))*2)</f>
        <v/>
      </c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14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>
        <f>IF(AND(C760="",OR(E760="",E760=0)),"",(IF(E760=1,30,IF(E760=2,20,IF(E760=3,10,IF(E760&lt;&gt;"",1,0))))+IF(F760=1,30,IF(F760=2,20,IF(F760=3,10,IF(F760&lt;&gt;"",1,0))))+IF(G760=1,30,IF(G760=2,20,IF(G760=3,10,IF(G760&lt;&gt;"",1,0))))+IF(H760=1,30,IF(H760=2,20,IF(H760=3,10,IF(H760&lt;&gt;"",1,0)))))*2)</f>
        <v/>
      </c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14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>
        <f>IF(AND(C761="",OR(E761="",E761=0)),"",(IF(E761=1,30,IF(E761=2,20,IF(E761=3,10,IF(E761&lt;&gt;"",1,0))))+IF(F761=1,30,IF(F761=2,20,IF(F761=3,10,IF(F761&lt;&gt;"",1,0))))+IF(G761=1,30,IF(G761=2,20,IF(G761=3,10,IF(G761&lt;&gt;"",1,0))))+IF(H761=1,30,IF(H761=2,20,IF(H761=3,10,IF(H761&lt;&gt;"",1,0)))))*2)</f>
        <v/>
      </c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14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>
        <f>IF(AND(C762="",OR(E762="",E762=0)),"",(IF(E762=1,30,IF(E762=2,20,IF(E762=3,10,IF(E762&lt;&gt;"",1,0))))+IF(F762=1,30,IF(F762=2,20,IF(F762=3,10,IF(F762&lt;&gt;"",1,0))))+IF(G762=1,30,IF(G762=2,20,IF(G762=3,10,IF(G762&lt;&gt;"",1,0))))+IF(H762=1,30,IF(H762=2,20,IF(H762=3,10,IF(H762&lt;&gt;"",1,0)))))*2)</f>
        <v/>
      </c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14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>
        <f>IF(AND(C763="",OR(E763="",E763=0)),"",(IF(E763=1,30,IF(E763=2,20,IF(E763=3,10,IF(E763&lt;&gt;"",1,0))))+IF(F763=1,30,IF(F763=2,20,IF(F763=3,10,IF(F763&lt;&gt;"",1,0))))+IF(G763=1,30,IF(G763=2,20,IF(G763=3,10,IF(G763&lt;&gt;"",1,0))))+IF(H763=1,30,IF(H763=2,20,IF(H763=3,10,IF(H763&lt;&gt;"",1,0)))))*2)</f>
        <v/>
      </c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14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>
        <f>IF(AND(C764="",OR(E764="",E764=0)),"",(IF(E764=1,30,IF(E764=2,20,IF(E764=3,10,IF(E764&lt;&gt;"",1,0))))+IF(F764=1,30,IF(F764=2,20,IF(F764=3,10,IF(F764&lt;&gt;"",1,0))))+IF(G764=1,30,IF(G764=2,20,IF(G764=3,10,IF(G764&lt;&gt;"",1,0))))+IF(H764=1,30,IF(H764=2,20,IF(H764=3,10,IF(H764&lt;&gt;"",1,0)))))*2)</f>
        <v/>
      </c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14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>
        <f>IF(AND(C765="",OR(E765="",E765=0)),"",(IF(E765=1,30,IF(E765=2,20,IF(E765=3,10,IF(E765&lt;&gt;"",1,0))))+IF(F765=1,30,IF(F765=2,20,IF(F765=3,10,IF(F765&lt;&gt;"",1,0))))+IF(G765=1,30,IF(G765=2,20,IF(G765=3,10,IF(G765&lt;&gt;"",1,0))))+IF(H765=1,30,IF(H765=2,20,IF(H765=3,10,IF(H765&lt;&gt;"",1,0)))))*2)</f>
        <v/>
      </c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14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>
        <f>IF(AND(C766="",OR(E766="",E766=0)),"",(IF(E766=1,30,IF(E766=2,20,IF(E766=3,10,IF(E766&lt;&gt;"",1,0))))+IF(F766=1,30,IF(F766=2,20,IF(F766=3,10,IF(F766&lt;&gt;"",1,0))))+IF(G766=1,30,IF(G766=2,20,IF(G766=3,10,IF(G766&lt;&gt;"",1,0))))+IF(H766=1,30,IF(H766=2,20,IF(H766=3,10,IF(H766&lt;&gt;"",1,0)))))*2)</f>
        <v/>
      </c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14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>
        <f>IF(AND(C767="",OR(E767="",E767=0)),"",(IF(E767=1,30,IF(E767=2,20,IF(E767=3,10,IF(E767&lt;&gt;"",1,0))))+IF(F767=1,30,IF(F767=2,20,IF(F767=3,10,IF(F767&lt;&gt;"",1,0))))+IF(G767=1,30,IF(G767=2,20,IF(G767=3,10,IF(G767&lt;&gt;"",1,0))))+IF(H767=1,30,IF(H767=2,20,IF(H767=3,10,IF(H767&lt;&gt;"",1,0)))))*2)</f>
        <v/>
      </c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14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>
        <f>IF(AND(C768="",OR(E768="",E768=0)),"",(IF(E768=1,30,IF(E768=2,20,IF(E768=3,10,IF(E768&lt;&gt;"",1,0))))+IF(F768=1,30,IF(F768=2,20,IF(F768=3,10,IF(F768&lt;&gt;"",1,0))))+IF(G768=1,30,IF(G768=2,20,IF(G768=3,10,IF(G768&lt;&gt;"",1,0))))+IF(H768=1,30,IF(H768=2,20,IF(H768=3,10,IF(H768&lt;&gt;"",1,0)))))*2)</f>
        <v/>
      </c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14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>
        <f>IF(AND(C769="",OR(E769="",E769=0)),"",(IF(E769=1,30,IF(E769=2,20,IF(E769=3,10,IF(E769&lt;&gt;"",1,0))))+IF(F769=1,30,IF(F769=2,20,IF(F769=3,10,IF(F769&lt;&gt;"",1,0))))+IF(G769=1,30,IF(G769=2,20,IF(G769=3,10,IF(G769&lt;&gt;"",1,0))))+IF(H769=1,30,IF(H769=2,20,IF(H769=3,10,IF(H769&lt;&gt;"",1,0)))))*2)</f>
        <v/>
      </c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14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>
        <f>IF(AND(C770="",OR(E770="",E770=0)),"",(IF(E770=1,30,IF(E770=2,20,IF(E770=3,10,IF(E770&lt;&gt;"",1,0))))+IF(F770=1,30,IF(F770=2,20,IF(F770=3,10,IF(F770&lt;&gt;"",1,0))))+IF(G770=1,30,IF(G770=2,20,IF(G770=3,10,IF(G770&lt;&gt;"",1,0))))+IF(H770=1,30,IF(H770=2,20,IF(H770=3,10,IF(H770&lt;&gt;"",1,0)))))*2)</f>
        <v/>
      </c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14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>
        <f>IF(AND(C771="",OR(E771="",E771=0)),"",(IF(E771=1,30,IF(E771=2,20,IF(E771=3,10,IF(E771&lt;&gt;"",1,0))))+IF(F771=1,30,IF(F771=2,20,IF(F771=3,10,IF(F771&lt;&gt;"",1,0))))+IF(G771=1,30,IF(G771=2,20,IF(G771=3,10,IF(G771&lt;&gt;"",1,0))))+IF(H771=1,30,IF(H771=2,20,IF(H771=3,10,IF(H771&lt;&gt;"",1,0)))))*2)</f>
        <v/>
      </c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14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>
        <f>IF(AND(C772="",OR(E772="",E772=0)),"",(IF(E772=1,30,IF(E772=2,20,IF(E772=3,10,IF(E772&lt;&gt;"",1,0))))+IF(F772=1,30,IF(F772=2,20,IF(F772=3,10,IF(F772&lt;&gt;"",1,0))))+IF(G772=1,30,IF(G772=2,20,IF(G772=3,10,IF(G772&lt;&gt;"",1,0))))+IF(H772=1,30,IF(H772=2,20,IF(H772=3,10,IF(H772&lt;&gt;"",1,0)))))*2)</f>
        <v/>
      </c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14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>
        <f>IF(AND(C773="",OR(E773="",E773=0)),"",(IF(E773=1,30,IF(E773=2,20,IF(E773=3,10,IF(E773&lt;&gt;"",1,0))))+IF(F773=1,30,IF(F773=2,20,IF(F773=3,10,IF(F773&lt;&gt;"",1,0))))+IF(G773=1,30,IF(G773=2,20,IF(G773=3,10,IF(G773&lt;&gt;"",1,0))))+IF(H773=1,30,IF(H773=2,20,IF(H773=3,10,IF(H773&lt;&gt;"",1,0)))))*2)</f>
        <v/>
      </c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14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>
        <f>IF(AND(C774="",OR(E774="",E774=0)),"",(IF(E774=1,30,IF(E774=2,20,IF(E774=3,10,IF(E774&lt;&gt;"",1,0))))+IF(F774=1,30,IF(F774=2,20,IF(F774=3,10,IF(F774&lt;&gt;"",1,0))))+IF(G774=1,30,IF(G774=2,20,IF(G774=3,10,IF(G774&lt;&gt;"",1,0))))+IF(H774=1,30,IF(H774=2,20,IF(H774=3,10,IF(H774&lt;&gt;"",1,0)))))*2)</f>
        <v/>
      </c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14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>
        <f>IF(AND(C775="",OR(E775="",E775=0)),"",(IF(E775=1,30,IF(E775=2,20,IF(E775=3,10,IF(E775&lt;&gt;"",1,0))))+IF(F775=1,30,IF(F775=2,20,IF(F775=3,10,IF(F775&lt;&gt;"",1,0))))+IF(G775=1,30,IF(G775=2,20,IF(G775=3,10,IF(G775&lt;&gt;"",1,0))))+IF(H775=1,30,IF(H775=2,20,IF(H775=3,10,IF(H775&lt;&gt;"",1,0)))))*2)</f>
        <v/>
      </c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14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>
        <f>IF(AND(C776="",OR(E776="",E776=0)),"",(IF(E776=1,30,IF(E776=2,20,IF(E776=3,10,IF(E776&lt;&gt;"",1,0))))+IF(F776=1,30,IF(F776=2,20,IF(F776=3,10,IF(F776&lt;&gt;"",1,0))))+IF(G776=1,30,IF(G776=2,20,IF(G776=3,10,IF(G776&lt;&gt;"",1,0))))+IF(H776=1,30,IF(H776=2,20,IF(H776=3,10,IF(H776&lt;&gt;"",1,0)))))*2)</f>
        <v/>
      </c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14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>
        <f>IF(AND(C777="",OR(E777="",E777=0)),"",(IF(E777=1,30,IF(E777=2,20,IF(E777=3,10,IF(E777&lt;&gt;"",1,0))))+IF(F777=1,30,IF(F777=2,20,IF(F777=3,10,IF(F777&lt;&gt;"",1,0))))+IF(G777=1,30,IF(G777=2,20,IF(G777=3,10,IF(G777&lt;&gt;"",1,0))))+IF(H777=1,30,IF(H777=2,20,IF(H777=3,10,IF(H777&lt;&gt;"",1,0)))))*2)</f>
        <v/>
      </c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14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>
        <f>IF(AND(C778="",OR(E778="",E778=0)),"",(IF(E778=1,30,IF(E778=2,20,IF(E778=3,10,IF(E778&lt;&gt;"",1,0))))+IF(F778=1,30,IF(F778=2,20,IF(F778=3,10,IF(F778&lt;&gt;"",1,0))))+IF(G778=1,30,IF(G778=2,20,IF(G778=3,10,IF(G778&lt;&gt;"",1,0))))+IF(H778=1,30,IF(H778=2,20,IF(H778=3,10,IF(H778&lt;&gt;"",1,0)))))*2)</f>
        <v/>
      </c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14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>
        <f>IF(AND(C779="",OR(E779="",E779=0)),"",(IF(E779=1,30,IF(E779=2,20,IF(E779=3,10,IF(E779&lt;&gt;"",1,0))))+IF(F779=1,30,IF(F779=2,20,IF(F779=3,10,IF(F779&lt;&gt;"",1,0))))+IF(G779=1,30,IF(G779=2,20,IF(G779=3,10,IF(G779&lt;&gt;"",1,0))))+IF(H779=1,30,IF(H779=2,20,IF(H779=3,10,IF(H779&lt;&gt;"",1,0)))))*2)</f>
        <v/>
      </c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14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>
        <f>IF(AND(C780="",OR(E780="",E780=0)),"",(IF(E780=1,30,IF(E780=2,20,IF(E780=3,10,IF(E780&lt;&gt;"",1,0))))+IF(F780=1,30,IF(F780=2,20,IF(F780=3,10,IF(F780&lt;&gt;"",1,0))))+IF(G780=1,30,IF(G780=2,20,IF(G780=3,10,IF(G780&lt;&gt;"",1,0))))+IF(H780=1,30,IF(H780=2,20,IF(H780=3,10,IF(H780&lt;&gt;"",1,0)))))*2)</f>
        <v/>
      </c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14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>
        <f>IF(AND(C781="",OR(E781="",E781=0)),"",(IF(E781=1,30,IF(E781=2,20,IF(E781=3,10,IF(E781&lt;&gt;"",1,0))))+IF(F781=1,30,IF(F781=2,20,IF(F781=3,10,IF(F781&lt;&gt;"",1,0))))+IF(G781=1,30,IF(G781=2,20,IF(G781=3,10,IF(G781&lt;&gt;"",1,0))))+IF(H781=1,30,IF(H781=2,20,IF(H781=3,10,IF(H781&lt;&gt;"",1,0)))))*2)</f>
        <v/>
      </c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14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>
        <f>IF(AND(C782="",OR(E782="",E782=0)),"",(IF(E782=1,30,IF(E782=2,20,IF(E782=3,10,IF(E782&lt;&gt;"",1,0))))+IF(F782=1,30,IF(F782=2,20,IF(F782=3,10,IF(F782&lt;&gt;"",1,0))))+IF(G782=1,30,IF(G782=2,20,IF(G782=3,10,IF(G782&lt;&gt;"",1,0))))+IF(H782=1,30,IF(H782=2,20,IF(H782=3,10,IF(H782&lt;&gt;"",1,0)))))*2)</f>
        <v/>
      </c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14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>
        <f>IF(AND(C783="",OR(E783="",E783=0)),"",(IF(E783=1,30,IF(E783=2,20,IF(E783=3,10,IF(E783&lt;&gt;"",1,0))))+IF(F783=1,30,IF(F783=2,20,IF(F783=3,10,IF(F783&lt;&gt;"",1,0))))+IF(G783=1,30,IF(G783=2,20,IF(G783=3,10,IF(G783&lt;&gt;"",1,0))))+IF(H783=1,30,IF(H783=2,20,IF(H783=3,10,IF(H783&lt;&gt;"",1,0)))))*2)</f>
        <v/>
      </c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14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>
        <f>IF(AND(C784="",OR(E784="",E784=0)),"",(IF(E784=1,30,IF(E784=2,20,IF(E784=3,10,IF(E784&lt;&gt;"",1,0))))+IF(F784=1,30,IF(F784=2,20,IF(F784=3,10,IF(F784&lt;&gt;"",1,0))))+IF(G784=1,30,IF(G784=2,20,IF(G784=3,10,IF(G784&lt;&gt;"",1,0))))+IF(H784=1,30,IF(H784=2,20,IF(H784=3,10,IF(H784&lt;&gt;"",1,0)))))*2)</f>
        <v/>
      </c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14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>
        <f>IF(AND(C785="",OR(E785="",E785=0)),"",(IF(E785=1,30,IF(E785=2,20,IF(E785=3,10,IF(E785&lt;&gt;"",1,0))))+IF(F785=1,30,IF(F785=2,20,IF(F785=3,10,IF(F785&lt;&gt;"",1,0))))+IF(G785=1,30,IF(G785=2,20,IF(G785=3,10,IF(G785&lt;&gt;"",1,0))))+IF(H785=1,30,IF(H785=2,20,IF(H785=3,10,IF(H785&lt;&gt;"",1,0)))))*2)</f>
        <v/>
      </c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14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>
        <f>IF(AND(C786="",OR(E786="",E786=0)),"",(IF(E786=1,30,IF(E786=2,20,IF(E786=3,10,IF(E786&lt;&gt;"",1,0))))+IF(F786=1,30,IF(F786=2,20,IF(F786=3,10,IF(F786&lt;&gt;"",1,0))))+IF(G786=1,30,IF(G786=2,20,IF(G786=3,10,IF(G786&lt;&gt;"",1,0))))+IF(H786=1,30,IF(H786=2,20,IF(H786=3,10,IF(H786&lt;&gt;"",1,0)))))*2)</f>
        <v/>
      </c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14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>
        <f>IF(AND(C787="",OR(E787="",E787=0)),"",(IF(E787=1,30,IF(E787=2,20,IF(E787=3,10,IF(E787&lt;&gt;"",1,0))))+IF(F787=1,30,IF(F787=2,20,IF(F787=3,10,IF(F787&lt;&gt;"",1,0))))+IF(G787=1,30,IF(G787=2,20,IF(G787=3,10,IF(G787&lt;&gt;"",1,0))))+IF(H787=1,30,IF(H787=2,20,IF(H787=3,10,IF(H787&lt;&gt;"",1,0)))))*2)</f>
        <v/>
      </c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14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>
        <f>IF(AND(C788="",OR(E788="",E788=0)),"",(IF(E788=1,30,IF(E788=2,20,IF(E788=3,10,IF(E788&lt;&gt;"",1,0))))+IF(F788=1,30,IF(F788=2,20,IF(F788=3,10,IF(F788&lt;&gt;"",1,0))))+IF(G788=1,30,IF(G788=2,20,IF(G788=3,10,IF(G788&lt;&gt;"",1,0))))+IF(H788=1,30,IF(H788=2,20,IF(H788=3,10,IF(H788&lt;&gt;"",1,0)))))*2)</f>
        <v/>
      </c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14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>
        <f>IF(AND(C789="",OR(E789="",E789=0)),"",(IF(E789=1,30,IF(E789=2,20,IF(E789=3,10,IF(E789&lt;&gt;"",1,0))))+IF(F789=1,30,IF(F789=2,20,IF(F789=3,10,IF(F789&lt;&gt;"",1,0))))+IF(G789=1,30,IF(G789=2,20,IF(G789=3,10,IF(G789&lt;&gt;"",1,0))))+IF(H789=1,30,IF(H789=2,20,IF(H789=3,10,IF(H789&lt;&gt;"",1,0)))))*2)</f>
        <v/>
      </c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14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>
        <f>IF(AND(C790="",OR(E790="",E790=0)),"",(IF(E790=1,30,IF(E790=2,20,IF(E790=3,10,IF(E790&lt;&gt;"",1,0))))+IF(F790=1,30,IF(F790=2,20,IF(F790=3,10,IF(F790&lt;&gt;"",1,0))))+IF(G790=1,30,IF(G790=2,20,IF(G790=3,10,IF(G790&lt;&gt;"",1,0))))+IF(H790=1,30,IF(H790=2,20,IF(H790=3,10,IF(H790&lt;&gt;"",1,0)))))*2)</f>
        <v/>
      </c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14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>
        <f>IF(AND(C791="",OR(E791="",E791=0)),"",(IF(E791=1,30,IF(E791=2,20,IF(E791=3,10,IF(E791&lt;&gt;"",1,0))))+IF(F791=1,30,IF(F791=2,20,IF(F791=3,10,IF(F791&lt;&gt;"",1,0))))+IF(G791=1,30,IF(G791=2,20,IF(G791=3,10,IF(G791&lt;&gt;"",1,0))))+IF(H791=1,30,IF(H791=2,20,IF(H791=3,10,IF(H791&lt;&gt;"",1,0)))))*2)</f>
        <v/>
      </c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14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>
        <f>IF(AND(C792="",OR(E792="",E792=0)),"",(IF(E792=1,30,IF(E792=2,20,IF(E792=3,10,IF(E792&lt;&gt;"",1,0))))+IF(F792=1,30,IF(F792=2,20,IF(F792=3,10,IF(F792&lt;&gt;"",1,0))))+IF(G792=1,30,IF(G792=2,20,IF(G792=3,10,IF(G792&lt;&gt;"",1,0))))+IF(H792=1,30,IF(H792=2,20,IF(H792=3,10,IF(H792&lt;&gt;"",1,0)))))*2)</f>
        <v/>
      </c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14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>
        <f>IF(AND(C793="",OR(E793="",E793=0)),"",(IF(E793=1,30,IF(E793=2,20,IF(E793=3,10,IF(E793&lt;&gt;"",1,0))))+IF(F793=1,30,IF(F793=2,20,IF(F793=3,10,IF(F793&lt;&gt;"",1,0))))+IF(G793=1,30,IF(G793=2,20,IF(G793=3,10,IF(G793&lt;&gt;"",1,0))))+IF(H793=1,30,IF(H793=2,20,IF(H793=3,10,IF(H793&lt;&gt;"",1,0)))))*2)</f>
        <v/>
      </c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14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>
        <f>IF(AND(C794="",OR(E794="",E794=0)),"",(IF(E794=1,30,IF(E794=2,20,IF(E794=3,10,IF(E794&lt;&gt;"",1,0))))+IF(F794=1,30,IF(F794=2,20,IF(F794=3,10,IF(F794&lt;&gt;"",1,0))))+IF(G794=1,30,IF(G794=2,20,IF(G794=3,10,IF(G794&lt;&gt;"",1,0))))+IF(H794=1,30,IF(H794=2,20,IF(H794=3,10,IF(H794&lt;&gt;"",1,0)))))*2)</f>
        <v/>
      </c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14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>
        <f>IF(AND(C795="",OR(E795="",E795=0)),"",(IF(E795=1,30,IF(E795=2,20,IF(E795=3,10,IF(E795&lt;&gt;"",1,0))))+IF(F795=1,30,IF(F795=2,20,IF(F795=3,10,IF(F795&lt;&gt;"",1,0))))+IF(G795=1,30,IF(G795=2,20,IF(G795=3,10,IF(G795&lt;&gt;"",1,0))))+IF(H795=1,30,IF(H795=2,20,IF(H795=3,10,IF(H795&lt;&gt;"",1,0)))))*2)</f>
        <v/>
      </c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14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>
        <f>IF(AND(C796="",OR(E796="",E796=0)),"",(IF(E796=1,30,IF(E796=2,20,IF(E796=3,10,IF(E796&lt;&gt;"",1,0))))+IF(F796=1,30,IF(F796=2,20,IF(F796=3,10,IF(F796&lt;&gt;"",1,0))))+IF(G796=1,30,IF(G796=2,20,IF(G796=3,10,IF(G796&lt;&gt;"",1,0))))+IF(H796=1,30,IF(H796=2,20,IF(H796=3,10,IF(H796&lt;&gt;"",1,0)))))*2)</f>
        <v/>
      </c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14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>
        <f>IF(AND(C797="",OR(E797="",E797=0)),"",(IF(E797=1,30,IF(E797=2,20,IF(E797=3,10,IF(E797&lt;&gt;"",1,0))))+IF(F797=1,30,IF(F797=2,20,IF(F797=3,10,IF(F797&lt;&gt;"",1,0))))+IF(G797=1,30,IF(G797=2,20,IF(G797=3,10,IF(G797&lt;&gt;"",1,0))))+IF(H797=1,30,IF(H797=2,20,IF(H797=3,10,IF(H797&lt;&gt;"",1,0)))))*2)</f>
        <v/>
      </c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14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>
        <f>IF(AND(C798="",OR(E798="",E798=0)),"",(IF(E798=1,30,IF(E798=2,20,IF(E798=3,10,IF(E798&lt;&gt;"",1,0))))+IF(F798=1,30,IF(F798=2,20,IF(F798=3,10,IF(F798&lt;&gt;"",1,0))))+IF(G798=1,30,IF(G798=2,20,IF(G798=3,10,IF(G798&lt;&gt;"",1,0))))+IF(H798=1,30,IF(H798=2,20,IF(H798=3,10,IF(H798&lt;&gt;"",1,0)))))*2)</f>
        <v/>
      </c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14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>
        <f>IF(AND(C799="",OR(E799="",E799=0)),"",(IF(E799=1,30,IF(E799=2,20,IF(E799=3,10,IF(E799&lt;&gt;"",1,0))))+IF(F799=1,30,IF(F799=2,20,IF(F799=3,10,IF(F799&lt;&gt;"",1,0))))+IF(G799=1,30,IF(G799=2,20,IF(G799=3,10,IF(G799&lt;&gt;"",1,0))))+IF(H799=1,30,IF(H799=2,20,IF(H799=3,10,IF(H799&lt;&gt;"",1,0)))))*2)</f>
        <v/>
      </c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14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>
        <f>IF(AND(C800="",OR(E800="",E800=0)),"",(IF(E800=1,30,IF(E800=2,20,IF(E800=3,10,IF(E800&lt;&gt;"",1,0))))+IF(F800=1,30,IF(F800=2,20,IF(F800=3,10,IF(F800&lt;&gt;"",1,0))))+IF(G800=1,30,IF(G800=2,20,IF(G800=3,10,IF(G800&lt;&gt;"",1,0))))+IF(H800=1,30,IF(H800=2,20,IF(H800=3,10,IF(H800&lt;&gt;"",1,0)))))*2)</f>
        <v/>
      </c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14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>
        <f>IF(AND(C801="",OR(E801="",E801=0)),"",(IF(E801=1,30,IF(E801=2,20,IF(E801=3,10,IF(E801&lt;&gt;"",1,0))))+IF(F801=1,30,IF(F801=2,20,IF(F801=3,10,IF(F801&lt;&gt;"",1,0))))+IF(G801=1,30,IF(G801=2,20,IF(G801=3,10,IF(G801&lt;&gt;"",1,0))))+IF(H801=1,30,IF(H801=2,20,IF(H801=3,10,IF(H801&lt;&gt;"",1,0)))))*2)</f>
        <v/>
      </c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14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>
        <f>IF(AND(C802="",OR(E802="",E802=0)),"",(IF(E802=1,30,IF(E802=2,20,IF(E802=3,10,IF(E802&lt;&gt;"",1,0))))+IF(F802=1,30,IF(F802=2,20,IF(F802=3,10,IF(F802&lt;&gt;"",1,0))))+IF(G802=1,30,IF(G802=2,20,IF(G802=3,10,IF(G802&lt;&gt;"",1,0))))+IF(H802=1,30,IF(H802=2,20,IF(H802=3,10,IF(H802&lt;&gt;"",1,0)))))*2)</f>
        <v/>
      </c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14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>
        <f>IF(AND(C803="",OR(E803="",E803=0)),"",(IF(E803=1,30,IF(E803=2,20,IF(E803=3,10,IF(E803&lt;&gt;"",1,0))))+IF(F803=1,30,IF(F803=2,20,IF(F803=3,10,IF(F803&lt;&gt;"",1,0))))+IF(G803=1,30,IF(G803=2,20,IF(G803=3,10,IF(G803&lt;&gt;"",1,0))))+IF(H803=1,30,IF(H803=2,20,IF(H803=3,10,IF(H803&lt;&gt;"",1,0)))))*2)</f>
        <v/>
      </c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14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>
        <f>IF(AND(C804="",OR(E804="",E804=0)),"",(IF(E804=1,30,IF(E804=2,20,IF(E804=3,10,IF(E804&lt;&gt;"",1,0))))+IF(F804=1,30,IF(F804=2,20,IF(F804=3,10,IF(F804&lt;&gt;"",1,0))))+IF(G804=1,30,IF(G804=2,20,IF(G804=3,10,IF(G804&lt;&gt;"",1,0))))+IF(H804=1,30,IF(H804=2,20,IF(H804=3,10,IF(H804&lt;&gt;"",1,0)))))*2)</f>
        <v/>
      </c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14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>
        <f>IF(AND(C805="",OR(E805="",E805=0)),"",(IF(E805=1,30,IF(E805=2,20,IF(E805=3,10,IF(E805&lt;&gt;"",1,0))))+IF(F805=1,30,IF(F805=2,20,IF(F805=3,10,IF(F805&lt;&gt;"",1,0))))+IF(G805=1,30,IF(G805=2,20,IF(G805=3,10,IF(G805&lt;&gt;"",1,0))))+IF(H805=1,30,IF(H805=2,20,IF(H805=3,10,IF(H805&lt;&gt;"",1,0)))))*2)</f>
        <v/>
      </c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14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>
        <f>IF(AND(C806="",OR(E806="",E806=0)),"",(IF(E806=1,30,IF(E806=2,20,IF(E806=3,10,IF(E806&lt;&gt;"",1,0))))+IF(F806=1,30,IF(F806=2,20,IF(F806=3,10,IF(F806&lt;&gt;"",1,0))))+IF(G806=1,30,IF(G806=2,20,IF(G806=3,10,IF(G806&lt;&gt;"",1,0))))+IF(H806=1,30,IF(H806=2,20,IF(H806=3,10,IF(H806&lt;&gt;"",1,0)))))*2)</f>
        <v/>
      </c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14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>
        <f>IF(AND(C807="",OR(E807="",E807=0)),"",(IF(E807=1,30,IF(E807=2,20,IF(E807=3,10,IF(E807&lt;&gt;"",1,0))))+IF(F807=1,30,IF(F807=2,20,IF(F807=3,10,IF(F807&lt;&gt;"",1,0))))+IF(G807=1,30,IF(G807=2,20,IF(G807=3,10,IF(G807&lt;&gt;"",1,0))))+IF(H807=1,30,IF(H807=2,20,IF(H807=3,10,IF(H807&lt;&gt;"",1,0)))))*2)</f>
        <v/>
      </c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14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>
        <f>IF(AND(C808="",OR(E808="",E808=0)),"",(IF(E808=1,30,IF(E808=2,20,IF(E808=3,10,IF(E808&lt;&gt;"",1,0))))+IF(F808=1,30,IF(F808=2,20,IF(F808=3,10,IF(F808&lt;&gt;"",1,0))))+IF(G808=1,30,IF(G808=2,20,IF(G808=3,10,IF(G808&lt;&gt;"",1,0))))+IF(H808=1,30,IF(H808=2,20,IF(H808=3,10,IF(H808&lt;&gt;"",1,0)))))*2)</f>
        <v/>
      </c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14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>
        <f>IF(AND(C809="",OR(E809="",E809=0)),"",(IF(E809=1,30,IF(E809=2,20,IF(E809=3,10,IF(E809&lt;&gt;"",1,0))))+IF(F809=1,30,IF(F809=2,20,IF(F809=3,10,IF(F809&lt;&gt;"",1,0))))+IF(G809=1,30,IF(G809=2,20,IF(G809=3,10,IF(G809&lt;&gt;"",1,0))))+IF(H809=1,30,IF(H809=2,20,IF(H809=3,10,IF(H809&lt;&gt;"",1,0)))))*2)</f>
        <v/>
      </c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14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>
        <f>IF(AND(C810="",OR(E810="",E810=0)),"",(IF(E810=1,30,IF(E810=2,20,IF(E810=3,10,IF(E810&lt;&gt;"",1,0))))+IF(F810=1,30,IF(F810=2,20,IF(F810=3,10,IF(F810&lt;&gt;"",1,0))))+IF(G810=1,30,IF(G810=2,20,IF(G810=3,10,IF(G810&lt;&gt;"",1,0))))+IF(H810=1,30,IF(H810=2,20,IF(H810=3,10,IF(H810&lt;&gt;"",1,0)))))*2)</f>
        <v/>
      </c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14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>
        <f>IF(AND(C811="",OR(E811="",E811=0)),"",(IF(E811=1,30,IF(E811=2,20,IF(E811=3,10,IF(E811&lt;&gt;"",1,0))))+IF(F811=1,30,IF(F811=2,20,IF(F811=3,10,IF(F811&lt;&gt;"",1,0))))+IF(G811=1,30,IF(G811=2,20,IF(G811=3,10,IF(G811&lt;&gt;"",1,0))))+IF(H811=1,30,IF(H811=2,20,IF(H811=3,10,IF(H811&lt;&gt;"",1,0)))))*2)</f>
        <v/>
      </c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14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>
        <f>IF(AND(C812="",OR(E812="",E812=0)),"",(IF(E812=1,30,IF(E812=2,20,IF(E812=3,10,IF(E812&lt;&gt;"",1,0))))+IF(F812=1,30,IF(F812=2,20,IF(F812=3,10,IF(F812&lt;&gt;"",1,0))))+IF(G812=1,30,IF(G812=2,20,IF(G812=3,10,IF(G812&lt;&gt;"",1,0))))+IF(H812=1,30,IF(H812=2,20,IF(H812=3,10,IF(H812&lt;&gt;"",1,0)))))*2)</f>
        <v/>
      </c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14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>
        <f>IF(AND(C813="",OR(E813="",E813=0)),"",(IF(E813=1,30,IF(E813=2,20,IF(E813=3,10,IF(E813&lt;&gt;"",1,0))))+IF(F813=1,30,IF(F813=2,20,IF(F813=3,10,IF(F813&lt;&gt;"",1,0))))+IF(G813=1,30,IF(G813=2,20,IF(G813=3,10,IF(G813&lt;&gt;"",1,0))))+IF(H813=1,30,IF(H813=2,20,IF(H813=3,10,IF(H813&lt;&gt;"",1,0)))))*2)</f>
        <v/>
      </c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14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>
        <f>IF(AND(C814="",OR(E814="",E814=0)),"",(IF(E814=1,30,IF(E814=2,20,IF(E814=3,10,IF(E814&lt;&gt;"",1,0))))+IF(F814=1,30,IF(F814=2,20,IF(F814=3,10,IF(F814&lt;&gt;"",1,0))))+IF(G814=1,30,IF(G814=2,20,IF(G814=3,10,IF(G814&lt;&gt;"",1,0))))+IF(H814=1,30,IF(H814=2,20,IF(H814=3,10,IF(H814&lt;&gt;"",1,0)))))*2)</f>
        <v/>
      </c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14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>
        <f>IF(AND(C815="",OR(E815="",E815=0)),"",(IF(E815=1,30,IF(E815=2,20,IF(E815=3,10,IF(E815&lt;&gt;"",1,0))))+IF(F815=1,30,IF(F815=2,20,IF(F815=3,10,IF(F815&lt;&gt;"",1,0))))+IF(G815=1,30,IF(G815=2,20,IF(G815=3,10,IF(G815&lt;&gt;"",1,0))))+IF(H815=1,30,IF(H815=2,20,IF(H815=3,10,IF(H815&lt;&gt;"",1,0)))))*2)</f>
        <v/>
      </c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14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>
        <f>IF(AND(C816="",OR(E816="",E816=0)),"",(IF(E816=1,30,IF(E816=2,20,IF(E816=3,10,IF(E816&lt;&gt;"",1,0))))+IF(F816=1,30,IF(F816=2,20,IF(F816=3,10,IF(F816&lt;&gt;"",1,0))))+IF(G816=1,30,IF(G816=2,20,IF(G816=3,10,IF(G816&lt;&gt;"",1,0))))+IF(H816=1,30,IF(H816=2,20,IF(H816=3,10,IF(H816&lt;&gt;"",1,0)))))*2)</f>
        <v/>
      </c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14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>
        <f>IF(AND(C817="",OR(E817="",E817=0)),"",(IF(E817=1,30,IF(E817=2,20,IF(E817=3,10,IF(E817&lt;&gt;"",1,0))))+IF(F817=1,30,IF(F817=2,20,IF(F817=3,10,IF(F817&lt;&gt;"",1,0))))+IF(G817=1,30,IF(G817=2,20,IF(G817=3,10,IF(G817&lt;&gt;"",1,0))))+IF(H817=1,30,IF(H817=2,20,IF(H817=3,10,IF(H817&lt;&gt;"",1,0)))))*2)</f>
        <v/>
      </c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14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>
        <f>IF(AND(C818="",OR(E818="",E818=0)),"",(IF(E818=1,30,IF(E818=2,20,IF(E818=3,10,IF(E818&lt;&gt;"",1,0))))+IF(F818=1,30,IF(F818=2,20,IF(F818=3,10,IF(F818&lt;&gt;"",1,0))))+IF(G818=1,30,IF(G818=2,20,IF(G818=3,10,IF(G818&lt;&gt;"",1,0))))+IF(H818=1,30,IF(H818=2,20,IF(H818=3,10,IF(H818&lt;&gt;"",1,0)))))*2)</f>
        <v/>
      </c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14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>
        <f>IF(AND(C819="",OR(E819="",E819=0)),"",(IF(E819=1,30,IF(E819=2,20,IF(E819=3,10,IF(E819&lt;&gt;"",1,0))))+IF(F819=1,30,IF(F819=2,20,IF(F819=3,10,IF(F819&lt;&gt;"",1,0))))+IF(G819=1,30,IF(G819=2,20,IF(G819=3,10,IF(G819&lt;&gt;"",1,0))))+IF(H819=1,30,IF(H819=2,20,IF(H819=3,10,IF(H819&lt;&gt;"",1,0)))))*2)</f>
        <v/>
      </c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14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>
        <f>IF(AND(C820="",OR(E820="",E820=0)),"",(IF(E820=1,30,IF(E820=2,20,IF(E820=3,10,IF(E820&lt;&gt;"",1,0))))+IF(F820=1,30,IF(F820=2,20,IF(F820=3,10,IF(F820&lt;&gt;"",1,0))))+IF(G820=1,30,IF(G820=2,20,IF(G820=3,10,IF(G820&lt;&gt;"",1,0))))+IF(H820=1,30,IF(H820=2,20,IF(H820=3,10,IF(H820&lt;&gt;"",1,0)))))*2)</f>
        <v/>
      </c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14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>
        <f>IF(AND(C821="",OR(E821="",E821=0)),"",(IF(E821=1,30,IF(E821=2,20,IF(E821=3,10,IF(E821&lt;&gt;"",1,0))))+IF(F821=1,30,IF(F821=2,20,IF(F821=3,10,IF(F821&lt;&gt;"",1,0))))+IF(G821=1,30,IF(G821=2,20,IF(G821=3,10,IF(G821&lt;&gt;"",1,0))))+IF(H821=1,30,IF(H821=2,20,IF(H821=3,10,IF(H821&lt;&gt;"",1,0)))))*2)</f>
        <v/>
      </c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14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>
        <f>IF(AND(C822="",OR(E822="",E822=0)),"",(IF(E822=1,30,IF(E822=2,20,IF(E822=3,10,IF(E822&lt;&gt;"",1,0))))+IF(F822=1,30,IF(F822=2,20,IF(F822=3,10,IF(F822&lt;&gt;"",1,0))))+IF(G822=1,30,IF(G822=2,20,IF(G822=3,10,IF(G822&lt;&gt;"",1,0))))+IF(H822=1,30,IF(H822=2,20,IF(H822=3,10,IF(H822&lt;&gt;"",1,0)))))*2)</f>
        <v/>
      </c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14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>
        <f>IF(AND(C823="",OR(E823="",E823=0)),"",(IF(E823=1,30,IF(E823=2,20,IF(E823=3,10,IF(E823&lt;&gt;"",1,0))))+IF(F823=1,30,IF(F823=2,20,IF(F823=3,10,IF(F823&lt;&gt;"",1,0))))+IF(G823=1,30,IF(G823=2,20,IF(G823=3,10,IF(G823&lt;&gt;"",1,0))))+IF(H823=1,30,IF(H823=2,20,IF(H823=3,10,IF(H823&lt;&gt;"",1,0)))))*2)</f>
        <v/>
      </c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14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>
        <f>IF(AND(C824="",OR(E824="",E824=0)),"",(IF(E824=1,30,IF(E824=2,20,IF(E824=3,10,IF(E824&lt;&gt;"",1,0))))+IF(F824=1,30,IF(F824=2,20,IF(F824=3,10,IF(F824&lt;&gt;"",1,0))))+IF(G824=1,30,IF(G824=2,20,IF(G824=3,10,IF(G824&lt;&gt;"",1,0))))+IF(H824=1,30,IF(H824=2,20,IF(H824=3,10,IF(H824&lt;&gt;"",1,0)))))*2)</f>
        <v/>
      </c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14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>
        <f>IF(AND(C825="",OR(E825="",E825=0)),"",(IF(E825=1,30,IF(E825=2,20,IF(E825=3,10,IF(E825&lt;&gt;"",1,0))))+IF(F825=1,30,IF(F825=2,20,IF(F825=3,10,IF(F825&lt;&gt;"",1,0))))+IF(G825=1,30,IF(G825=2,20,IF(G825=3,10,IF(G825&lt;&gt;"",1,0))))+IF(H825=1,30,IF(H825=2,20,IF(H825=3,10,IF(H825&lt;&gt;"",1,0)))))*2)</f>
        <v/>
      </c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14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>
        <f>IF(AND(C826="",OR(E826="",E826=0)),"",(IF(E826=1,30,IF(E826=2,20,IF(E826=3,10,IF(E826&lt;&gt;"",1,0))))+IF(F826=1,30,IF(F826=2,20,IF(F826=3,10,IF(F826&lt;&gt;"",1,0))))+IF(G826=1,30,IF(G826=2,20,IF(G826=3,10,IF(G826&lt;&gt;"",1,0))))+IF(H826=1,30,IF(H826=2,20,IF(H826=3,10,IF(H826&lt;&gt;"",1,0)))))*2)</f>
        <v/>
      </c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14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>
        <f>IF(AND(C827="",OR(E827="",E827=0)),"",(IF(E827=1,30,IF(E827=2,20,IF(E827=3,10,IF(E827&lt;&gt;"",1,0))))+IF(F827=1,30,IF(F827=2,20,IF(F827=3,10,IF(F827&lt;&gt;"",1,0))))+IF(G827=1,30,IF(G827=2,20,IF(G827=3,10,IF(G827&lt;&gt;"",1,0))))+IF(H827=1,30,IF(H827=2,20,IF(H827=3,10,IF(H827&lt;&gt;"",1,0)))))*2)</f>
        <v/>
      </c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14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>
        <f>IF(AND(C828="",OR(E828="",E828=0)),"",(IF(E828=1,30,IF(E828=2,20,IF(E828=3,10,IF(E828&lt;&gt;"",1,0))))+IF(F828=1,30,IF(F828=2,20,IF(F828=3,10,IF(F828&lt;&gt;"",1,0))))+IF(G828=1,30,IF(G828=2,20,IF(G828=3,10,IF(G828&lt;&gt;"",1,0))))+IF(H828=1,30,IF(H828=2,20,IF(H828=3,10,IF(H828&lt;&gt;"",1,0)))))*2)</f>
        <v/>
      </c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14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>
        <f>IF(AND(C829="",OR(E829="",E829=0)),"",(IF(E829=1,30,IF(E829=2,20,IF(E829=3,10,IF(E829&lt;&gt;"",1,0))))+IF(F829=1,30,IF(F829=2,20,IF(F829=3,10,IF(F829&lt;&gt;"",1,0))))+IF(G829=1,30,IF(G829=2,20,IF(G829=3,10,IF(G829&lt;&gt;"",1,0))))+IF(H829=1,30,IF(H829=2,20,IF(H829=3,10,IF(H829&lt;&gt;"",1,0)))))*2)</f>
        <v/>
      </c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14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>
        <f>IF(AND(C830="",OR(E830="",E830=0)),"",(IF(E830=1,30,IF(E830=2,20,IF(E830=3,10,IF(E830&lt;&gt;"",1,0))))+IF(F830=1,30,IF(F830=2,20,IF(F830=3,10,IF(F830&lt;&gt;"",1,0))))+IF(G830=1,30,IF(G830=2,20,IF(G830=3,10,IF(G830&lt;&gt;"",1,0))))+IF(H830=1,30,IF(H830=2,20,IF(H830=3,10,IF(H830&lt;&gt;"",1,0)))))*2)</f>
        <v/>
      </c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14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>
        <f>IF(AND(C831="",OR(E831="",E831=0)),"",(IF(E831=1,30,IF(E831=2,20,IF(E831=3,10,IF(E831&lt;&gt;"",1,0))))+IF(F831=1,30,IF(F831=2,20,IF(F831=3,10,IF(F831&lt;&gt;"",1,0))))+IF(G831=1,30,IF(G831=2,20,IF(G831=3,10,IF(G831&lt;&gt;"",1,0))))+IF(H831=1,30,IF(H831=2,20,IF(H831=3,10,IF(H831&lt;&gt;"",1,0)))))*2)</f>
        <v/>
      </c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14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>
        <f>IF(AND(C832="",OR(E832="",E832=0)),"",(IF(E832=1,30,IF(E832=2,20,IF(E832=3,10,IF(E832&lt;&gt;"",1,0))))+IF(F832=1,30,IF(F832=2,20,IF(F832=3,10,IF(F832&lt;&gt;"",1,0))))+IF(G832=1,30,IF(G832=2,20,IF(G832=3,10,IF(G832&lt;&gt;"",1,0))))+IF(H832=1,30,IF(H832=2,20,IF(H832=3,10,IF(H832&lt;&gt;"",1,0)))))*2)</f>
        <v/>
      </c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14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>
        <f>IF(AND(C833="",OR(E833="",E833=0)),"",(IF(E833=1,30,IF(E833=2,20,IF(E833=3,10,IF(E833&lt;&gt;"",1,0))))+IF(F833=1,30,IF(F833=2,20,IF(F833=3,10,IF(F833&lt;&gt;"",1,0))))+IF(G833=1,30,IF(G833=2,20,IF(G833=3,10,IF(G833&lt;&gt;"",1,0))))+IF(H833=1,30,IF(H833=2,20,IF(H833=3,10,IF(H833&lt;&gt;"",1,0)))))*2)</f>
        <v/>
      </c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14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>
        <f>IF(AND(C834="",OR(E834="",E834=0)),"",(IF(E834=1,30,IF(E834=2,20,IF(E834=3,10,IF(E834&lt;&gt;"",1,0))))+IF(F834=1,30,IF(F834=2,20,IF(F834=3,10,IF(F834&lt;&gt;"",1,0))))+IF(G834=1,30,IF(G834=2,20,IF(G834=3,10,IF(G834&lt;&gt;"",1,0))))+IF(H834=1,30,IF(H834=2,20,IF(H834=3,10,IF(H834&lt;&gt;"",1,0)))))*2)</f>
        <v/>
      </c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14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>
        <f>IF(AND(C835="",OR(E835="",E835=0)),"",(IF(E835=1,30,IF(E835=2,20,IF(E835=3,10,IF(E835&lt;&gt;"",1,0))))+IF(F835=1,30,IF(F835=2,20,IF(F835=3,10,IF(F835&lt;&gt;"",1,0))))+IF(G835=1,30,IF(G835=2,20,IF(G835=3,10,IF(G835&lt;&gt;"",1,0))))+IF(H835=1,30,IF(H835=2,20,IF(H835=3,10,IF(H835&lt;&gt;"",1,0)))))*2)</f>
        <v/>
      </c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14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>
        <f>IF(AND(C836="",OR(E836="",E836=0)),"",(IF(E836=1,30,IF(E836=2,20,IF(E836=3,10,IF(E836&lt;&gt;"",1,0))))+IF(F836=1,30,IF(F836=2,20,IF(F836=3,10,IF(F836&lt;&gt;"",1,0))))+IF(G836=1,30,IF(G836=2,20,IF(G836=3,10,IF(G836&lt;&gt;"",1,0))))+IF(H836=1,30,IF(H836=2,20,IF(H836=3,10,IF(H836&lt;&gt;"",1,0)))))*2)</f>
        <v/>
      </c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14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>
        <f>IF(AND(C837="",OR(E837="",E837=0)),"",(IF(E837=1,30,IF(E837=2,20,IF(E837=3,10,IF(E837&lt;&gt;"",1,0))))+IF(F837=1,30,IF(F837=2,20,IF(F837=3,10,IF(F837&lt;&gt;"",1,0))))+IF(G837=1,30,IF(G837=2,20,IF(G837=3,10,IF(G837&lt;&gt;"",1,0))))+IF(H837=1,30,IF(H837=2,20,IF(H837=3,10,IF(H837&lt;&gt;"",1,0)))))*2)</f>
        <v/>
      </c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14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>
        <f>IF(AND(C838="",OR(E838="",E838=0)),"",(IF(E838=1,30,IF(E838=2,20,IF(E838=3,10,IF(E838&lt;&gt;"",1,0))))+IF(F838=1,30,IF(F838=2,20,IF(F838=3,10,IF(F838&lt;&gt;"",1,0))))+IF(G838=1,30,IF(G838=2,20,IF(G838=3,10,IF(G838&lt;&gt;"",1,0))))+IF(H838=1,30,IF(H838=2,20,IF(H838=3,10,IF(H838&lt;&gt;"",1,0)))))*2)</f>
        <v/>
      </c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14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>
        <f>IF(AND(C839="",OR(E839="",E839=0)),"",(IF(E839=1,30,IF(E839=2,20,IF(E839=3,10,IF(E839&lt;&gt;"",1,0))))+IF(F839=1,30,IF(F839=2,20,IF(F839=3,10,IF(F839&lt;&gt;"",1,0))))+IF(G839=1,30,IF(G839=2,20,IF(G839=3,10,IF(G839&lt;&gt;"",1,0))))+IF(H839=1,30,IF(H839=2,20,IF(H839=3,10,IF(H839&lt;&gt;"",1,0)))))*2)</f>
        <v/>
      </c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14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>
        <f>IF(AND(C840="",OR(E840="",E840=0)),"",(IF(E840=1,30,IF(E840=2,20,IF(E840=3,10,IF(E840&lt;&gt;"",1,0))))+IF(F840=1,30,IF(F840=2,20,IF(F840=3,10,IF(F840&lt;&gt;"",1,0))))+IF(G840=1,30,IF(G840=2,20,IF(G840=3,10,IF(G840&lt;&gt;"",1,0))))+IF(H840=1,30,IF(H840=2,20,IF(H840=3,10,IF(H840&lt;&gt;"",1,0)))))*2)</f>
        <v/>
      </c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14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>
        <f>IF(AND(C841="",OR(E841="",E841=0)),"",(IF(E841=1,30,IF(E841=2,20,IF(E841=3,10,IF(E841&lt;&gt;"",1,0))))+IF(F841=1,30,IF(F841=2,20,IF(F841=3,10,IF(F841&lt;&gt;"",1,0))))+IF(G841=1,30,IF(G841=2,20,IF(G841=3,10,IF(G841&lt;&gt;"",1,0))))+IF(H841=1,30,IF(H841=2,20,IF(H841=3,10,IF(H841&lt;&gt;"",1,0)))))*2)</f>
        <v/>
      </c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14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>
        <f>IF(AND(C842="",OR(E842="",E842=0)),"",(IF(E842=1,30,IF(E842=2,20,IF(E842=3,10,IF(E842&lt;&gt;"",1,0))))+IF(F842=1,30,IF(F842=2,20,IF(F842=3,10,IF(F842&lt;&gt;"",1,0))))+IF(G842=1,30,IF(G842=2,20,IF(G842=3,10,IF(G842&lt;&gt;"",1,0))))+IF(H842=1,30,IF(H842=2,20,IF(H842=3,10,IF(H842&lt;&gt;"",1,0)))))*2)</f>
        <v/>
      </c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1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>
        <f>IF(AND(C843="",OR(E843="",E843=0)),"",(IF(E843=1,30,IF(E843=2,20,IF(E843=3,10,IF(E843&lt;&gt;"",1,0))))+IF(F843=1,30,IF(F843=2,20,IF(F843=3,10,IF(F843&lt;&gt;"",1,0))))+IF(G843=1,30,IF(G843=2,20,IF(G843=3,10,IF(G843&lt;&gt;"",1,0))))+IF(H843=1,30,IF(H843=2,20,IF(H843=3,10,IF(H843&lt;&gt;"",1,0)))))*2)</f>
        <v/>
      </c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14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>
        <f>IF(AND(C844="",OR(E844="",E844=0)),"",(IF(E844=1,30,IF(E844=2,20,IF(E844=3,10,IF(E844&lt;&gt;"",1,0))))+IF(F844=1,30,IF(F844=2,20,IF(F844=3,10,IF(F844&lt;&gt;"",1,0))))+IF(G844=1,30,IF(G844=2,20,IF(G844=3,10,IF(G844&lt;&gt;"",1,0))))+IF(H844=1,30,IF(H844=2,20,IF(H844=3,10,IF(H844&lt;&gt;"",1,0)))))*2)</f>
        <v/>
      </c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14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>
        <f>IF(AND(C845="",OR(E845="",E845=0)),"",(IF(E845=1,30,IF(E845=2,20,IF(E845=3,10,IF(E845&lt;&gt;"",1,0))))+IF(F845=1,30,IF(F845=2,20,IF(F845=3,10,IF(F845&lt;&gt;"",1,0))))+IF(G845=1,30,IF(G845=2,20,IF(G845=3,10,IF(G845&lt;&gt;"",1,0))))+IF(H845=1,30,IF(H845=2,20,IF(H845=3,10,IF(H845&lt;&gt;"",1,0)))))*2)</f>
        <v/>
      </c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14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>
        <f>IF(AND(C846="",OR(E846="",E846=0)),"",(IF(E846=1,30,IF(E846=2,20,IF(E846=3,10,IF(E846&lt;&gt;"",1,0))))+IF(F846=1,30,IF(F846=2,20,IF(F846=3,10,IF(F846&lt;&gt;"",1,0))))+IF(G846=1,30,IF(G846=2,20,IF(G846=3,10,IF(G846&lt;&gt;"",1,0))))+IF(H846=1,30,IF(H846=2,20,IF(H846=3,10,IF(H846&lt;&gt;"",1,0)))))*2)</f>
        <v/>
      </c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14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>
        <f>IF(AND(C847="",OR(E847="",E847=0)),"",(IF(E847=1,30,IF(E847=2,20,IF(E847=3,10,IF(E847&lt;&gt;"",1,0))))+IF(F847=1,30,IF(F847=2,20,IF(F847=3,10,IF(F847&lt;&gt;"",1,0))))+IF(G847=1,30,IF(G847=2,20,IF(G847=3,10,IF(G847&lt;&gt;"",1,0))))+IF(H847=1,30,IF(H847=2,20,IF(H847=3,10,IF(H847&lt;&gt;"",1,0)))))*2)</f>
        <v/>
      </c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14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>
        <f>IF(AND(C848="",OR(E848="",E848=0)),"",(IF(E848=1,30,IF(E848=2,20,IF(E848=3,10,IF(E848&lt;&gt;"",1,0))))+IF(F848=1,30,IF(F848=2,20,IF(F848=3,10,IF(F848&lt;&gt;"",1,0))))+IF(G848=1,30,IF(G848=2,20,IF(G848=3,10,IF(G848&lt;&gt;"",1,0))))+IF(H848=1,30,IF(H848=2,20,IF(H848=3,10,IF(H848&lt;&gt;"",1,0)))))*2)</f>
        <v/>
      </c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14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>
        <f>IF(AND(C849="",OR(E849="",E849=0)),"",(IF(E849=1,30,IF(E849=2,20,IF(E849=3,10,IF(E849&lt;&gt;"",1,0))))+IF(F849=1,30,IF(F849=2,20,IF(F849=3,10,IF(F849&lt;&gt;"",1,0))))+IF(G849=1,30,IF(G849=2,20,IF(G849=3,10,IF(G849&lt;&gt;"",1,0))))+IF(H849=1,30,IF(H849=2,20,IF(H849=3,10,IF(H849&lt;&gt;"",1,0)))))*2)</f>
        <v/>
      </c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14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>
        <f>IF(AND(C850="",OR(E850="",E850=0)),"",(IF(E850=1,30,IF(E850=2,20,IF(E850=3,10,IF(E850&lt;&gt;"",1,0))))+IF(F850=1,30,IF(F850=2,20,IF(F850=3,10,IF(F850&lt;&gt;"",1,0))))+IF(G850=1,30,IF(G850=2,20,IF(G850=3,10,IF(G850&lt;&gt;"",1,0))))+IF(H850=1,30,IF(H850=2,20,IF(H850=3,10,IF(H850&lt;&gt;"",1,0)))))*2)</f>
        <v/>
      </c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14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>
        <f>IF(AND(C851="",OR(E851="",E851=0)),"",(IF(E851=1,30,IF(E851=2,20,IF(E851=3,10,IF(E851&lt;&gt;"",1,0))))+IF(F851=1,30,IF(F851=2,20,IF(F851=3,10,IF(F851&lt;&gt;"",1,0))))+IF(G851=1,30,IF(G851=2,20,IF(G851=3,10,IF(G851&lt;&gt;"",1,0))))+IF(H851=1,30,IF(H851=2,20,IF(H851=3,10,IF(H851&lt;&gt;"",1,0)))))*2)</f>
        <v/>
      </c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14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>
        <f>IF(AND(C852="",OR(E852="",E852=0)),"",(IF(E852=1,30,IF(E852=2,20,IF(E852=3,10,IF(E852&lt;&gt;"",1,0))))+IF(F852=1,30,IF(F852=2,20,IF(F852=3,10,IF(F852&lt;&gt;"",1,0))))+IF(G852=1,30,IF(G852=2,20,IF(G852=3,10,IF(G852&lt;&gt;"",1,0))))+IF(H852=1,30,IF(H852=2,20,IF(H852=3,10,IF(H852&lt;&gt;"",1,0)))))*2)</f>
        <v/>
      </c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14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>
        <f>IF(AND(C853="",OR(E853="",E853=0)),"",(IF(E853=1,30,IF(E853=2,20,IF(E853=3,10,IF(E853&lt;&gt;"",1,0))))+IF(F853=1,30,IF(F853=2,20,IF(F853=3,10,IF(F853&lt;&gt;"",1,0))))+IF(G853=1,30,IF(G853=2,20,IF(G853=3,10,IF(G853&lt;&gt;"",1,0))))+IF(H853=1,30,IF(H853=2,20,IF(H853=3,10,IF(H853&lt;&gt;"",1,0)))))*2)</f>
        <v/>
      </c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14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>
        <f>IF(AND(C854="",OR(E854="",E854=0)),"",(IF(E854=1,30,IF(E854=2,20,IF(E854=3,10,IF(E854&lt;&gt;"",1,0))))+IF(F854=1,30,IF(F854=2,20,IF(F854=3,10,IF(F854&lt;&gt;"",1,0))))+IF(G854=1,30,IF(G854=2,20,IF(G854=3,10,IF(G854&lt;&gt;"",1,0))))+IF(H854=1,30,IF(H854=2,20,IF(H854=3,10,IF(H854&lt;&gt;"",1,0)))))*2)</f>
        <v/>
      </c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14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>
        <f>IF(AND(C855="",OR(E855="",E855=0)),"",(IF(E855=1,30,IF(E855=2,20,IF(E855=3,10,IF(E855&lt;&gt;"",1,0))))+IF(F855=1,30,IF(F855=2,20,IF(F855=3,10,IF(F855&lt;&gt;"",1,0))))+IF(G855=1,30,IF(G855=2,20,IF(G855=3,10,IF(G855&lt;&gt;"",1,0))))+IF(H855=1,30,IF(H855=2,20,IF(H855=3,10,IF(H855&lt;&gt;"",1,0)))))*2)</f>
        <v/>
      </c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14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>
        <f>IF(AND(C856="",OR(E856="",E856=0)),"",(IF(E856=1,30,IF(E856=2,20,IF(E856=3,10,IF(E856&lt;&gt;"",1,0))))+IF(F856=1,30,IF(F856=2,20,IF(F856=3,10,IF(F856&lt;&gt;"",1,0))))+IF(G856=1,30,IF(G856=2,20,IF(G856=3,10,IF(G856&lt;&gt;"",1,0))))+IF(H856=1,30,IF(H856=2,20,IF(H856=3,10,IF(H856&lt;&gt;"",1,0)))))*2)</f>
        <v/>
      </c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14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>
        <f>IF(AND(C857="",OR(E857="",E857=0)),"",(IF(E857=1,30,IF(E857=2,20,IF(E857=3,10,IF(E857&lt;&gt;"",1,0))))+IF(F857=1,30,IF(F857=2,20,IF(F857=3,10,IF(F857&lt;&gt;"",1,0))))+IF(G857=1,30,IF(G857=2,20,IF(G857=3,10,IF(G857&lt;&gt;"",1,0))))+IF(H857=1,30,IF(H857=2,20,IF(H857=3,10,IF(H857&lt;&gt;"",1,0)))))*2)</f>
        <v/>
      </c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14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>
        <f>IF(AND(C858="",OR(E858="",E858=0)),"",(IF(E858=1,30,IF(E858=2,20,IF(E858=3,10,IF(E858&lt;&gt;"",1,0))))+IF(F858=1,30,IF(F858=2,20,IF(F858=3,10,IF(F858&lt;&gt;"",1,0))))+IF(G858=1,30,IF(G858=2,20,IF(G858=3,10,IF(G858&lt;&gt;"",1,0))))+IF(H858=1,30,IF(H858=2,20,IF(H858=3,10,IF(H858&lt;&gt;"",1,0)))))*2)</f>
        <v/>
      </c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14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>
        <f>IF(AND(C859="",OR(E859="",E859=0)),"",(IF(E859=1,30,IF(E859=2,20,IF(E859=3,10,IF(E859&lt;&gt;"",1,0))))+IF(F859=1,30,IF(F859=2,20,IF(F859=3,10,IF(F859&lt;&gt;"",1,0))))+IF(G859=1,30,IF(G859=2,20,IF(G859=3,10,IF(G859&lt;&gt;"",1,0))))+IF(H859=1,30,IF(H859=2,20,IF(H859=3,10,IF(H859&lt;&gt;"",1,0)))))*2)</f>
        <v/>
      </c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14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>
        <f>IF(AND(C860="",OR(E860="",E860=0)),"",(IF(E860=1,30,IF(E860=2,20,IF(E860=3,10,IF(E860&lt;&gt;"",1,0))))+IF(F860=1,30,IF(F860=2,20,IF(F860=3,10,IF(F860&lt;&gt;"",1,0))))+IF(G860=1,30,IF(G860=2,20,IF(G860=3,10,IF(G860&lt;&gt;"",1,0))))+IF(H860=1,30,IF(H860=2,20,IF(H860=3,10,IF(H860&lt;&gt;"",1,0)))))*2)</f>
        <v/>
      </c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14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>
        <f>IF(AND(C861="",OR(E861="",E861=0)),"",(IF(E861=1,30,IF(E861=2,20,IF(E861=3,10,IF(E861&lt;&gt;"",1,0))))+IF(F861=1,30,IF(F861=2,20,IF(F861=3,10,IF(F861&lt;&gt;"",1,0))))+IF(G861=1,30,IF(G861=2,20,IF(G861=3,10,IF(G861&lt;&gt;"",1,0))))+IF(H861=1,30,IF(H861=2,20,IF(H861=3,10,IF(H861&lt;&gt;"",1,0)))))*2)</f>
        <v/>
      </c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14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>
        <f>IF(AND(C862="",OR(E862="",E862=0)),"",(IF(E862=1,30,IF(E862=2,20,IF(E862=3,10,IF(E862&lt;&gt;"",1,0))))+IF(F862=1,30,IF(F862=2,20,IF(F862=3,10,IF(F862&lt;&gt;"",1,0))))+IF(G862=1,30,IF(G862=2,20,IF(G862=3,10,IF(G862&lt;&gt;"",1,0))))+IF(H862=1,30,IF(H862=2,20,IF(H862=3,10,IF(H862&lt;&gt;"",1,0)))))*2)</f>
        <v/>
      </c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14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>
        <f>IF(AND(C863="",OR(E863="",E863=0)),"",(IF(E863=1,30,IF(E863=2,20,IF(E863=3,10,IF(E863&lt;&gt;"",1,0))))+IF(F863=1,30,IF(F863=2,20,IF(F863=3,10,IF(F863&lt;&gt;"",1,0))))+IF(G863=1,30,IF(G863=2,20,IF(G863=3,10,IF(G863&lt;&gt;"",1,0))))+IF(H863=1,30,IF(H863=2,20,IF(H863=3,10,IF(H863&lt;&gt;"",1,0)))))*2)</f>
        <v/>
      </c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14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>
        <f>IF(AND(C864="",OR(E864="",E864=0)),"",(IF(E864=1,30,IF(E864=2,20,IF(E864=3,10,IF(E864&lt;&gt;"",1,0))))+IF(F864=1,30,IF(F864=2,20,IF(F864=3,10,IF(F864&lt;&gt;"",1,0))))+IF(G864=1,30,IF(G864=2,20,IF(G864=3,10,IF(G864&lt;&gt;"",1,0))))+IF(H864=1,30,IF(H864=2,20,IF(H864=3,10,IF(H864&lt;&gt;"",1,0)))))*2)</f>
        <v/>
      </c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14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>
        <f>IF(AND(C865="",OR(E865="",E865=0)),"",(IF(E865=1,30,IF(E865=2,20,IF(E865=3,10,IF(E865&lt;&gt;"",1,0))))+IF(F865=1,30,IF(F865=2,20,IF(F865=3,10,IF(F865&lt;&gt;"",1,0))))+IF(G865=1,30,IF(G865=2,20,IF(G865=3,10,IF(G865&lt;&gt;"",1,0))))+IF(H865=1,30,IF(H865=2,20,IF(H865=3,10,IF(H865&lt;&gt;"",1,0)))))*2)</f>
        <v/>
      </c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14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>
        <f>IF(AND(C866="",OR(E866="",E866=0)),"",(IF(E866=1,30,IF(E866=2,20,IF(E866=3,10,IF(E866&lt;&gt;"",1,0))))+IF(F866=1,30,IF(F866=2,20,IF(F866=3,10,IF(F866&lt;&gt;"",1,0))))+IF(G866=1,30,IF(G866=2,20,IF(G866=3,10,IF(G866&lt;&gt;"",1,0))))+IF(H866=1,30,IF(H866=2,20,IF(H866=3,10,IF(H866&lt;&gt;"",1,0)))))*2)</f>
        <v/>
      </c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14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>
        <f>IF(AND(C867="",OR(E867="",E867=0)),"",(IF(E867=1,30,IF(E867=2,20,IF(E867=3,10,IF(E867&lt;&gt;"",1,0))))+IF(F867=1,30,IF(F867=2,20,IF(F867=3,10,IF(F867&lt;&gt;"",1,0))))+IF(G867=1,30,IF(G867=2,20,IF(G867=3,10,IF(G867&lt;&gt;"",1,0))))+IF(H867=1,30,IF(H867=2,20,IF(H867=3,10,IF(H867&lt;&gt;"",1,0)))))*2)</f>
        <v/>
      </c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14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>
        <f>IF(AND(C868="",OR(E868="",E868=0)),"",(IF(E868=1,30,IF(E868=2,20,IF(E868=3,10,IF(E868&lt;&gt;"",1,0))))+IF(F868=1,30,IF(F868=2,20,IF(F868=3,10,IF(F868&lt;&gt;"",1,0))))+IF(G868=1,30,IF(G868=2,20,IF(G868=3,10,IF(G868&lt;&gt;"",1,0))))+IF(H868=1,30,IF(H868=2,20,IF(H868=3,10,IF(H868&lt;&gt;"",1,0)))))*2)</f>
        <v/>
      </c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14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>
        <f>IF(AND(C869="",OR(E869="",E869=0)),"",(IF(E869=1,30,IF(E869=2,20,IF(E869=3,10,IF(E869&lt;&gt;"",1,0))))+IF(F869=1,30,IF(F869=2,20,IF(F869=3,10,IF(F869&lt;&gt;"",1,0))))+IF(G869=1,30,IF(G869=2,20,IF(G869=3,10,IF(G869&lt;&gt;"",1,0))))+IF(H869=1,30,IF(H869=2,20,IF(H869=3,10,IF(H869&lt;&gt;"",1,0)))))*2)</f>
        <v/>
      </c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14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>
        <f>IF(AND(C870="",OR(E870="",E870=0)),"",(IF(E870=1,30,IF(E870=2,20,IF(E870=3,10,IF(E870&lt;&gt;"",1,0))))+IF(F870=1,30,IF(F870=2,20,IF(F870=3,10,IF(F870&lt;&gt;"",1,0))))+IF(G870=1,30,IF(G870=2,20,IF(G870=3,10,IF(G870&lt;&gt;"",1,0))))+IF(H870=1,30,IF(H870=2,20,IF(H870=3,10,IF(H870&lt;&gt;"",1,0)))))*2)</f>
        <v/>
      </c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14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>
        <f>IF(AND(C871="",OR(E871="",E871=0)),"",(IF(E871=1,30,IF(E871=2,20,IF(E871=3,10,IF(E871&lt;&gt;"",1,0))))+IF(F871=1,30,IF(F871=2,20,IF(F871=3,10,IF(F871&lt;&gt;"",1,0))))+IF(G871=1,30,IF(G871=2,20,IF(G871=3,10,IF(G871&lt;&gt;"",1,0))))+IF(H871=1,30,IF(H871=2,20,IF(H871=3,10,IF(H871&lt;&gt;"",1,0)))))*2)</f>
        <v/>
      </c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14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>
        <f>IF(AND(C872="",OR(E872="",E872=0)),"",(IF(E872=1,30,IF(E872=2,20,IF(E872=3,10,IF(E872&lt;&gt;"",1,0))))+IF(F872=1,30,IF(F872=2,20,IF(F872=3,10,IF(F872&lt;&gt;"",1,0))))+IF(G872=1,30,IF(G872=2,20,IF(G872=3,10,IF(G872&lt;&gt;"",1,0))))+IF(H872=1,30,IF(H872=2,20,IF(H872=3,10,IF(H872&lt;&gt;"",1,0)))))*2)</f>
        <v/>
      </c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14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>
        <f>IF(AND(C873="",OR(E873="",E873=0)),"",(IF(E873=1,30,IF(E873=2,20,IF(E873=3,10,IF(E873&lt;&gt;"",1,0))))+IF(F873=1,30,IF(F873=2,20,IF(F873=3,10,IF(F873&lt;&gt;"",1,0))))+IF(G873=1,30,IF(G873=2,20,IF(G873=3,10,IF(G873&lt;&gt;"",1,0))))+IF(H873=1,30,IF(H873=2,20,IF(H873=3,10,IF(H873&lt;&gt;"",1,0)))))*2)</f>
        <v/>
      </c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14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>
        <f>IF(AND(C874="",OR(E874="",E874=0)),"",(IF(E874=1,30,IF(E874=2,20,IF(E874=3,10,IF(E874&lt;&gt;"",1,0))))+IF(F874=1,30,IF(F874=2,20,IF(F874=3,10,IF(F874&lt;&gt;"",1,0))))+IF(G874=1,30,IF(G874=2,20,IF(G874=3,10,IF(G874&lt;&gt;"",1,0))))+IF(H874=1,30,IF(H874=2,20,IF(H874=3,10,IF(H874&lt;&gt;"",1,0)))))*2)</f>
        <v/>
      </c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14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>
        <f>IF(AND(C875="",OR(E875="",E875=0)),"",(IF(E875=1,30,IF(E875=2,20,IF(E875=3,10,IF(E875&lt;&gt;"",1,0))))+IF(F875=1,30,IF(F875=2,20,IF(F875=3,10,IF(F875&lt;&gt;"",1,0))))+IF(G875=1,30,IF(G875=2,20,IF(G875=3,10,IF(G875&lt;&gt;"",1,0))))+IF(H875=1,30,IF(H875=2,20,IF(H875=3,10,IF(H875&lt;&gt;"",1,0)))))*2)</f>
        <v/>
      </c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14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>
        <f>IF(AND(C876="",OR(E876="",E876=0)),"",(IF(E876=1,30,IF(E876=2,20,IF(E876=3,10,IF(E876&lt;&gt;"",1,0))))+IF(F876=1,30,IF(F876=2,20,IF(F876=3,10,IF(F876&lt;&gt;"",1,0))))+IF(G876=1,30,IF(G876=2,20,IF(G876=3,10,IF(G876&lt;&gt;"",1,0))))+IF(H876=1,30,IF(H876=2,20,IF(H876=3,10,IF(H876&lt;&gt;"",1,0)))))*2)</f>
        <v/>
      </c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14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>
        <f>IF(AND(C877="",OR(E877="",E877=0)),"",(IF(E877=1,30,IF(E877=2,20,IF(E877=3,10,IF(E877&lt;&gt;"",1,0))))+IF(F877=1,30,IF(F877=2,20,IF(F877=3,10,IF(F877&lt;&gt;"",1,0))))+IF(G877=1,30,IF(G877=2,20,IF(G877=3,10,IF(G877&lt;&gt;"",1,0))))+IF(H877=1,30,IF(H877=2,20,IF(H877=3,10,IF(H877&lt;&gt;"",1,0)))))*2)</f>
        <v/>
      </c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14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>
        <f>IF(AND(C878="",OR(E878="",E878=0)),"",(IF(E878=1,30,IF(E878=2,20,IF(E878=3,10,IF(E878&lt;&gt;"",1,0))))+IF(F878=1,30,IF(F878=2,20,IF(F878=3,10,IF(F878&lt;&gt;"",1,0))))+IF(G878=1,30,IF(G878=2,20,IF(G878=3,10,IF(G878&lt;&gt;"",1,0))))+IF(H878=1,30,IF(H878=2,20,IF(H878=3,10,IF(H878&lt;&gt;"",1,0)))))*2)</f>
        <v/>
      </c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14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>
        <f>IF(AND(C879="",OR(E879="",E879=0)),"",(IF(E879=1,30,IF(E879=2,20,IF(E879=3,10,IF(E879&lt;&gt;"",1,0))))+IF(F879=1,30,IF(F879=2,20,IF(F879=3,10,IF(F879&lt;&gt;"",1,0))))+IF(G879=1,30,IF(G879=2,20,IF(G879=3,10,IF(G879&lt;&gt;"",1,0))))+IF(H879=1,30,IF(H879=2,20,IF(H879=3,10,IF(H879&lt;&gt;"",1,0)))))*2)</f>
        <v/>
      </c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14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>
        <f>IF(AND(C880="",OR(E880="",E880=0)),"",(IF(E880=1,30,IF(E880=2,20,IF(E880=3,10,IF(E880&lt;&gt;"",1,0))))+IF(F880=1,30,IF(F880=2,20,IF(F880=3,10,IF(F880&lt;&gt;"",1,0))))+IF(G880=1,30,IF(G880=2,20,IF(G880=3,10,IF(G880&lt;&gt;"",1,0))))+IF(H880=1,30,IF(H880=2,20,IF(H880=3,10,IF(H880&lt;&gt;"",1,0)))))*2)</f>
        <v/>
      </c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14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>
        <f>IF(AND(C881="",OR(E881="",E881=0)),"",(IF(E881=1,30,IF(E881=2,20,IF(E881=3,10,IF(E881&lt;&gt;"",1,0))))+IF(F881=1,30,IF(F881=2,20,IF(F881=3,10,IF(F881&lt;&gt;"",1,0))))+IF(G881=1,30,IF(G881=2,20,IF(G881=3,10,IF(G881&lt;&gt;"",1,0))))+IF(H881=1,30,IF(H881=2,20,IF(H881=3,10,IF(H881&lt;&gt;"",1,0)))))*2)</f>
        <v/>
      </c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14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>
        <f>IF(AND(C882="",OR(E882="",E882=0)),"",(IF(E882=1,30,IF(E882=2,20,IF(E882=3,10,IF(E882&lt;&gt;"",1,0))))+IF(F882=1,30,IF(F882=2,20,IF(F882=3,10,IF(F882&lt;&gt;"",1,0))))+IF(G882=1,30,IF(G882=2,20,IF(G882=3,10,IF(G882&lt;&gt;"",1,0))))+IF(H882=1,30,IF(H882=2,20,IF(H882=3,10,IF(H882&lt;&gt;"",1,0)))))*2)</f>
        <v/>
      </c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14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>
        <f>IF(AND(C883="",OR(E883="",E883=0)),"",(IF(E883=1,30,IF(E883=2,20,IF(E883=3,10,IF(E883&lt;&gt;"",1,0))))+IF(F883=1,30,IF(F883=2,20,IF(F883=3,10,IF(F883&lt;&gt;"",1,0))))+IF(G883=1,30,IF(G883=2,20,IF(G883=3,10,IF(G883&lt;&gt;"",1,0))))+IF(H883=1,30,IF(H883=2,20,IF(H883=3,10,IF(H883&lt;&gt;"",1,0)))))*2)</f>
        <v/>
      </c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14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>
        <f>IF(AND(C884="",OR(E884="",E884=0)),"",(IF(E884=1,30,IF(E884=2,20,IF(E884=3,10,IF(E884&lt;&gt;"",1,0))))+IF(F884=1,30,IF(F884=2,20,IF(F884=3,10,IF(F884&lt;&gt;"",1,0))))+IF(G884=1,30,IF(G884=2,20,IF(G884=3,10,IF(G884&lt;&gt;"",1,0))))+IF(H884=1,30,IF(H884=2,20,IF(H884=3,10,IF(H884&lt;&gt;"",1,0)))))*2)</f>
        <v/>
      </c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14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>
        <f>IF(AND(C885="",OR(E885="",E885=0)),"",(IF(E885=1,30,IF(E885=2,20,IF(E885=3,10,IF(E885&lt;&gt;"",1,0))))+IF(F885=1,30,IF(F885=2,20,IF(F885=3,10,IF(F885&lt;&gt;"",1,0))))+IF(G885=1,30,IF(G885=2,20,IF(G885=3,10,IF(G885&lt;&gt;"",1,0))))+IF(H885=1,30,IF(H885=2,20,IF(H885=3,10,IF(H885&lt;&gt;"",1,0)))))*2)</f>
        <v/>
      </c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14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>
        <f>IF(AND(C886="",OR(E886="",E886=0)),"",(IF(E886=1,30,IF(E886=2,20,IF(E886=3,10,IF(E886&lt;&gt;"",1,0))))+IF(F886=1,30,IF(F886=2,20,IF(F886=3,10,IF(F886&lt;&gt;"",1,0))))+IF(G886=1,30,IF(G886=2,20,IF(G886=3,10,IF(G886&lt;&gt;"",1,0))))+IF(H886=1,30,IF(H886=2,20,IF(H886=3,10,IF(H886&lt;&gt;"",1,0)))))*2)</f>
        <v/>
      </c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14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>
        <f>IF(AND(C887="",OR(E887="",E887=0)),"",(IF(E887=1,30,IF(E887=2,20,IF(E887=3,10,IF(E887&lt;&gt;"",1,0))))+IF(F887=1,30,IF(F887=2,20,IF(F887=3,10,IF(F887&lt;&gt;"",1,0))))+IF(G887=1,30,IF(G887=2,20,IF(G887=3,10,IF(G887&lt;&gt;"",1,0))))+IF(H887=1,30,IF(H887=2,20,IF(H887=3,10,IF(H887&lt;&gt;"",1,0)))))*2)</f>
        <v/>
      </c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14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>
        <f>IF(AND(C888="",OR(E888="",E888=0)),"",(IF(E888=1,30,IF(E888=2,20,IF(E888=3,10,IF(E888&lt;&gt;"",1,0))))+IF(F888=1,30,IF(F888=2,20,IF(F888=3,10,IF(F888&lt;&gt;"",1,0))))+IF(G888=1,30,IF(G888=2,20,IF(G888=3,10,IF(G888&lt;&gt;"",1,0))))+IF(H888=1,30,IF(H888=2,20,IF(H888=3,10,IF(H888&lt;&gt;"",1,0)))))*2)</f>
        <v/>
      </c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14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>
        <f>IF(AND(C889="",OR(E889="",E889=0)),"",(IF(E889=1,30,IF(E889=2,20,IF(E889=3,10,IF(E889&lt;&gt;"",1,0))))+IF(F889=1,30,IF(F889=2,20,IF(F889=3,10,IF(F889&lt;&gt;"",1,0))))+IF(G889=1,30,IF(G889=2,20,IF(G889=3,10,IF(G889&lt;&gt;"",1,0))))+IF(H889=1,30,IF(H889=2,20,IF(H889=3,10,IF(H889&lt;&gt;"",1,0)))))*2)</f>
        <v/>
      </c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14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>
        <f>IF(AND(C890="",OR(E890="",E890=0)),"",(IF(E890=1,30,IF(E890=2,20,IF(E890=3,10,IF(E890&lt;&gt;"",1,0))))+IF(F890=1,30,IF(F890=2,20,IF(F890=3,10,IF(F890&lt;&gt;"",1,0))))+IF(G890=1,30,IF(G890=2,20,IF(G890=3,10,IF(G890&lt;&gt;"",1,0))))+IF(H890=1,30,IF(H890=2,20,IF(H890=3,10,IF(H890&lt;&gt;"",1,0)))))*2)</f>
        <v/>
      </c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14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>
        <f>IF(AND(C891="",OR(E891="",E891=0)),"",(IF(E891=1,30,IF(E891=2,20,IF(E891=3,10,IF(E891&lt;&gt;"",1,0))))+IF(F891=1,30,IF(F891=2,20,IF(F891=3,10,IF(F891&lt;&gt;"",1,0))))+IF(G891=1,30,IF(G891=2,20,IF(G891=3,10,IF(G891&lt;&gt;"",1,0))))+IF(H891=1,30,IF(H891=2,20,IF(H891=3,10,IF(H891&lt;&gt;"",1,0)))))*2)</f>
        <v/>
      </c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14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>
        <f>IF(AND(C892="",OR(E892="",E892=0)),"",(IF(E892=1,30,IF(E892=2,20,IF(E892=3,10,IF(E892&lt;&gt;"",1,0))))+IF(F892=1,30,IF(F892=2,20,IF(F892=3,10,IF(F892&lt;&gt;"",1,0))))+IF(G892=1,30,IF(G892=2,20,IF(G892=3,10,IF(G892&lt;&gt;"",1,0))))+IF(H892=1,30,IF(H892=2,20,IF(H892=3,10,IF(H892&lt;&gt;"",1,0)))))*2)</f>
        <v/>
      </c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14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>
        <f>IF(AND(C893="",OR(E893="",E893=0)),"",(IF(E893=1,30,IF(E893=2,20,IF(E893=3,10,IF(E893&lt;&gt;"",1,0))))+IF(F893=1,30,IF(F893=2,20,IF(F893=3,10,IF(F893&lt;&gt;"",1,0))))+IF(G893=1,30,IF(G893=2,20,IF(G893=3,10,IF(G893&lt;&gt;"",1,0))))+IF(H893=1,30,IF(H893=2,20,IF(H893=3,10,IF(H893&lt;&gt;"",1,0)))))*2)</f>
        <v/>
      </c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14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>
        <f>IF(AND(C894="",OR(E894="",E894=0)),"",(IF(E894=1,30,IF(E894=2,20,IF(E894=3,10,IF(E894&lt;&gt;"",1,0))))+IF(F894=1,30,IF(F894=2,20,IF(F894=3,10,IF(F894&lt;&gt;"",1,0))))+IF(G894=1,30,IF(G894=2,20,IF(G894=3,10,IF(G894&lt;&gt;"",1,0))))+IF(H894=1,30,IF(H894=2,20,IF(H894=3,10,IF(H894&lt;&gt;"",1,0)))))*2)</f>
        <v/>
      </c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14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>
        <f>IF(AND(C895="",OR(E895="",E895=0)),"",(IF(E895=1,30,IF(E895=2,20,IF(E895=3,10,IF(E895&lt;&gt;"",1,0))))+IF(F895=1,30,IF(F895=2,20,IF(F895=3,10,IF(F895&lt;&gt;"",1,0))))+IF(G895=1,30,IF(G895=2,20,IF(G895=3,10,IF(G895&lt;&gt;"",1,0))))+IF(H895=1,30,IF(H895=2,20,IF(H895=3,10,IF(H895&lt;&gt;"",1,0)))))*2)</f>
        <v/>
      </c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14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>
        <f>IF(AND(C896="",OR(E896="",E896=0)),"",(IF(E896=1,30,IF(E896=2,20,IF(E896=3,10,IF(E896&lt;&gt;"",1,0))))+IF(F896=1,30,IF(F896=2,20,IF(F896=3,10,IF(F896&lt;&gt;"",1,0))))+IF(G896=1,30,IF(G896=2,20,IF(G896=3,10,IF(G896&lt;&gt;"",1,0))))+IF(H896=1,30,IF(H896=2,20,IF(H896=3,10,IF(H896&lt;&gt;"",1,0)))))*2)</f>
        <v/>
      </c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14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>
        <f>IF(AND(C897="",OR(E897="",E897=0)),"",(IF(E897=1,30,IF(E897=2,20,IF(E897=3,10,IF(E897&lt;&gt;"",1,0))))+IF(F897=1,30,IF(F897=2,20,IF(F897=3,10,IF(F897&lt;&gt;"",1,0))))+IF(G897=1,30,IF(G897=2,20,IF(G897=3,10,IF(G897&lt;&gt;"",1,0))))+IF(H897=1,30,IF(H897=2,20,IF(H897=3,10,IF(H897&lt;&gt;"",1,0)))))*2)</f>
        <v/>
      </c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14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>
        <f>IF(AND(C898="",OR(E898="",E898=0)),"",(IF(E898=1,30,IF(E898=2,20,IF(E898=3,10,IF(E898&lt;&gt;"",1,0))))+IF(F898=1,30,IF(F898=2,20,IF(F898=3,10,IF(F898&lt;&gt;"",1,0))))+IF(G898=1,30,IF(G898=2,20,IF(G898=3,10,IF(G898&lt;&gt;"",1,0))))+IF(H898=1,30,IF(H898=2,20,IF(H898=3,10,IF(H898&lt;&gt;"",1,0)))))*2)</f>
        <v/>
      </c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14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>
        <f>IF(AND(C899="",OR(E899="",E899=0)),"",(IF(E899=1,30,IF(E899=2,20,IF(E899=3,10,IF(E899&lt;&gt;"",1,0))))+IF(F899=1,30,IF(F899=2,20,IF(F899=3,10,IF(F899&lt;&gt;"",1,0))))+IF(G899=1,30,IF(G899=2,20,IF(G899=3,10,IF(G899&lt;&gt;"",1,0))))+IF(H899=1,30,IF(H899=2,20,IF(H899=3,10,IF(H899&lt;&gt;"",1,0)))))*2)</f>
        <v/>
      </c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14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>
        <f>IF(AND(C900="",OR(E900="",E900=0)),"",(IF(E900=1,30,IF(E900=2,20,IF(E900=3,10,IF(E900&lt;&gt;"",1,0))))+IF(F900=1,30,IF(F900=2,20,IF(F900=3,10,IF(F900&lt;&gt;"",1,0))))+IF(G900=1,30,IF(G900=2,20,IF(G900=3,10,IF(G900&lt;&gt;"",1,0))))+IF(H900=1,30,IF(H900=2,20,IF(H900=3,10,IF(H900&lt;&gt;"",1,0)))))*2)</f>
        <v/>
      </c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14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>
        <f>IF(AND(C901="",OR(E901="",E901=0)),"",(IF(E901=1,30,IF(E901=2,20,IF(E901=3,10,IF(E901&lt;&gt;"",1,0))))+IF(F901=1,30,IF(F901=2,20,IF(F901=3,10,IF(F901&lt;&gt;"",1,0))))+IF(G901=1,30,IF(G901=2,20,IF(G901=3,10,IF(G901&lt;&gt;"",1,0))))+IF(H901=1,30,IF(H901=2,20,IF(H901=3,10,IF(H901&lt;&gt;"",1,0)))))*2)</f>
        <v/>
      </c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14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>
        <f>IF(AND(C902="",OR(E902="",E902=0)),"",(IF(E902=1,30,IF(E902=2,20,IF(E902=3,10,IF(E902&lt;&gt;"",1,0))))+IF(F902=1,30,IF(F902=2,20,IF(F902=3,10,IF(F902&lt;&gt;"",1,0))))+IF(G902=1,30,IF(G902=2,20,IF(G902=3,10,IF(G902&lt;&gt;"",1,0))))+IF(H902=1,30,IF(H902=2,20,IF(H902=3,10,IF(H902&lt;&gt;"",1,0)))))*2)</f>
        <v/>
      </c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14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>
        <f>IF(AND(C903="",OR(E903="",E903=0)),"",(IF(E903=1,30,IF(E903=2,20,IF(E903=3,10,IF(E903&lt;&gt;"",1,0))))+IF(F903=1,30,IF(F903=2,20,IF(F903=3,10,IF(F903&lt;&gt;"",1,0))))+IF(G903=1,30,IF(G903=2,20,IF(G903=3,10,IF(G903&lt;&gt;"",1,0))))+IF(H903=1,30,IF(H903=2,20,IF(H903=3,10,IF(H903&lt;&gt;"",1,0)))))*2)</f>
        <v/>
      </c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14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>
        <f>IF(AND(C904="",OR(E904="",E904=0)),"",(IF(E904=1,30,IF(E904=2,20,IF(E904=3,10,IF(E904&lt;&gt;"",1,0))))+IF(F904=1,30,IF(F904=2,20,IF(F904=3,10,IF(F904&lt;&gt;"",1,0))))+IF(G904=1,30,IF(G904=2,20,IF(G904=3,10,IF(G904&lt;&gt;"",1,0))))+IF(H904=1,30,IF(H904=2,20,IF(H904=3,10,IF(H904&lt;&gt;"",1,0)))))*2)</f>
        <v/>
      </c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14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>
        <f>IF(AND(C905="",OR(E905="",E905=0)),"",(IF(E905=1,30,IF(E905=2,20,IF(E905=3,10,IF(E905&lt;&gt;"",1,0))))+IF(F905=1,30,IF(F905=2,20,IF(F905=3,10,IF(F905&lt;&gt;"",1,0))))+IF(G905=1,30,IF(G905=2,20,IF(G905=3,10,IF(G905&lt;&gt;"",1,0))))+IF(H905=1,30,IF(H905=2,20,IF(H905=3,10,IF(H905&lt;&gt;"",1,0)))))*2)</f>
        <v/>
      </c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14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>
        <f>IF(AND(C906="",OR(E906="",E906=0)),"",(IF(E906=1,30,IF(E906=2,20,IF(E906=3,10,IF(E906&lt;&gt;"",1,0))))+IF(F906=1,30,IF(F906=2,20,IF(F906=3,10,IF(F906&lt;&gt;"",1,0))))+IF(G906=1,30,IF(G906=2,20,IF(G906=3,10,IF(G906&lt;&gt;"",1,0))))+IF(H906=1,30,IF(H906=2,20,IF(H906=3,10,IF(H906&lt;&gt;"",1,0)))))*2)</f>
        <v/>
      </c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14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>
        <f>IF(AND(C907="",OR(E907="",E907=0)),"",(IF(E907=1,30,IF(E907=2,20,IF(E907=3,10,IF(E907&lt;&gt;"",1,0))))+IF(F907=1,30,IF(F907=2,20,IF(F907=3,10,IF(F907&lt;&gt;"",1,0))))+IF(G907=1,30,IF(G907=2,20,IF(G907=3,10,IF(G907&lt;&gt;"",1,0))))+IF(H907=1,30,IF(H907=2,20,IF(H907=3,10,IF(H907&lt;&gt;"",1,0)))))*2)</f>
        <v/>
      </c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14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>
        <f>IF(AND(C908="",OR(E908="",E908=0)),"",(IF(E908=1,30,IF(E908=2,20,IF(E908=3,10,IF(E908&lt;&gt;"",1,0))))+IF(F908=1,30,IF(F908=2,20,IF(F908=3,10,IF(F908&lt;&gt;"",1,0))))+IF(G908=1,30,IF(G908=2,20,IF(G908=3,10,IF(G908&lt;&gt;"",1,0))))+IF(H908=1,30,IF(H908=2,20,IF(H908=3,10,IF(H908&lt;&gt;"",1,0)))))*2)</f>
        <v/>
      </c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14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>
        <f>IF(AND(C909="",OR(E909="",E909=0)),"",(IF(E909=1,30,IF(E909=2,20,IF(E909=3,10,IF(E909&lt;&gt;"",1,0))))+IF(F909=1,30,IF(F909=2,20,IF(F909=3,10,IF(F909&lt;&gt;"",1,0))))+IF(G909=1,30,IF(G909=2,20,IF(G909=3,10,IF(G909&lt;&gt;"",1,0))))+IF(H909=1,30,IF(H909=2,20,IF(H909=3,10,IF(H909&lt;&gt;"",1,0)))))*2)</f>
        <v/>
      </c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14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>
        <f>IF(AND(C910="",OR(E910="",E910=0)),"",(IF(E910=1,30,IF(E910=2,20,IF(E910=3,10,IF(E910&lt;&gt;"",1,0))))+IF(F910=1,30,IF(F910=2,20,IF(F910=3,10,IF(F910&lt;&gt;"",1,0))))+IF(G910=1,30,IF(G910=2,20,IF(G910=3,10,IF(G910&lt;&gt;"",1,0))))+IF(H910=1,30,IF(H910=2,20,IF(H910=3,10,IF(H910&lt;&gt;"",1,0)))))*2)</f>
        <v/>
      </c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14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>
        <f>IF(AND(C911="",OR(E911="",E911=0)),"",(IF(E911=1,30,IF(E911=2,20,IF(E911=3,10,IF(E911&lt;&gt;"",1,0))))+IF(F911=1,30,IF(F911=2,20,IF(F911=3,10,IF(F911&lt;&gt;"",1,0))))+IF(G911=1,30,IF(G911=2,20,IF(G911=3,10,IF(G911&lt;&gt;"",1,0))))+IF(H911=1,30,IF(H911=2,20,IF(H911=3,10,IF(H911&lt;&gt;"",1,0)))))*2)</f>
        <v/>
      </c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14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>
        <f>IF(AND(C912="",OR(E912="",E912=0)),"",(IF(E912=1,30,IF(E912=2,20,IF(E912=3,10,IF(E912&lt;&gt;"",1,0))))+IF(F912=1,30,IF(F912=2,20,IF(F912=3,10,IF(F912&lt;&gt;"",1,0))))+IF(G912=1,30,IF(G912=2,20,IF(G912=3,10,IF(G912&lt;&gt;"",1,0))))+IF(H912=1,30,IF(H912=2,20,IF(H912=3,10,IF(H912&lt;&gt;"",1,0)))))*2)</f>
        <v/>
      </c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14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>
        <f>IF(AND(C913="",OR(E913="",E913=0)),"",(IF(E913=1,30,IF(E913=2,20,IF(E913=3,10,IF(E913&lt;&gt;"",1,0))))+IF(F913=1,30,IF(F913=2,20,IF(F913=3,10,IF(F913&lt;&gt;"",1,0))))+IF(G913=1,30,IF(G913=2,20,IF(G913=3,10,IF(G913&lt;&gt;"",1,0))))+IF(H913=1,30,IF(H913=2,20,IF(H913=3,10,IF(H913&lt;&gt;"",1,0)))))*2)</f>
        <v/>
      </c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14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>
        <f>IF(AND(C914="",OR(E914="",E914=0)),"",(IF(E914=1,30,IF(E914=2,20,IF(E914=3,10,IF(E914&lt;&gt;"",1,0))))+IF(F914=1,30,IF(F914=2,20,IF(F914=3,10,IF(F914&lt;&gt;"",1,0))))+IF(G914=1,30,IF(G914=2,20,IF(G914=3,10,IF(G914&lt;&gt;"",1,0))))+IF(H914=1,30,IF(H914=2,20,IF(H914=3,10,IF(H914&lt;&gt;"",1,0)))))*2)</f>
        <v/>
      </c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14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>
        <f>IF(AND(C915="",OR(E915="",E915=0)),"",(IF(E915=1,30,IF(E915=2,20,IF(E915=3,10,IF(E915&lt;&gt;"",1,0))))+IF(F915=1,30,IF(F915=2,20,IF(F915=3,10,IF(F915&lt;&gt;"",1,0))))+IF(G915=1,30,IF(G915=2,20,IF(G915=3,10,IF(G915&lt;&gt;"",1,0))))+IF(H915=1,30,IF(H915=2,20,IF(H915=3,10,IF(H915&lt;&gt;"",1,0)))))*2)</f>
        <v/>
      </c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14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>
        <f>IF(AND(C916="",OR(E916="",E916=0)),"",(IF(E916=1,30,IF(E916=2,20,IF(E916=3,10,IF(E916&lt;&gt;"",1,0))))+IF(F916=1,30,IF(F916=2,20,IF(F916=3,10,IF(F916&lt;&gt;"",1,0))))+IF(G916=1,30,IF(G916=2,20,IF(G916=3,10,IF(G916&lt;&gt;"",1,0))))+IF(H916=1,30,IF(H916=2,20,IF(H916=3,10,IF(H916&lt;&gt;"",1,0)))))*2)</f>
        <v/>
      </c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14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>
        <f>IF(AND(C917="",OR(E917="",E917=0)),"",(IF(E917=1,30,IF(E917=2,20,IF(E917=3,10,IF(E917&lt;&gt;"",1,0))))+IF(F917=1,30,IF(F917=2,20,IF(F917=3,10,IF(F917&lt;&gt;"",1,0))))+IF(G917=1,30,IF(G917=2,20,IF(G917=3,10,IF(G917&lt;&gt;"",1,0))))+IF(H917=1,30,IF(H917=2,20,IF(H917=3,10,IF(H917&lt;&gt;"",1,0)))))*2)</f>
        <v/>
      </c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14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>
        <f>IF(AND(C918="",OR(E918="",E918=0)),"",(IF(E918=1,30,IF(E918=2,20,IF(E918=3,10,IF(E918&lt;&gt;"",1,0))))+IF(F918=1,30,IF(F918=2,20,IF(F918=3,10,IF(F918&lt;&gt;"",1,0))))+IF(G918=1,30,IF(G918=2,20,IF(G918=3,10,IF(G918&lt;&gt;"",1,0))))+IF(H918=1,30,IF(H918=2,20,IF(H918=3,10,IF(H918&lt;&gt;"",1,0)))))*2)</f>
        <v/>
      </c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14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>
        <f>IF(AND(C919="",OR(E919="",E919=0)),"",(IF(E919=1,30,IF(E919=2,20,IF(E919=3,10,IF(E919&lt;&gt;"",1,0))))+IF(F919=1,30,IF(F919=2,20,IF(F919=3,10,IF(F919&lt;&gt;"",1,0))))+IF(G919=1,30,IF(G919=2,20,IF(G919=3,10,IF(G919&lt;&gt;"",1,0))))+IF(H919=1,30,IF(H919=2,20,IF(H919=3,10,IF(H919&lt;&gt;"",1,0)))))*2)</f>
        <v/>
      </c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14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>
        <f>IF(AND(C920="",OR(E920="",E920=0)),"",(IF(E920=1,30,IF(E920=2,20,IF(E920=3,10,IF(E920&lt;&gt;"",1,0))))+IF(F920=1,30,IF(F920=2,20,IF(F920=3,10,IF(F920&lt;&gt;"",1,0))))+IF(G920=1,30,IF(G920=2,20,IF(G920=3,10,IF(G920&lt;&gt;"",1,0))))+IF(H920=1,30,IF(H920=2,20,IF(H920=3,10,IF(H920&lt;&gt;"",1,0)))))*2)</f>
        <v/>
      </c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14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>
        <f>IF(AND(C921="",OR(E921="",E921=0)),"",(IF(E921=1,30,IF(E921=2,20,IF(E921=3,10,IF(E921&lt;&gt;"",1,0))))+IF(F921=1,30,IF(F921=2,20,IF(F921=3,10,IF(F921&lt;&gt;"",1,0))))+IF(G921=1,30,IF(G921=2,20,IF(G921=3,10,IF(G921&lt;&gt;"",1,0))))+IF(H921=1,30,IF(H921=2,20,IF(H921=3,10,IF(H921&lt;&gt;"",1,0)))))*2)</f>
        <v/>
      </c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14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>
        <f>IF(AND(C922="",OR(E922="",E922=0)),"",(IF(E922=1,30,IF(E922=2,20,IF(E922=3,10,IF(E922&lt;&gt;"",1,0))))+IF(F922=1,30,IF(F922=2,20,IF(F922=3,10,IF(F922&lt;&gt;"",1,0))))+IF(G922=1,30,IF(G922=2,20,IF(G922=3,10,IF(G922&lt;&gt;"",1,0))))+IF(H922=1,30,IF(H922=2,20,IF(H922=3,10,IF(H922&lt;&gt;"",1,0)))))*2)</f>
        <v/>
      </c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14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>
        <f>IF(AND(C923="",OR(E923="",E923=0)),"",(IF(E923=1,30,IF(E923=2,20,IF(E923=3,10,IF(E923&lt;&gt;"",1,0))))+IF(F923=1,30,IF(F923=2,20,IF(F923=3,10,IF(F923&lt;&gt;"",1,0))))+IF(G923=1,30,IF(G923=2,20,IF(G923=3,10,IF(G923&lt;&gt;"",1,0))))+IF(H923=1,30,IF(H923=2,20,IF(H923=3,10,IF(H923&lt;&gt;"",1,0)))))*2)</f>
        <v/>
      </c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14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>
        <f>IF(AND(C924="",OR(E924="",E924=0)),"",(IF(E924=1,30,IF(E924=2,20,IF(E924=3,10,IF(E924&lt;&gt;"",1,0))))+IF(F924=1,30,IF(F924=2,20,IF(F924=3,10,IF(F924&lt;&gt;"",1,0))))+IF(G924=1,30,IF(G924=2,20,IF(G924=3,10,IF(G924&lt;&gt;"",1,0))))+IF(H924=1,30,IF(H924=2,20,IF(H924=3,10,IF(H924&lt;&gt;"",1,0)))))*2)</f>
        <v/>
      </c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14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>
        <f>IF(AND(C925="",OR(E925="",E925=0)),"",(IF(E925=1,30,IF(E925=2,20,IF(E925=3,10,IF(E925&lt;&gt;"",1,0))))+IF(F925=1,30,IF(F925=2,20,IF(F925=3,10,IF(F925&lt;&gt;"",1,0))))+IF(G925=1,30,IF(G925=2,20,IF(G925=3,10,IF(G925&lt;&gt;"",1,0))))+IF(H925=1,30,IF(H925=2,20,IF(H925=3,10,IF(H925&lt;&gt;"",1,0)))))*2)</f>
        <v/>
      </c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14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>
        <f>IF(AND(C926="",OR(E926="",E926=0)),"",(IF(E926=1,30,IF(E926=2,20,IF(E926=3,10,IF(E926&lt;&gt;"",1,0))))+IF(F926=1,30,IF(F926=2,20,IF(F926=3,10,IF(F926&lt;&gt;"",1,0))))+IF(G926=1,30,IF(G926=2,20,IF(G926=3,10,IF(G926&lt;&gt;"",1,0))))+IF(H926=1,30,IF(H926=2,20,IF(H926=3,10,IF(H926&lt;&gt;"",1,0)))))*2)</f>
        <v/>
      </c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14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>
        <f>IF(AND(C927="",OR(E927="",E927=0)),"",(IF(E927=1,30,IF(E927=2,20,IF(E927=3,10,IF(E927&lt;&gt;"",1,0))))+IF(F927=1,30,IF(F927=2,20,IF(F927=3,10,IF(F927&lt;&gt;"",1,0))))+IF(G927=1,30,IF(G927=2,20,IF(G927=3,10,IF(G927&lt;&gt;"",1,0))))+IF(H927=1,30,IF(H927=2,20,IF(H927=3,10,IF(H927&lt;&gt;"",1,0)))))*2)</f>
        <v/>
      </c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14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>
        <f>IF(AND(C928="",OR(E928="",E928=0)),"",(IF(E928=1,30,IF(E928=2,20,IF(E928=3,10,IF(E928&lt;&gt;"",1,0))))+IF(F928=1,30,IF(F928=2,20,IF(F928=3,10,IF(F928&lt;&gt;"",1,0))))+IF(G928=1,30,IF(G928=2,20,IF(G928=3,10,IF(G928&lt;&gt;"",1,0))))+IF(H928=1,30,IF(H928=2,20,IF(H928=3,10,IF(H928&lt;&gt;"",1,0)))))*2)</f>
        <v/>
      </c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14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>
        <f>IF(AND(C929="",OR(E929="",E929=0)),"",(IF(E929=1,30,IF(E929=2,20,IF(E929=3,10,IF(E929&lt;&gt;"",1,0))))+IF(F929=1,30,IF(F929=2,20,IF(F929=3,10,IF(F929&lt;&gt;"",1,0))))+IF(G929=1,30,IF(G929=2,20,IF(G929=3,10,IF(G929&lt;&gt;"",1,0))))+IF(H929=1,30,IF(H929=2,20,IF(H929=3,10,IF(H929&lt;&gt;"",1,0)))))*2)</f>
        <v/>
      </c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14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>
        <f>IF(AND(C930="",OR(E930="",E930=0)),"",(IF(E930=1,30,IF(E930=2,20,IF(E930=3,10,IF(E930&lt;&gt;"",1,0))))+IF(F930=1,30,IF(F930=2,20,IF(F930=3,10,IF(F930&lt;&gt;"",1,0))))+IF(G930=1,30,IF(G930=2,20,IF(G930=3,10,IF(G930&lt;&gt;"",1,0))))+IF(H930=1,30,IF(H930=2,20,IF(H930=3,10,IF(H930&lt;&gt;"",1,0)))))*2)</f>
        <v/>
      </c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14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>
        <f>IF(AND(C931="",OR(E931="",E931=0)),"",(IF(E931=1,30,IF(E931=2,20,IF(E931=3,10,IF(E931&lt;&gt;"",1,0))))+IF(F931=1,30,IF(F931=2,20,IF(F931=3,10,IF(F931&lt;&gt;"",1,0))))+IF(G931=1,30,IF(G931=2,20,IF(G931=3,10,IF(G931&lt;&gt;"",1,0))))+IF(H931=1,30,IF(H931=2,20,IF(H931=3,10,IF(H931&lt;&gt;"",1,0)))))*2)</f>
        <v/>
      </c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14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>
        <f>IF(AND(C932="",OR(E932="",E932=0)),"",(IF(E932=1,30,IF(E932=2,20,IF(E932=3,10,IF(E932&lt;&gt;"",1,0))))+IF(F932=1,30,IF(F932=2,20,IF(F932=3,10,IF(F932&lt;&gt;"",1,0))))+IF(G932=1,30,IF(G932=2,20,IF(G932=3,10,IF(G932&lt;&gt;"",1,0))))+IF(H932=1,30,IF(H932=2,20,IF(H932=3,10,IF(H932&lt;&gt;"",1,0)))))*2)</f>
        <v/>
      </c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14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>
        <f>IF(AND(C933="",OR(E933="",E933=0)),"",(IF(E933=1,30,IF(E933=2,20,IF(E933=3,10,IF(E933&lt;&gt;"",1,0))))+IF(F933=1,30,IF(F933=2,20,IF(F933=3,10,IF(F933&lt;&gt;"",1,0))))+IF(G933=1,30,IF(G933=2,20,IF(G933=3,10,IF(G933&lt;&gt;"",1,0))))+IF(H933=1,30,IF(H933=2,20,IF(H933=3,10,IF(H933&lt;&gt;"",1,0)))))*2)</f>
        <v/>
      </c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14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>
        <f>IF(AND(C934="",OR(E934="",E934=0)),"",(IF(E934=1,30,IF(E934=2,20,IF(E934=3,10,IF(E934&lt;&gt;"",1,0))))+IF(F934=1,30,IF(F934=2,20,IF(F934=3,10,IF(F934&lt;&gt;"",1,0))))+IF(G934=1,30,IF(G934=2,20,IF(G934=3,10,IF(G934&lt;&gt;"",1,0))))+IF(H934=1,30,IF(H934=2,20,IF(H934=3,10,IF(H934&lt;&gt;"",1,0)))))*2)</f>
        <v/>
      </c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14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>
        <f>IF(AND(C935="",OR(E935="",E935=0)),"",(IF(E935=1,30,IF(E935=2,20,IF(E935=3,10,IF(E935&lt;&gt;"",1,0))))+IF(F935=1,30,IF(F935=2,20,IF(F935=3,10,IF(F935&lt;&gt;"",1,0))))+IF(G935=1,30,IF(G935=2,20,IF(G935=3,10,IF(G935&lt;&gt;"",1,0))))+IF(H935=1,30,IF(H935=2,20,IF(H935=3,10,IF(H935&lt;&gt;"",1,0)))))*2)</f>
        <v/>
      </c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14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>
        <f>IF(AND(C936="",OR(E936="",E936=0)),"",(IF(E936=1,30,IF(E936=2,20,IF(E936=3,10,IF(E936&lt;&gt;"",1,0))))+IF(F936=1,30,IF(F936=2,20,IF(F936=3,10,IF(F936&lt;&gt;"",1,0))))+IF(G936=1,30,IF(G936=2,20,IF(G936=3,10,IF(G936&lt;&gt;"",1,0))))+IF(H936=1,30,IF(H936=2,20,IF(H936=3,10,IF(H936&lt;&gt;"",1,0)))))*2)</f>
        <v/>
      </c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14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>
        <f>IF(AND(C937="",OR(E937="",E937=0)),"",(IF(E937=1,30,IF(E937=2,20,IF(E937=3,10,IF(E937&lt;&gt;"",1,0))))+IF(F937=1,30,IF(F937=2,20,IF(F937=3,10,IF(F937&lt;&gt;"",1,0))))+IF(G937=1,30,IF(G937=2,20,IF(G937=3,10,IF(G937&lt;&gt;"",1,0))))+IF(H937=1,30,IF(H937=2,20,IF(H937=3,10,IF(H937&lt;&gt;"",1,0)))))*2)</f>
        <v/>
      </c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14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>
        <f>IF(AND(C938="",OR(E938="",E938=0)),"",(IF(E938=1,30,IF(E938=2,20,IF(E938=3,10,IF(E938&lt;&gt;"",1,0))))+IF(F938=1,30,IF(F938=2,20,IF(F938=3,10,IF(F938&lt;&gt;"",1,0))))+IF(G938=1,30,IF(G938=2,20,IF(G938=3,10,IF(G938&lt;&gt;"",1,0))))+IF(H938=1,30,IF(H938=2,20,IF(H938=3,10,IF(H938&lt;&gt;"",1,0)))))*2)</f>
        <v/>
      </c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14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>
        <f>IF(AND(C939="",OR(E939="",E939=0)),"",(IF(E939=1,30,IF(E939=2,20,IF(E939=3,10,IF(E939&lt;&gt;"",1,0))))+IF(F939=1,30,IF(F939=2,20,IF(F939=3,10,IF(F939&lt;&gt;"",1,0))))+IF(G939=1,30,IF(G939=2,20,IF(G939=3,10,IF(G939&lt;&gt;"",1,0))))+IF(H939=1,30,IF(H939=2,20,IF(H939=3,10,IF(H939&lt;&gt;"",1,0)))))*2)</f>
        <v/>
      </c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14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>
        <f>IF(AND(C940="",OR(E940="",E940=0)),"",(IF(E940=1,30,IF(E940=2,20,IF(E940=3,10,IF(E940&lt;&gt;"",1,0))))+IF(F940=1,30,IF(F940=2,20,IF(F940=3,10,IF(F940&lt;&gt;"",1,0))))+IF(G940=1,30,IF(G940=2,20,IF(G940=3,10,IF(G940&lt;&gt;"",1,0))))+IF(H940=1,30,IF(H940=2,20,IF(H940=3,10,IF(H940&lt;&gt;"",1,0)))))*2)</f>
        <v/>
      </c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14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>
        <f>IF(AND(C941="",OR(E941="",E941=0)),"",(IF(E941=1,30,IF(E941=2,20,IF(E941=3,10,IF(E941&lt;&gt;"",1,0))))+IF(F941=1,30,IF(F941=2,20,IF(F941=3,10,IF(F941&lt;&gt;"",1,0))))+IF(G941=1,30,IF(G941=2,20,IF(G941=3,10,IF(G941&lt;&gt;"",1,0))))+IF(H941=1,30,IF(H941=2,20,IF(H941=3,10,IF(H941&lt;&gt;"",1,0)))))*2)</f>
        <v/>
      </c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14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>
        <f>IF(AND(C942="",OR(E942="",E942=0)),"",(IF(E942=1,30,IF(E942=2,20,IF(E942=3,10,IF(E942&lt;&gt;"",1,0))))+IF(F942=1,30,IF(F942=2,20,IF(F942=3,10,IF(F942&lt;&gt;"",1,0))))+IF(G942=1,30,IF(G942=2,20,IF(G942=3,10,IF(G942&lt;&gt;"",1,0))))+IF(H942=1,30,IF(H942=2,20,IF(H942=3,10,IF(H942&lt;&gt;"",1,0)))))*2)</f>
        <v/>
      </c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1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>
        <f>IF(AND(C943="",OR(E943="",E943=0)),"",(IF(E943=1,30,IF(E943=2,20,IF(E943=3,10,IF(E943&lt;&gt;"",1,0))))+IF(F943=1,30,IF(F943=2,20,IF(F943=3,10,IF(F943&lt;&gt;"",1,0))))+IF(G943=1,30,IF(G943=2,20,IF(G943=3,10,IF(G943&lt;&gt;"",1,0))))+IF(H943=1,30,IF(H943=2,20,IF(H943=3,10,IF(H943&lt;&gt;"",1,0)))))*2)</f>
        <v/>
      </c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14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>
        <f>IF(AND(C944="",OR(E944="",E944=0)),"",(IF(E944=1,30,IF(E944=2,20,IF(E944=3,10,IF(E944&lt;&gt;"",1,0))))+IF(F944=1,30,IF(F944=2,20,IF(F944=3,10,IF(F944&lt;&gt;"",1,0))))+IF(G944=1,30,IF(G944=2,20,IF(G944=3,10,IF(G944&lt;&gt;"",1,0))))+IF(H944=1,30,IF(H944=2,20,IF(H944=3,10,IF(H944&lt;&gt;"",1,0)))))*2)</f>
        <v/>
      </c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14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>
        <f>IF(AND(C945="",OR(E945="",E945=0)),"",(IF(E945=1,30,IF(E945=2,20,IF(E945=3,10,IF(E945&lt;&gt;"",1,0))))+IF(F945=1,30,IF(F945=2,20,IF(F945=3,10,IF(F945&lt;&gt;"",1,0))))+IF(G945=1,30,IF(G945=2,20,IF(G945=3,10,IF(G945&lt;&gt;"",1,0))))+IF(H945=1,30,IF(H945=2,20,IF(H945=3,10,IF(H945&lt;&gt;"",1,0)))))*2)</f>
        <v/>
      </c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14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>
        <f>IF(AND(C946="",OR(E946="",E946=0)),"",(IF(E946=1,30,IF(E946=2,20,IF(E946=3,10,IF(E946&lt;&gt;"",1,0))))+IF(F946=1,30,IF(F946=2,20,IF(F946=3,10,IF(F946&lt;&gt;"",1,0))))+IF(G946=1,30,IF(G946=2,20,IF(G946=3,10,IF(G946&lt;&gt;"",1,0))))+IF(H946=1,30,IF(H946=2,20,IF(H946=3,10,IF(H946&lt;&gt;"",1,0)))))*2)</f>
        <v/>
      </c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14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>
        <f>IF(AND(C947="",OR(E947="",E947=0)),"",(IF(E947=1,30,IF(E947=2,20,IF(E947=3,10,IF(E947&lt;&gt;"",1,0))))+IF(F947=1,30,IF(F947=2,20,IF(F947=3,10,IF(F947&lt;&gt;"",1,0))))+IF(G947=1,30,IF(G947=2,20,IF(G947=3,10,IF(G947&lt;&gt;"",1,0))))+IF(H947=1,30,IF(H947=2,20,IF(H947=3,10,IF(H947&lt;&gt;"",1,0)))))*2)</f>
        <v/>
      </c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14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>
        <f>IF(AND(C948="",OR(E948="",E948=0)),"",(IF(E948=1,30,IF(E948=2,20,IF(E948=3,10,IF(E948&lt;&gt;"",1,0))))+IF(F948=1,30,IF(F948=2,20,IF(F948=3,10,IF(F948&lt;&gt;"",1,0))))+IF(G948=1,30,IF(G948=2,20,IF(G948=3,10,IF(G948&lt;&gt;"",1,0))))+IF(H948=1,30,IF(H948=2,20,IF(H948=3,10,IF(H948&lt;&gt;"",1,0)))))*2)</f>
        <v/>
      </c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14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>
        <f>IF(AND(C949="",OR(E949="",E949=0)),"",(IF(E949=1,30,IF(E949=2,20,IF(E949=3,10,IF(E949&lt;&gt;"",1,0))))+IF(F949=1,30,IF(F949=2,20,IF(F949=3,10,IF(F949&lt;&gt;"",1,0))))+IF(G949=1,30,IF(G949=2,20,IF(G949=3,10,IF(G949&lt;&gt;"",1,0))))+IF(H949=1,30,IF(H949=2,20,IF(H949=3,10,IF(H949&lt;&gt;"",1,0)))))*2)</f>
        <v/>
      </c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14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>
        <f>IF(AND(C950="",OR(E950="",E950=0)),"",(IF(E950=1,30,IF(E950=2,20,IF(E950=3,10,IF(E950&lt;&gt;"",1,0))))+IF(F950=1,30,IF(F950=2,20,IF(F950=3,10,IF(F950&lt;&gt;"",1,0))))+IF(G950=1,30,IF(G950=2,20,IF(G950=3,10,IF(G950&lt;&gt;"",1,0))))+IF(H950=1,30,IF(H950=2,20,IF(H950=3,10,IF(H950&lt;&gt;"",1,0)))))*2)</f>
        <v/>
      </c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14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>
        <f>IF(AND(C951="",OR(E951="",E951=0)),"",(IF(E951=1,30,IF(E951=2,20,IF(E951=3,10,IF(E951&lt;&gt;"",1,0))))+IF(F951=1,30,IF(F951=2,20,IF(F951=3,10,IF(F951&lt;&gt;"",1,0))))+IF(G951=1,30,IF(G951=2,20,IF(G951=3,10,IF(G951&lt;&gt;"",1,0))))+IF(H951=1,30,IF(H951=2,20,IF(H951=3,10,IF(H951&lt;&gt;"",1,0)))))*2)</f>
        <v/>
      </c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14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>
        <f>IF(AND(C952="",OR(E952="",E952=0)),"",(IF(E952=1,30,IF(E952=2,20,IF(E952=3,10,IF(E952&lt;&gt;"",1,0))))+IF(F952=1,30,IF(F952=2,20,IF(F952=3,10,IF(F952&lt;&gt;"",1,0))))+IF(G952=1,30,IF(G952=2,20,IF(G952=3,10,IF(G952&lt;&gt;"",1,0))))+IF(H952=1,30,IF(H952=2,20,IF(H952=3,10,IF(H952&lt;&gt;"",1,0)))))*2)</f>
        <v/>
      </c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14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>
        <f>IF(AND(C953="",OR(E953="",E953=0)),"",(IF(E953=1,30,IF(E953=2,20,IF(E953=3,10,IF(E953&lt;&gt;"",1,0))))+IF(F953=1,30,IF(F953=2,20,IF(F953=3,10,IF(F953&lt;&gt;"",1,0))))+IF(G953=1,30,IF(G953=2,20,IF(G953=3,10,IF(G953&lt;&gt;"",1,0))))+IF(H953=1,30,IF(H953=2,20,IF(H953=3,10,IF(H953&lt;&gt;"",1,0)))))*2)</f>
        <v/>
      </c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14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>
        <f>IF(AND(C954="",OR(E954="",E954=0)),"",(IF(E954=1,30,IF(E954=2,20,IF(E954=3,10,IF(E954&lt;&gt;"",1,0))))+IF(F954=1,30,IF(F954=2,20,IF(F954=3,10,IF(F954&lt;&gt;"",1,0))))+IF(G954=1,30,IF(G954=2,20,IF(G954=3,10,IF(G954&lt;&gt;"",1,0))))+IF(H954=1,30,IF(H954=2,20,IF(H954=3,10,IF(H954&lt;&gt;"",1,0)))))*2)</f>
        <v/>
      </c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14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>
        <f>IF(AND(C955="",OR(E955="",E955=0)),"",(IF(E955=1,30,IF(E955=2,20,IF(E955=3,10,IF(E955&lt;&gt;"",1,0))))+IF(F955=1,30,IF(F955=2,20,IF(F955=3,10,IF(F955&lt;&gt;"",1,0))))+IF(G955=1,30,IF(G955=2,20,IF(G955=3,10,IF(G955&lt;&gt;"",1,0))))+IF(H955=1,30,IF(H955=2,20,IF(H955=3,10,IF(H955&lt;&gt;"",1,0)))))*2)</f>
        <v/>
      </c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14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>
        <f>IF(AND(C956="",OR(E956="",E956=0)),"",(IF(E956=1,30,IF(E956=2,20,IF(E956=3,10,IF(E956&lt;&gt;"",1,0))))+IF(F956=1,30,IF(F956=2,20,IF(F956=3,10,IF(F956&lt;&gt;"",1,0))))+IF(G956=1,30,IF(G956=2,20,IF(G956=3,10,IF(G956&lt;&gt;"",1,0))))+IF(H956=1,30,IF(H956=2,20,IF(H956=3,10,IF(H956&lt;&gt;"",1,0)))))*2)</f>
        <v/>
      </c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14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>
        <f>IF(AND(C957="",OR(E957="",E957=0)),"",(IF(E957=1,30,IF(E957=2,20,IF(E957=3,10,IF(E957&lt;&gt;"",1,0))))+IF(F957=1,30,IF(F957=2,20,IF(F957=3,10,IF(F957&lt;&gt;"",1,0))))+IF(G957=1,30,IF(G957=2,20,IF(G957=3,10,IF(G957&lt;&gt;"",1,0))))+IF(H957=1,30,IF(H957=2,20,IF(H957=3,10,IF(H957&lt;&gt;"",1,0)))))*2)</f>
        <v/>
      </c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14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>
        <f>IF(AND(C958="",OR(E958="",E958=0)),"",(IF(E958=1,30,IF(E958=2,20,IF(E958=3,10,IF(E958&lt;&gt;"",1,0))))+IF(F958=1,30,IF(F958=2,20,IF(F958=3,10,IF(F958&lt;&gt;"",1,0))))+IF(G958=1,30,IF(G958=2,20,IF(G958=3,10,IF(G958&lt;&gt;"",1,0))))+IF(H958=1,30,IF(H958=2,20,IF(H958=3,10,IF(H958&lt;&gt;"",1,0)))))*2)</f>
        <v/>
      </c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14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>
        <f>IF(AND(C959="",OR(E959="",E959=0)),"",(IF(E959=1,30,IF(E959=2,20,IF(E959=3,10,IF(E959&lt;&gt;"",1,0))))+IF(F959=1,30,IF(F959=2,20,IF(F959=3,10,IF(F959&lt;&gt;"",1,0))))+IF(G959=1,30,IF(G959=2,20,IF(G959=3,10,IF(G959&lt;&gt;"",1,0))))+IF(H959=1,30,IF(H959=2,20,IF(H959=3,10,IF(H959&lt;&gt;"",1,0)))))*2)</f>
        <v/>
      </c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14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>
        <f>IF(AND(C960="",OR(E960="",E960=0)),"",(IF(E960=1,30,IF(E960=2,20,IF(E960=3,10,IF(E960&lt;&gt;"",1,0))))+IF(F960=1,30,IF(F960=2,20,IF(F960=3,10,IF(F960&lt;&gt;"",1,0))))+IF(G960=1,30,IF(G960=2,20,IF(G960=3,10,IF(G960&lt;&gt;"",1,0))))+IF(H960=1,30,IF(H960=2,20,IF(H960=3,10,IF(H960&lt;&gt;"",1,0)))))*2)</f>
        <v/>
      </c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14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>
        <f>IF(AND(C961="",OR(E961="",E961=0)),"",(IF(E961=1,30,IF(E961=2,20,IF(E961=3,10,IF(E961&lt;&gt;"",1,0))))+IF(F961=1,30,IF(F961=2,20,IF(F961=3,10,IF(F961&lt;&gt;"",1,0))))+IF(G961=1,30,IF(G961=2,20,IF(G961=3,10,IF(G961&lt;&gt;"",1,0))))+IF(H961=1,30,IF(H961=2,20,IF(H961=3,10,IF(H961&lt;&gt;"",1,0)))))*2)</f>
        <v/>
      </c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14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>
        <f>IF(AND(C962="",OR(E962="",E962=0)),"",(IF(E962=1,30,IF(E962=2,20,IF(E962=3,10,IF(E962&lt;&gt;"",1,0))))+IF(F962=1,30,IF(F962=2,20,IF(F962=3,10,IF(F962&lt;&gt;"",1,0))))+IF(G962=1,30,IF(G962=2,20,IF(G962=3,10,IF(G962&lt;&gt;"",1,0))))+IF(H962=1,30,IF(H962=2,20,IF(H962=3,10,IF(H962&lt;&gt;"",1,0)))))*2)</f>
        <v/>
      </c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14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>
        <f>IF(AND(C963="",OR(E963="",E963=0)),"",(IF(E963=1,30,IF(E963=2,20,IF(E963=3,10,IF(E963&lt;&gt;"",1,0))))+IF(F963=1,30,IF(F963=2,20,IF(F963=3,10,IF(F963&lt;&gt;"",1,0))))+IF(G963=1,30,IF(G963=2,20,IF(G963=3,10,IF(G963&lt;&gt;"",1,0))))+IF(H963=1,30,IF(H963=2,20,IF(H963=3,10,IF(H963&lt;&gt;"",1,0)))))*2)</f>
        <v/>
      </c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14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>
        <f>IF(AND(C964="",OR(E964="",E964=0)),"",(IF(E964=1,30,IF(E964=2,20,IF(E964=3,10,IF(E964&lt;&gt;"",1,0))))+IF(F964=1,30,IF(F964=2,20,IF(F964=3,10,IF(F964&lt;&gt;"",1,0))))+IF(G964=1,30,IF(G964=2,20,IF(G964=3,10,IF(G964&lt;&gt;"",1,0))))+IF(H964=1,30,IF(H964=2,20,IF(H964=3,10,IF(H964&lt;&gt;"",1,0)))))*2)</f>
        <v/>
      </c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14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>
        <f>IF(AND(C965="",OR(E965="",E965=0)),"",(IF(E965=1,30,IF(E965=2,20,IF(E965=3,10,IF(E965&lt;&gt;"",1,0))))+IF(F965=1,30,IF(F965=2,20,IF(F965=3,10,IF(F965&lt;&gt;"",1,0))))+IF(G965=1,30,IF(G965=2,20,IF(G965=3,10,IF(G965&lt;&gt;"",1,0))))+IF(H965=1,30,IF(H965=2,20,IF(H965=3,10,IF(H965&lt;&gt;"",1,0)))))*2)</f>
        <v/>
      </c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14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>
        <f>IF(AND(C966="",OR(E966="",E966=0)),"",(IF(E966=1,30,IF(E966=2,20,IF(E966=3,10,IF(E966&lt;&gt;"",1,0))))+IF(F966=1,30,IF(F966=2,20,IF(F966=3,10,IF(F966&lt;&gt;"",1,0))))+IF(G966=1,30,IF(G966=2,20,IF(G966=3,10,IF(G966&lt;&gt;"",1,0))))+IF(H966=1,30,IF(H966=2,20,IF(H966=3,10,IF(H966&lt;&gt;"",1,0)))))*2)</f>
        <v/>
      </c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14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>
        <f>IF(AND(C967="",OR(E967="",E967=0)),"",(IF(E967=1,30,IF(E967=2,20,IF(E967=3,10,IF(E967&lt;&gt;"",1,0))))+IF(F967=1,30,IF(F967=2,20,IF(F967=3,10,IF(F967&lt;&gt;"",1,0))))+IF(G967=1,30,IF(G967=2,20,IF(G967=3,10,IF(G967&lt;&gt;"",1,0))))+IF(H967=1,30,IF(H967=2,20,IF(H967=3,10,IF(H967&lt;&gt;"",1,0)))))*2)</f>
        <v/>
      </c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14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>
        <f>IF(AND(C968="",OR(E968="",E968=0)),"",(IF(E968=1,30,IF(E968=2,20,IF(E968=3,10,IF(E968&lt;&gt;"",1,0))))+IF(F968=1,30,IF(F968=2,20,IF(F968=3,10,IF(F968&lt;&gt;"",1,0))))+IF(G968=1,30,IF(G968=2,20,IF(G968=3,10,IF(G968&lt;&gt;"",1,0))))+IF(H968=1,30,IF(H968=2,20,IF(H968=3,10,IF(H968&lt;&gt;"",1,0)))))*2)</f>
        <v/>
      </c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14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>
        <f>IF(AND(C969="",OR(E969="",E969=0)),"",(IF(E969=1,30,IF(E969=2,20,IF(E969=3,10,IF(E969&lt;&gt;"",1,0))))+IF(F969=1,30,IF(F969=2,20,IF(F969=3,10,IF(F969&lt;&gt;"",1,0))))+IF(G969=1,30,IF(G969=2,20,IF(G969=3,10,IF(G969&lt;&gt;"",1,0))))+IF(H969=1,30,IF(H969=2,20,IF(H969=3,10,IF(H969&lt;&gt;"",1,0)))))*2)</f>
        <v/>
      </c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14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>
        <f>IF(AND(C970="",OR(E970="",E970=0)),"",(IF(E970=1,30,IF(E970=2,20,IF(E970=3,10,IF(E970&lt;&gt;"",1,0))))+IF(F970=1,30,IF(F970=2,20,IF(F970=3,10,IF(F970&lt;&gt;"",1,0))))+IF(G970=1,30,IF(G970=2,20,IF(G970=3,10,IF(G970&lt;&gt;"",1,0))))+IF(H970=1,30,IF(H970=2,20,IF(H970=3,10,IF(H970&lt;&gt;"",1,0)))))*2)</f>
        <v/>
      </c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14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>
        <f>IF(AND(C971="",OR(E971="",E971=0)),"",(IF(E971=1,30,IF(E971=2,20,IF(E971=3,10,IF(E971&lt;&gt;"",1,0))))+IF(F971=1,30,IF(F971=2,20,IF(F971=3,10,IF(F971&lt;&gt;"",1,0))))+IF(G971=1,30,IF(G971=2,20,IF(G971=3,10,IF(G971&lt;&gt;"",1,0))))+IF(H971=1,30,IF(H971=2,20,IF(H971=3,10,IF(H971&lt;&gt;"",1,0)))))*2)</f>
        <v/>
      </c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14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>
        <f>IF(AND(C972="",OR(E972="",E972=0)),"",(IF(E972=1,30,IF(E972=2,20,IF(E972=3,10,IF(E972&lt;&gt;"",1,0))))+IF(F972=1,30,IF(F972=2,20,IF(F972=3,10,IF(F972&lt;&gt;"",1,0))))+IF(G972=1,30,IF(G972=2,20,IF(G972=3,10,IF(G972&lt;&gt;"",1,0))))+IF(H972=1,30,IF(H972=2,20,IF(H972=3,10,IF(H972&lt;&gt;"",1,0)))))*2)</f>
        <v/>
      </c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14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>
        <f>IF(AND(C973="",OR(E973="",E973=0)),"",(IF(E973=1,30,IF(E973=2,20,IF(E973=3,10,IF(E973&lt;&gt;"",1,0))))+IF(F973=1,30,IF(F973=2,20,IF(F973=3,10,IF(F973&lt;&gt;"",1,0))))+IF(G973=1,30,IF(G973=2,20,IF(G973=3,10,IF(G973&lt;&gt;"",1,0))))+IF(H973=1,30,IF(H973=2,20,IF(H973=3,10,IF(H973&lt;&gt;"",1,0)))))*2)</f>
        <v/>
      </c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14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>
        <f>IF(AND(C974="",OR(E974="",E974=0)),"",(IF(E974=1,30,IF(E974=2,20,IF(E974=3,10,IF(E974&lt;&gt;"",1,0))))+IF(F974=1,30,IF(F974=2,20,IF(F974=3,10,IF(F974&lt;&gt;"",1,0))))+IF(G974=1,30,IF(G974=2,20,IF(G974=3,10,IF(G974&lt;&gt;"",1,0))))+IF(H974=1,30,IF(H974=2,20,IF(H974=3,10,IF(H974&lt;&gt;"",1,0)))))*2)</f>
        <v/>
      </c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14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>
        <f>IF(AND(C975="",OR(E975="",E975=0)),"",(IF(E975=1,30,IF(E975=2,20,IF(E975=3,10,IF(E975&lt;&gt;"",1,0))))+IF(F975=1,30,IF(F975=2,20,IF(F975=3,10,IF(F975&lt;&gt;"",1,0))))+IF(G975=1,30,IF(G975=2,20,IF(G975=3,10,IF(G975&lt;&gt;"",1,0))))+IF(H975=1,30,IF(H975=2,20,IF(H975=3,10,IF(H975&lt;&gt;"",1,0)))))*2)</f>
        <v/>
      </c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14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>
        <f>IF(AND(C976="",OR(E976="",E976=0)),"",(IF(E976=1,30,IF(E976=2,20,IF(E976=3,10,IF(E976&lt;&gt;"",1,0))))+IF(F976=1,30,IF(F976=2,20,IF(F976=3,10,IF(F976&lt;&gt;"",1,0))))+IF(G976=1,30,IF(G976=2,20,IF(G976=3,10,IF(G976&lt;&gt;"",1,0))))+IF(H976=1,30,IF(H976=2,20,IF(H976=3,10,IF(H976&lt;&gt;"",1,0)))))*2)</f>
        <v/>
      </c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14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>
        <f>IF(AND(C977="",OR(E977="",E977=0)),"",(IF(E977=1,30,IF(E977=2,20,IF(E977=3,10,IF(E977&lt;&gt;"",1,0))))+IF(F977=1,30,IF(F977=2,20,IF(F977=3,10,IF(F977&lt;&gt;"",1,0))))+IF(G977=1,30,IF(G977=2,20,IF(G977=3,10,IF(G977&lt;&gt;"",1,0))))+IF(H977=1,30,IF(H977=2,20,IF(H977=3,10,IF(H977&lt;&gt;"",1,0)))))*2)</f>
        <v/>
      </c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14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>
        <f>IF(AND(C978="",OR(E978="",E978=0)),"",(IF(E978=1,30,IF(E978=2,20,IF(E978=3,10,IF(E978&lt;&gt;"",1,0))))+IF(F978=1,30,IF(F978=2,20,IF(F978=3,10,IF(F978&lt;&gt;"",1,0))))+IF(G978=1,30,IF(G978=2,20,IF(G978=3,10,IF(G978&lt;&gt;"",1,0))))+IF(H978=1,30,IF(H978=2,20,IF(H978=3,10,IF(H978&lt;&gt;"",1,0)))))*2)</f>
        <v/>
      </c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14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>
        <f>IF(AND(C979="",OR(E979="",E979=0)),"",(IF(E979=1,30,IF(E979=2,20,IF(E979=3,10,IF(E979&lt;&gt;"",1,0))))+IF(F979=1,30,IF(F979=2,20,IF(F979=3,10,IF(F979&lt;&gt;"",1,0))))+IF(G979=1,30,IF(G979=2,20,IF(G979=3,10,IF(G979&lt;&gt;"",1,0))))+IF(H979=1,30,IF(H979=2,20,IF(H979=3,10,IF(H979&lt;&gt;"",1,0)))))*2)</f>
        <v/>
      </c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14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>
        <f>IF(AND(C980="",OR(E980="",E980=0)),"",(IF(E980=1,30,IF(E980=2,20,IF(E980=3,10,IF(E980&lt;&gt;"",1,0))))+IF(F980=1,30,IF(F980=2,20,IF(F980=3,10,IF(F980&lt;&gt;"",1,0))))+IF(G980=1,30,IF(G980=2,20,IF(G980=3,10,IF(G980&lt;&gt;"",1,0))))+IF(H980=1,30,IF(H980=2,20,IF(H980=3,10,IF(H980&lt;&gt;"",1,0)))))*2)</f>
        <v/>
      </c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14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>
        <f>IF(AND(C981="",OR(E981="",E981=0)),"",(IF(E981=1,30,IF(E981=2,20,IF(E981=3,10,IF(E981&lt;&gt;"",1,0))))+IF(F981=1,30,IF(F981=2,20,IF(F981=3,10,IF(F981&lt;&gt;"",1,0))))+IF(G981=1,30,IF(G981=2,20,IF(G981=3,10,IF(G981&lt;&gt;"",1,0))))+IF(H981=1,30,IF(H981=2,20,IF(H981=3,10,IF(H981&lt;&gt;"",1,0)))))*2)</f>
        <v/>
      </c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14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>
        <f>IF(AND(C982="",OR(E982="",E982=0)),"",(IF(E982=1,30,IF(E982=2,20,IF(E982=3,10,IF(E982&lt;&gt;"",1,0))))+IF(F982=1,30,IF(F982=2,20,IF(F982=3,10,IF(F982&lt;&gt;"",1,0))))+IF(G982=1,30,IF(G982=2,20,IF(G982=3,10,IF(G982&lt;&gt;"",1,0))))+IF(H982=1,30,IF(H982=2,20,IF(H982=3,10,IF(H982&lt;&gt;"",1,0)))))*2)</f>
        <v/>
      </c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14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>
        <f>IF(AND(C983="",OR(E983="",E983=0)),"",(IF(E983=1,30,IF(E983=2,20,IF(E983=3,10,IF(E983&lt;&gt;"",1,0))))+IF(F983=1,30,IF(F983=2,20,IF(F983=3,10,IF(F983&lt;&gt;"",1,0))))+IF(G983=1,30,IF(G983=2,20,IF(G983=3,10,IF(G983&lt;&gt;"",1,0))))+IF(H983=1,30,IF(H983=2,20,IF(H983=3,10,IF(H983&lt;&gt;"",1,0)))))*2)</f>
        <v/>
      </c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14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>
        <f>IF(AND(C984="",OR(E984="",E984=0)),"",(IF(E984=1,30,IF(E984=2,20,IF(E984=3,10,IF(E984&lt;&gt;"",1,0))))+IF(F984=1,30,IF(F984=2,20,IF(F984=3,10,IF(F984&lt;&gt;"",1,0))))+IF(G984=1,30,IF(G984=2,20,IF(G984=3,10,IF(G984&lt;&gt;"",1,0))))+IF(H984=1,30,IF(H984=2,20,IF(H984=3,10,IF(H984&lt;&gt;"",1,0)))))*2)</f>
        <v/>
      </c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14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>
        <f>IF(AND(C985="",OR(E985="",E985=0)),"",(IF(E985=1,30,IF(E985=2,20,IF(E985=3,10,IF(E985&lt;&gt;"",1,0))))+IF(F985=1,30,IF(F985=2,20,IF(F985=3,10,IF(F985&lt;&gt;"",1,0))))+IF(G985=1,30,IF(G985=2,20,IF(G985=3,10,IF(G985&lt;&gt;"",1,0))))+IF(H985=1,30,IF(H985=2,20,IF(H985=3,10,IF(H985&lt;&gt;"",1,0)))))*2)</f>
        <v/>
      </c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14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>
        <f>IF(AND(C986="",OR(E986="",E986=0)),"",(IF(E986=1,30,IF(E986=2,20,IF(E986=3,10,IF(E986&lt;&gt;"",1,0))))+IF(F986=1,30,IF(F986=2,20,IF(F986=3,10,IF(F986&lt;&gt;"",1,0))))+IF(G986=1,30,IF(G986=2,20,IF(G986=3,10,IF(G986&lt;&gt;"",1,0))))+IF(H986=1,30,IF(H986=2,20,IF(H986=3,10,IF(H986&lt;&gt;"",1,0)))))*2)</f>
        <v/>
      </c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14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>
        <f>IF(AND(C987="",OR(E987="",E987=0)),"",(IF(E987=1,30,IF(E987=2,20,IF(E987=3,10,IF(E987&lt;&gt;"",1,0))))+IF(F987=1,30,IF(F987=2,20,IF(F987=3,10,IF(F987&lt;&gt;"",1,0))))+IF(G987=1,30,IF(G987=2,20,IF(G987=3,10,IF(G987&lt;&gt;"",1,0))))+IF(H987=1,30,IF(H987=2,20,IF(H987=3,10,IF(H987&lt;&gt;"",1,0)))))*2)</f>
        <v/>
      </c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14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>
        <f>IF(AND(C988="",OR(E988="",E988=0)),"",(IF(E988=1,30,IF(E988=2,20,IF(E988=3,10,IF(E988&lt;&gt;"",1,0))))+IF(F988=1,30,IF(F988=2,20,IF(F988=3,10,IF(F988&lt;&gt;"",1,0))))+IF(G988=1,30,IF(G988=2,20,IF(G988=3,10,IF(G988&lt;&gt;"",1,0))))+IF(H988=1,30,IF(H988=2,20,IF(H988=3,10,IF(H988&lt;&gt;"",1,0)))))*2)</f>
        <v/>
      </c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14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>
        <f>IF(AND(C989="",OR(E989="",E989=0)),"",(IF(E989=1,30,IF(E989=2,20,IF(E989=3,10,IF(E989&lt;&gt;"",1,0))))+IF(F989=1,30,IF(F989=2,20,IF(F989=3,10,IF(F989&lt;&gt;"",1,0))))+IF(G989=1,30,IF(G989=2,20,IF(G989=3,10,IF(G989&lt;&gt;"",1,0))))+IF(H989=1,30,IF(H989=2,20,IF(H989=3,10,IF(H989&lt;&gt;"",1,0)))))*2)</f>
        <v/>
      </c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14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>
        <f>IF(AND(C990="",OR(E990="",E990=0)),"",(IF(E990=1,30,IF(E990=2,20,IF(E990=3,10,IF(E990&lt;&gt;"",1,0))))+IF(F990=1,30,IF(F990=2,20,IF(F990=3,10,IF(F990&lt;&gt;"",1,0))))+IF(G990=1,30,IF(G990=2,20,IF(G990=3,10,IF(G990&lt;&gt;"",1,0))))+IF(H990=1,30,IF(H990=2,20,IF(H990=3,10,IF(H990&lt;&gt;"",1,0)))))*2)</f>
        <v/>
      </c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14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>
        <f>IF(AND(C991="",OR(E991="",E991=0)),"",(IF(E991=1,30,IF(E991=2,20,IF(E991=3,10,IF(E991&lt;&gt;"",1,0))))+IF(F991=1,30,IF(F991=2,20,IF(F991=3,10,IF(F991&lt;&gt;"",1,0))))+IF(G991=1,30,IF(G991=2,20,IF(G991=3,10,IF(G991&lt;&gt;"",1,0))))+IF(H991=1,30,IF(H991=2,20,IF(H991=3,10,IF(H991&lt;&gt;"",1,0)))))*2)</f>
        <v/>
      </c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14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>
        <f>IF(AND(C992="",OR(E992="",E992=0)),"",(IF(E992=1,30,IF(E992=2,20,IF(E992=3,10,IF(E992&lt;&gt;"",1,0))))+IF(F992=1,30,IF(F992=2,20,IF(F992=3,10,IF(F992&lt;&gt;"",1,0))))+IF(G992=1,30,IF(G992=2,20,IF(G992=3,10,IF(G992&lt;&gt;"",1,0))))+IF(H992=1,30,IF(H992=2,20,IF(H992=3,10,IF(H992&lt;&gt;"",1,0)))))*2)</f>
        <v/>
      </c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14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>
        <f>IF(AND(C993="",OR(E993="",E993=0)),"",(IF(E993=1,30,IF(E993=2,20,IF(E993=3,10,IF(E993&lt;&gt;"",1,0))))+IF(F993=1,30,IF(F993=2,20,IF(F993=3,10,IF(F993&lt;&gt;"",1,0))))+IF(G993=1,30,IF(G993=2,20,IF(G993=3,10,IF(G993&lt;&gt;"",1,0))))+IF(H993=1,30,IF(H993=2,20,IF(H993=3,10,IF(H993&lt;&gt;"",1,0)))))*2)</f>
        <v/>
      </c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14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>
        <f>IF(AND(C994="",OR(E994="",E994=0)),"",(IF(E994=1,30,IF(E994=2,20,IF(E994=3,10,IF(E994&lt;&gt;"",1,0))))+IF(F994=1,30,IF(F994=2,20,IF(F994=3,10,IF(F994&lt;&gt;"",1,0))))+IF(G994=1,30,IF(G994=2,20,IF(G994=3,10,IF(G994&lt;&gt;"",1,0))))+IF(H994=1,30,IF(H994=2,20,IF(H994=3,10,IF(H994&lt;&gt;"",1,0)))))*2)</f>
        <v/>
      </c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14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>
        <f>IF(AND(C995="",OR(E995="",E995=0)),"",(IF(E995=1,30,IF(E995=2,20,IF(E995=3,10,IF(E995&lt;&gt;"",1,0))))+IF(F995=1,30,IF(F995=2,20,IF(F995=3,10,IF(F995&lt;&gt;"",1,0))))+IF(G995=1,30,IF(G995=2,20,IF(G995=3,10,IF(G995&lt;&gt;"",1,0))))+IF(H995=1,30,IF(H995=2,20,IF(H995=3,10,IF(H995&lt;&gt;"",1,0)))))*2)</f>
        <v/>
      </c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14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>
        <f>IF(AND(C996="",OR(E996="",E996=0)),"",(IF(E996=1,30,IF(E996=2,20,IF(E996=3,10,IF(E996&lt;&gt;"",1,0))))+IF(F996=1,30,IF(F996=2,20,IF(F996=3,10,IF(F996&lt;&gt;"",1,0))))+IF(G996=1,30,IF(G996=2,20,IF(G996=3,10,IF(G996&lt;&gt;"",1,0))))+IF(H996=1,30,IF(H996=2,20,IF(H996=3,10,IF(H996&lt;&gt;"",1,0)))))*2)</f>
        <v/>
      </c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14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>
        <f>IF(AND(C997="",OR(E997="",E997=0)),"",(IF(E997=1,30,IF(E997=2,20,IF(E997=3,10,IF(E997&lt;&gt;"",1,0))))+IF(F997=1,30,IF(F997=2,20,IF(F997=3,10,IF(F997&lt;&gt;"",1,0))))+IF(G997=1,30,IF(G997=2,20,IF(G997=3,10,IF(G997&lt;&gt;"",1,0))))+IF(H997=1,30,IF(H997=2,20,IF(H997=3,10,IF(H997&lt;&gt;"",1,0)))))*2)</f>
        <v/>
      </c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14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>
        <f>IF(AND(C998="",OR(E998="",E998=0)),"",(IF(E998=1,30,IF(E998=2,20,IF(E998=3,10,IF(E998&lt;&gt;"",1,0))))+IF(F998=1,30,IF(F998=2,20,IF(F998=3,10,IF(F998&lt;&gt;"",1,0))))+IF(G998=1,30,IF(G998=2,20,IF(G998=3,10,IF(G998&lt;&gt;"",1,0))))+IF(H998=1,30,IF(H998=2,20,IF(H998=3,10,IF(H998&lt;&gt;"",1,0)))))*2)</f>
        <v/>
      </c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14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>
        <f>IF(AND(C999="",OR(E999="",E999=0)),"",(IF(E999=1,30,IF(E999=2,20,IF(E999=3,10,IF(E999&lt;&gt;"",1,0))))+IF(F999=1,30,IF(F999=2,20,IF(F999=3,10,IF(F999&lt;&gt;"",1,0))))+IF(G999=1,30,IF(G999=2,20,IF(G999=3,10,IF(G999&lt;&gt;"",1,0))))+IF(H999=1,30,IF(H999=2,20,IF(H999=3,10,IF(H999&lt;&gt;"",1,0)))))*2)</f>
        <v/>
      </c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14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>
        <f>IF(AND(C1000="",OR(E1000="",E1000=0)),"",(IF(E1000=1,30,IF(E1000=2,20,IF(E1000=3,10,IF(E1000&lt;&gt;"",1,0))))+IF(F1000=1,30,IF(F1000=2,20,IF(F1000=3,10,IF(F1000&lt;&gt;"",1,0))))+IF(G1000=1,30,IF(G1000=2,20,IF(G1000=3,10,IF(G1000&lt;&gt;"",1,0))))+IF(H1000=1,30,IF(H1000=2,20,IF(H1000=3,10,IF(H1000&lt;&gt;"",1,0)))))*2)</f>
        <v/>
      </c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B$3:$I$103"/>
  <mergeCells count="1">
    <mergeCell ref="B2:I2"/>
  </mergeCells>
  <conditionalFormatting sqref="B4:I103">
    <cfRule type="expression" priority="1" dxfId="0">
      <formula>$D4="Bgirl"</formula>
    </cfRule>
  </conditionalFormatting>
  <dataValidations count="1">
    <dataValidation sqref="D4:D103" showDropDown="0" showInputMessage="0" showErrorMessage="0" allowBlank="1" type="list">
      <formula1>"1 год обучения,до 3 лет опыта,до 6 лет,7-9 лет,10-13 лет,Kids Pro,Bgirl"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00"/>
  <sheetViews>
    <sheetView showGridLines="0" workbookViewId="0">
      <selection activeCell="A1" sqref="A1"/>
    </sheetView>
  </sheetViews>
  <sheetFormatPr baseColWidth="8" defaultColWidth="14.43" defaultRowHeight="15" customHeight="1"/>
  <cols>
    <col width="0.43" customWidth="1" style="143" min="1" max="1"/>
    <col width="15.57" customWidth="1" style="143" min="2" max="4"/>
    <col width="8" customWidth="1" style="143" min="5" max="5"/>
    <col width="7" customWidth="1" style="143" min="6" max="6"/>
    <col width="8.710000000000001" customWidth="1" style="143" min="7" max="7"/>
    <col width="16.43" customWidth="1" style="143" min="8" max="10"/>
    <col width="8" customWidth="1" style="143" min="11" max="11"/>
    <col width="7" customWidth="1" style="143" min="12" max="12"/>
    <col width="8.710000000000001" customWidth="1" style="143" min="13" max="13"/>
    <col width="16" customWidth="1" style="143" min="14" max="16"/>
    <col width="8" customWidth="1" style="143" min="17" max="17"/>
    <col width="7" customWidth="1" style="143" min="18" max="18"/>
    <col width="8.710000000000001" customWidth="1" style="143" min="19" max="26"/>
  </cols>
  <sheetData>
    <row r="1">
      <c r="B1" s="1" t="n"/>
      <c r="C1" s="1" t="n"/>
      <c r="D1" s="1" t="n"/>
      <c r="E1" s="1" t="n"/>
      <c r="F1" s="1" t="n"/>
      <c r="H1" s="1" t="n"/>
      <c r="I1" s="1" t="n"/>
      <c r="J1" s="1" t="n"/>
      <c r="K1" s="1" t="n"/>
      <c r="L1" s="1" t="n"/>
      <c r="N1" s="1" t="n"/>
      <c r="O1" s="1" t="n"/>
      <c r="P1" s="1" t="n"/>
      <c r="Q1" s="1" t="n"/>
      <c r="R1" s="1" t="n"/>
    </row>
    <row r="2" ht="42" customHeight="1" s="143">
      <c r="B2" s="44" t="inlineStr">
        <is>
          <t>🏆  BREAK WAVE — ИТОГОВЫЙ ДАШБОРД</t>
        </is>
      </c>
    </row>
    <row r="3" ht="21.75" customHeight="1" s="143">
      <c r="B3" s="45" t="inlineStr">
        <is>
          <t>Топ-3 в каждой номинации · При ничьей — все участники на одном месте</t>
        </is>
      </c>
    </row>
    <row r="4" ht="13.5" customHeight="1" s="143">
      <c r="B4" s="1" t="n"/>
      <c r="C4" s="1" t="n"/>
      <c r="D4" s="1" t="n"/>
      <c r="E4" s="1" t="n"/>
      <c r="F4" s="1" t="n"/>
      <c r="H4" s="1" t="n"/>
      <c r="I4" s="1" t="n"/>
      <c r="J4" s="1" t="n"/>
      <c r="K4" s="1" t="n"/>
      <c r="L4" s="1" t="n"/>
      <c r="N4" s="1" t="n"/>
      <c r="O4" s="1" t="n"/>
      <c r="P4" s="1" t="n"/>
      <c r="Q4" s="1" t="n"/>
      <c r="R4" s="1" t="n"/>
    </row>
    <row r="5" ht="27.75" customHeight="1" s="143">
      <c r="B5" s="161" t="inlineStr">
        <is>
          <t>📗  1 год обучения</t>
        </is>
      </c>
      <c r="C5" s="153" t="n"/>
      <c r="D5" s="153" t="n"/>
      <c r="E5" s="153" t="n"/>
      <c r="F5" s="151" t="n"/>
      <c r="H5" s="162" t="inlineStr">
        <is>
          <t>📘  до 3 лет опыта</t>
        </is>
      </c>
      <c r="I5" s="153" t="n"/>
      <c r="J5" s="153" t="n"/>
      <c r="K5" s="153" t="n"/>
      <c r="L5" s="151" t="n"/>
      <c r="N5" s="163" t="inlineStr">
        <is>
          <t>📗  до 6 лет</t>
        </is>
      </c>
      <c r="O5" s="153" t="n"/>
      <c r="P5" s="153" t="n"/>
      <c r="Q5" s="153" t="n"/>
      <c r="R5" s="151" t="n"/>
    </row>
    <row r="6" ht="18" customHeight="1" s="143">
      <c r="B6" s="50" t="inlineStr">
        <is>
          <t>Участник(и)</t>
        </is>
      </c>
      <c r="C6" s="153" t="n"/>
      <c r="D6" s="153" t="n"/>
      <c r="E6" s="151" t="n"/>
      <c r="F6" s="50" t="inlineStr">
        <is>
          <t>Баллы</t>
        </is>
      </c>
      <c r="H6" s="50" t="inlineStr">
        <is>
          <t>Участник(и)</t>
        </is>
      </c>
      <c r="I6" s="153" t="n"/>
      <c r="J6" s="153" t="n"/>
      <c r="K6" s="151" t="n"/>
      <c r="L6" s="50" t="inlineStr">
        <is>
          <t>Баллы</t>
        </is>
      </c>
      <c r="N6" s="50" t="inlineStr">
        <is>
          <t>Участник(и)</t>
        </is>
      </c>
      <c r="O6" s="153" t="n"/>
      <c r="P6" s="153" t="n"/>
      <c r="Q6" s="151" t="n"/>
      <c r="R6" s="50" t="inlineStr">
        <is>
          <t>Баллы</t>
        </is>
      </c>
    </row>
    <row r="7" ht="30" customHeight="1" s="143">
      <c r="B7" s="164">
        <f>IFERROR(__xludf.DUMMYFUNCTION("IFERROR(IF(COUNTIFS('📊 Общий рейтинг'!$D$4:$D$103,""1 год обучения"",'📊 Общий рейтинг'!$L$4:$L$103,1)=0,""—"",""🥇 ""&amp;TEXTJOIN("", "",TRUE,FILTER('📊 Общий рейтинг'!$C$4:$C$103,('📊 Общий рейтинг'!$D$4:$D$103=""1 год обучения"")*('📊 Общий рейтинг'!$L$4"&amp;":$L$103=1)))),""—"")"),"🥇 Bboy Max-Club, Bboy Фрол")</f>
        <v/>
      </c>
      <c r="C7" s="153" t="n"/>
      <c r="D7" s="153" t="n"/>
      <c r="E7" s="151" t="n"/>
      <c r="F7" s="52">
        <f>IFERROR(IF(COUNTIFS('📊 Общий рейтинг'!$D$4:$D$103,"1 год обучения",'📊 Общий рейтинг'!$L$4:$L$103,1)=0,"",MAXIFS('📊 Общий рейтинг'!$J$4:$J$103,'📊 Общий рейтинг'!$D$4:$D$103,"1 год обучения",'📊 Общий рейтинг'!$L$4:$L$103,1)),"")</f>
        <v/>
      </c>
      <c r="H7" s="164">
        <f>IFERROR(__xludf.DUMMYFUNCTION("IFERROR(IF(COUNTIFS('📊 Общий рейтинг'!$D$4:$D$103,""до 3 лет опыта"",'📊 Общий рейтинг'!$L$4:$L$103,1)=0,""—"",""🥇 ""&amp;TEXTJOIN("", "",TRUE,FILTER('📊 Общий рейтинг'!$C$4:$C$103,('📊 Общий рейтинг'!$D$4:$D$103=""до 3 лет опыта"")*('📊 Общий рейтинг'!$L$4"&amp;":$L$103=1)))),""—"")"),"🥇 Bboy Batmort")</f>
        <v/>
      </c>
      <c r="I7" s="153" t="n"/>
      <c r="J7" s="153" t="n"/>
      <c r="K7" s="151" t="n"/>
      <c r="L7" s="52">
        <f>IFERROR(IF(COUNTIFS('📊 Общий рейтинг'!$D$4:$D$103,"до 3 лет опыта",'📊 Общий рейтинг'!$L$4:$L$103,1)=0,"",MAXIFS('📊 Общий рейтинг'!$J$4:$J$103,'📊 Общий рейтинг'!$D$4:$D$103,"до 3 лет опыта",'📊 Общий рейтинг'!$L$4:$L$103,1)),"")</f>
        <v/>
      </c>
      <c r="N7" s="164">
        <f>IFERROR(__xludf.DUMMYFUNCTION("IFERROR(IF(COUNTIFS('📊 Общий рейтинг'!$D$4:$D$103,""до 6 лет"",'📊 Общий рейтинг'!$L$4:$L$103,1)=0,""—"",""🥇 ""&amp;TEXTJOIN("", "",TRUE,FILTER('📊 Общий рейтинг'!$C$4:$C$103,('📊 Общий рейтинг'!$D$4:$D$103=""до 6 лет"")*('📊 Общий рейтинг'!$L$4:$L$103=1)))"&amp;"),""—"")"),"🥇 Bboy Player")</f>
        <v/>
      </c>
      <c r="O7" s="153" t="n"/>
      <c r="P7" s="153" t="n"/>
      <c r="Q7" s="151" t="n"/>
      <c r="R7" s="52">
        <f>IFERROR(IF(COUNTIFS('📊 Общий рейтинг'!$D$4:$D$103,"до 6 лет",'📊 Общий рейтинг'!$L$4:$L$103,1)=0,"",MAXIFS('📊 Общий рейтинг'!$J$4:$J$103,'📊 Общий рейтинг'!$D$4:$D$103,"до 6 лет",'📊 Общий рейтинг'!$L$4:$L$103,1)),"")</f>
        <v/>
      </c>
    </row>
    <row r="8" ht="13.5" customHeight="1" s="143">
      <c r="B8" s="165">
        <f>IFERROR(IF(COUNTIFS('📊 Общий рейтинг'!$D$4:$D$103,"1 год обучения",'📊 Общий рейтинг'!$L$4:$L$103,1)&gt;1,"👥 "&amp;COUNTIFS('📊 Общий рейтинг'!$D$4:$D$103,"1 год обучения",'📊 Общий рейтинг'!$L$4:$L$103,1)&amp;" чел. на месте",""),"")</f>
        <v/>
      </c>
      <c r="C8" s="153" t="n"/>
      <c r="D8" s="153" t="n"/>
      <c r="E8" s="153" t="n"/>
      <c r="F8" s="151" t="n"/>
      <c r="H8" s="165">
        <f>IFERROR(IF(COUNTIFS('📊 Общий рейтинг'!$D$4:$D$103,"до 3 лет опыта",'📊 Общий рейтинг'!$L$4:$L$103,1)&gt;1,"👥 "&amp;COUNTIFS('📊 Общий рейтинг'!$D$4:$D$103,"до 3 лет опыта",'📊 Общий рейтинг'!$L$4:$L$103,1)&amp;" чел. на месте",""),"")</f>
        <v/>
      </c>
      <c r="I8" s="153" t="n"/>
      <c r="J8" s="153" t="n"/>
      <c r="K8" s="153" t="n"/>
      <c r="L8" s="151" t="n"/>
      <c r="N8" s="165">
        <f>IFERROR(IF(COUNTIFS('📊 Общий рейтинг'!$D$4:$D$103,"до 6 лет",'📊 Общий рейтинг'!$L$4:$L$103,1)&gt;1,"👥 "&amp;COUNTIFS('📊 Общий рейтинг'!$D$4:$D$103,"до 6 лет",'📊 Общий рейтинг'!$L$4:$L$103,1)&amp;" чел. на месте",""),"")</f>
        <v/>
      </c>
      <c r="O8" s="153" t="n"/>
      <c r="P8" s="153" t="n"/>
      <c r="Q8" s="153" t="n"/>
      <c r="R8" s="151" t="n"/>
    </row>
    <row r="9" ht="3.75" customHeight="1" s="143">
      <c r="B9" s="1" t="n"/>
      <c r="C9" s="1" t="n"/>
      <c r="D9" s="1" t="n"/>
      <c r="E9" s="1" t="n"/>
      <c r="F9" s="1" t="n"/>
      <c r="H9" s="1" t="n"/>
      <c r="I9" s="1" t="n"/>
      <c r="J9" s="1" t="n"/>
      <c r="K9" s="1" t="n"/>
      <c r="L9" s="1" t="n"/>
      <c r="N9" s="1" t="n"/>
      <c r="O9" s="1" t="n"/>
      <c r="P9" s="1" t="n"/>
      <c r="Q9" s="1" t="n"/>
      <c r="R9" s="1" t="n"/>
    </row>
    <row r="10" ht="30" customHeight="1" s="143">
      <c r="B10" s="166">
        <f>IFERROR(__xludf.DUMMYFUNCTION("IFERROR(IF(COUNTIFS('📊 Общий рейтинг'!$D$4:$D$103,""1 год обучения"",'📊 Общий рейтинг'!$L$4:$L$103,2)=0,""—"",""🥈 ""&amp;TEXTJOIN("", "",TRUE,FILTER('📊 Общий рейтинг'!$C$4:$C$103,('📊 Общий рейтинг'!$D$4:$D$103=""1 год обучения"")*('📊 Общий рейтинг'!$L$4"&amp;":$L$103=2)))),""—"")"),"—")</f>
        <v/>
      </c>
      <c r="C10" s="153" t="n"/>
      <c r="D10" s="153" t="n"/>
      <c r="E10" s="151" t="n"/>
      <c r="F10" s="55">
        <f>IFERROR(IF(COUNTIFS('📊 Общий рейтинг'!$D$4:$D$103,"1 год обучения",'📊 Общий рейтинг'!$L$4:$L$103,2)=0,"",MAXIFS('📊 Общий рейтинг'!$J$4:$J$103,'📊 Общий рейтинг'!$D$4:$D$103,"1 год обучения",'📊 Общий рейтинг'!$L$4:$L$103,2)),"")</f>
        <v/>
      </c>
      <c r="H10" s="166">
        <f>IFERROR(__xludf.DUMMYFUNCTION("IFERROR(IF(COUNTIFS('📊 Общий рейтинг'!$D$4:$D$103,""до 3 лет опыта"",'📊 Общий рейтинг'!$L$4:$L$103,2)=0,""—"",""🥈 ""&amp;TEXTJOIN("", "",TRUE,FILTER('📊 Общий рейтинг'!$C$4:$C$103,('📊 Общий рейтинг'!$D$4:$D$103=""до 3 лет опыта"")*('📊 Общий рейтинг'!$L$4"&amp;":$L$103=2)))),""—"")"),"🥈 Bboy Лебедь, Bboy LaKostya")</f>
        <v/>
      </c>
      <c r="I10" s="153" t="n"/>
      <c r="J10" s="153" t="n"/>
      <c r="K10" s="151" t="n"/>
      <c r="L10" s="55">
        <f>IFERROR(IF(COUNTIFS('📊 Общий рейтинг'!$D$4:$D$103,"до 3 лет опыта",'📊 Общий рейтинг'!$L$4:$L$103,2)=0,"",MAXIFS('📊 Общий рейтинг'!$J$4:$J$103,'📊 Общий рейтинг'!$D$4:$D$103,"до 3 лет опыта",'📊 Общий рейтинг'!$L$4:$L$103,2)),"")</f>
        <v/>
      </c>
      <c r="N10" s="166">
        <f>IFERROR(__xludf.DUMMYFUNCTION("IFERROR(IF(COUNTIFS('📊 Общий рейтинг'!$D$4:$D$103,""до 6 лет"",'📊 Общий рейтинг'!$L$4:$L$103,2)=0,""—"",""🥈 ""&amp;TEXTJOIN("", "",TRUE,FILTER('📊 Общий рейтинг'!$C$4:$C$103,('📊 Общий рейтинг'!$D$4:$D$103=""до 6 лет"")*('📊 Общий рейтинг'!$L$4:$L$103=2)))"&amp;"),""—"")"),"🥈 Bboy King")</f>
        <v/>
      </c>
      <c r="O10" s="153" t="n"/>
      <c r="P10" s="153" t="n"/>
      <c r="Q10" s="151" t="n"/>
      <c r="R10" s="55">
        <f>IFERROR(IF(COUNTIFS('📊 Общий рейтинг'!$D$4:$D$103,"до 6 лет",'📊 Общий рейтинг'!$L$4:$L$103,2)=0,"",MAXIFS('📊 Общий рейтинг'!$J$4:$J$103,'📊 Общий рейтинг'!$D$4:$D$103,"до 6 лет",'📊 Общий рейтинг'!$L$4:$L$103,2)),"")</f>
        <v/>
      </c>
    </row>
    <row r="11" ht="13.5" customHeight="1" s="143">
      <c r="B11" s="165">
        <f>IFERROR(IF(COUNTIFS('📊 Общий рейтинг'!$D$4:$D$103,"1 год обучения",'📊 Общий рейтинг'!$L$4:$L$103,2)&gt;1,"👥 "&amp;COUNTIFS('📊 Общий рейтинг'!$D$4:$D$103,"1 год обучения",'📊 Общий рейтинг'!$L$4:$L$103,2)&amp;" чел. на месте",""),"")</f>
        <v/>
      </c>
      <c r="C11" s="153" t="n"/>
      <c r="D11" s="153" t="n"/>
      <c r="E11" s="153" t="n"/>
      <c r="F11" s="151" t="n"/>
      <c r="H11" s="165">
        <f>IFERROR(IF(COUNTIFS('📊 Общий рейтинг'!$D$4:$D$103,"до 3 лет опыта",'📊 Общий рейтинг'!$L$4:$L$103,2)&gt;1,"👥 "&amp;COUNTIFS('📊 Общий рейтинг'!$D$4:$D$103,"до 3 лет опыта",'📊 Общий рейтинг'!$L$4:$L$103,2)&amp;" чел. на месте",""),"")</f>
        <v/>
      </c>
      <c r="I11" s="153" t="n"/>
      <c r="J11" s="153" t="n"/>
      <c r="K11" s="153" t="n"/>
      <c r="L11" s="151" t="n"/>
      <c r="N11" s="165">
        <f>IFERROR(IF(COUNTIFS('📊 Общий рейтинг'!$D$4:$D$103,"до 6 лет",'📊 Общий рейтинг'!$L$4:$L$103,2)&gt;1,"👥 "&amp;COUNTIFS('📊 Общий рейтинг'!$D$4:$D$103,"до 6 лет",'📊 Общий рейтинг'!$L$4:$L$103,2)&amp;" чел. на месте",""),"")</f>
        <v/>
      </c>
      <c r="O11" s="153" t="n"/>
      <c r="P11" s="153" t="n"/>
      <c r="Q11" s="153" t="n"/>
      <c r="R11" s="151" t="n"/>
    </row>
    <row r="12" ht="3.75" customHeight="1" s="143">
      <c r="B12" s="1" t="n"/>
      <c r="C12" s="1" t="n"/>
      <c r="D12" s="1" t="n"/>
      <c r="E12" s="1" t="n"/>
      <c r="F12" s="1" t="n"/>
      <c r="H12" s="1" t="n"/>
      <c r="I12" s="1" t="n"/>
      <c r="J12" s="1" t="n"/>
      <c r="K12" s="1" t="n"/>
      <c r="L12" s="1" t="n"/>
      <c r="N12" s="1" t="n"/>
      <c r="O12" s="1" t="n"/>
      <c r="P12" s="1" t="n"/>
      <c r="Q12" s="1" t="n"/>
      <c r="R12" s="1" t="n"/>
    </row>
    <row r="13" ht="30" customHeight="1" s="143">
      <c r="B13" s="167">
        <f>IFERROR(__xludf.DUMMYFUNCTION("IFERROR(IF(COUNTIFS('📊 Общий рейтинг'!$D$4:$D$103,""1 год обучения"",'📊 Общий рейтинг'!$L$4:$L$103,3)=0,""—"",""🥉 ""&amp;TEXTJOIN("", "",TRUE,FILTER('📊 Общий рейтинг'!$C$4:$C$103,('📊 Общий рейтинг'!$D$4:$D$103=""1 год обучения"")*('📊 Общий рейтинг'!$L$4"&amp;":$L$103=3)))),""—"")"),"🥉 Bboy Nazаr")</f>
        <v/>
      </c>
      <c r="C13" s="153" t="n"/>
      <c r="D13" s="153" t="n"/>
      <c r="E13" s="151" t="n"/>
      <c r="F13" s="57">
        <f>IFERROR(IF(COUNTIFS('📊 Общий рейтинг'!$D$4:$D$103,"1 год обучения",'📊 Общий рейтинг'!$L$4:$L$103,3)=0,"",MAXIFS('📊 Общий рейтинг'!$J$4:$J$103,'📊 Общий рейтинг'!$D$4:$D$103,"1 год обучения",'📊 Общий рейтинг'!$L$4:$L$103,3)),"")</f>
        <v/>
      </c>
      <c r="H13" s="167">
        <f>IFERROR(__xludf.DUMMYFUNCTION("IFERROR(IF(COUNTIFS('📊 Общий рейтинг'!$D$4:$D$103,""до 3 лет опыта"",'📊 Общий рейтинг'!$L$4:$L$103,3)=0,""—"",""🥉 ""&amp;TEXTJOIN("", "",TRUE,FILTER('📊 Общий рейтинг'!$C$4:$C$103,('📊 Общий рейтинг'!$D$4:$D$103=""до 3 лет опыта"")*('📊 Общий рейтинг'!$L$4"&amp;":$L$103=3)))),""—"")"),"—")</f>
        <v/>
      </c>
      <c r="I13" s="153" t="n"/>
      <c r="J13" s="153" t="n"/>
      <c r="K13" s="151" t="n"/>
      <c r="L13" s="57">
        <f>IFERROR(IF(COUNTIFS('📊 Общий рейтинг'!$D$4:$D$103,"до 3 лет опыта",'📊 Общий рейтинг'!$L$4:$L$103,3)=0,"",MAXIFS('📊 Общий рейтинг'!$J$4:$J$103,'📊 Общий рейтинг'!$D$4:$D$103,"до 3 лет опыта",'📊 Общий рейтинг'!$L$4:$L$103,3)),"")</f>
        <v/>
      </c>
      <c r="N13" s="167">
        <f>IFERROR(__xludf.DUMMYFUNCTION("IFERROR(IF(COUNTIFS('📊 Общий рейтинг'!$D$4:$D$103,""до 6 лет"",'📊 Общий рейтинг'!$L$4:$L$103,3)=0,""—"",""🥉 ""&amp;TEXTJOIN("", "",TRUE,FILTER('📊 Общий рейтинг'!$C$4:$C$103,('📊 Общий рейтинг'!$D$4:$D$103=""до 6 лет"")*('📊 Общий рейтинг'!$L$4:$L$103=3)))"&amp;"),""—"")"),"—")</f>
        <v/>
      </c>
      <c r="O13" s="153" t="n"/>
      <c r="P13" s="153" t="n"/>
      <c r="Q13" s="151" t="n"/>
      <c r="R13" s="57">
        <f>IFERROR(IF(COUNTIFS('📊 Общий рейтинг'!$D$4:$D$103,"до 6 лет",'📊 Общий рейтинг'!$L$4:$L$103,3)=0,"",MAXIFS('📊 Общий рейтинг'!$J$4:$J$103,'📊 Общий рейтинг'!$D$4:$D$103,"до 6 лет",'📊 Общий рейтинг'!$L$4:$L$103,3)),"")</f>
        <v/>
      </c>
    </row>
    <row r="14" ht="13.5" customHeight="1" s="143">
      <c r="B14" s="165">
        <f>IFERROR(IF(COUNTIFS('📊 Общий рейтинг'!$D$4:$D$103,"1 год обучения",'📊 Общий рейтинг'!$L$4:$L$103,3)&gt;1,"👥 "&amp;COUNTIFS('📊 Общий рейтинг'!$D$4:$D$103,"1 год обучения",'📊 Общий рейтинг'!$L$4:$L$103,3)&amp;" чел. на месте",""),"")</f>
        <v/>
      </c>
      <c r="C14" s="153" t="n"/>
      <c r="D14" s="153" t="n"/>
      <c r="E14" s="153" t="n"/>
      <c r="F14" s="151" t="n"/>
      <c r="H14" s="165">
        <f>IFERROR(IF(COUNTIFS('📊 Общий рейтинг'!$D$4:$D$103,"до 3 лет опыта",'📊 Общий рейтинг'!$L$4:$L$103,3)&gt;1,"👥 "&amp;COUNTIFS('📊 Общий рейтинг'!$D$4:$D$103,"до 3 лет опыта",'📊 Общий рейтинг'!$L$4:$L$103,3)&amp;" чел. на месте",""),"")</f>
        <v/>
      </c>
      <c r="I14" s="153" t="n"/>
      <c r="J14" s="153" t="n"/>
      <c r="K14" s="153" t="n"/>
      <c r="L14" s="151" t="n"/>
      <c r="N14" s="165">
        <f>IFERROR(IF(COUNTIFS('📊 Общий рейтинг'!$D$4:$D$103,"до 6 лет",'📊 Общий рейтинг'!$L$4:$L$103,3)&gt;1,"👥 "&amp;COUNTIFS('📊 Общий рейтинг'!$D$4:$D$103,"до 6 лет",'📊 Общий рейтинг'!$L$4:$L$103,3)&amp;" чел. на месте",""),"")</f>
        <v/>
      </c>
      <c r="O14" s="153" t="n"/>
      <c r="P14" s="153" t="n"/>
      <c r="Q14" s="153" t="n"/>
      <c r="R14" s="151" t="n"/>
    </row>
    <row r="15" ht="3.75" customHeight="1" s="143">
      <c r="B15" s="1" t="n"/>
      <c r="C15" s="1" t="n"/>
      <c r="D15" s="1" t="n"/>
      <c r="E15" s="1" t="n"/>
      <c r="F15" s="1" t="n"/>
      <c r="H15" s="1" t="n"/>
      <c r="I15" s="1" t="n"/>
      <c r="J15" s="1" t="n"/>
      <c r="K15" s="1" t="n"/>
      <c r="L15" s="1" t="n"/>
      <c r="N15" s="1" t="n"/>
      <c r="O15" s="1" t="n"/>
      <c r="P15" s="1" t="n"/>
      <c r="Q15" s="1" t="n"/>
      <c r="R15" s="1" t="n"/>
    </row>
    <row r="16">
      <c r="B16" s="1" t="n"/>
      <c r="C16" s="1" t="n"/>
      <c r="D16" s="1" t="n"/>
      <c r="E16" s="1" t="n"/>
      <c r="F16" s="1" t="n"/>
      <c r="H16" s="1" t="n"/>
      <c r="I16" s="1" t="n"/>
      <c r="J16" s="1" t="n"/>
      <c r="K16" s="1" t="n"/>
      <c r="L16" s="1" t="n"/>
      <c r="N16" s="1" t="n"/>
      <c r="O16" s="1" t="n"/>
      <c r="P16" s="1" t="n"/>
      <c r="Q16" s="1" t="n"/>
      <c r="R16" s="1" t="n"/>
    </row>
    <row r="17" ht="27.75" customHeight="1" s="143">
      <c r="B17" s="168" t="inlineStr">
        <is>
          <t>📙  7-9 лет</t>
        </is>
      </c>
      <c r="C17" s="153" t="n"/>
      <c r="D17" s="153" t="n"/>
      <c r="E17" s="153" t="n"/>
      <c r="F17" s="151" t="n"/>
      <c r="H17" s="169" t="inlineStr">
        <is>
          <t>📕  10-13 лет</t>
        </is>
      </c>
      <c r="I17" s="153" t="n"/>
      <c r="J17" s="153" t="n"/>
      <c r="K17" s="153" t="n"/>
      <c r="L17" s="151" t="n"/>
      <c r="N17" s="170" t="inlineStr">
        <is>
          <t>🌟  Kids Pro</t>
        </is>
      </c>
      <c r="O17" s="153" t="n"/>
      <c r="P17" s="153" t="n"/>
      <c r="Q17" s="153" t="n"/>
      <c r="R17" s="151" t="n"/>
    </row>
    <row r="18" ht="18" customHeight="1" s="143">
      <c r="B18" s="50" t="inlineStr">
        <is>
          <t>Участник(и)</t>
        </is>
      </c>
      <c r="C18" s="153" t="n"/>
      <c r="D18" s="153" t="n"/>
      <c r="E18" s="151" t="n"/>
      <c r="F18" s="50" t="inlineStr">
        <is>
          <t>Баллы</t>
        </is>
      </c>
      <c r="H18" s="50" t="inlineStr">
        <is>
          <t>Участник(и)</t>
        </is>
      </c>
      <c r="I18" s="153" t="n"/>
      <c r="J18" s="153" t="n"/>
      <c r="K18" s="151" t="n"/>
      <c r="L18" s="50" t="inlineStr">
        <is>
          <t>Баллы</t>
        </is>
      </c>
      <c r="N18" s="50" t="inlineStr">
        <is>
          <t>Участник(и)</t>
        </is>
      </c>
      <c r="O18" s="153" t="n"/>
      <c r="P18" s="153" t="n"/>
      <c r="Q18" s="151" t="n"/>
      <c r="R18" s="50" t="inlineStr">
        <is>
          <t>Баллы</t>
        </is>
      </c>
    </row>
    <row r="19" ht="30" customHeight="1" s="143">
      <c r="B19" s="164">
        <f>IFERROR(__xludf.DUMMYFUNCTION("IFERROR(IF(COUNTIFS('📊 Общий рейтинг'!$D$4:$D$103,""7-9 лет"",'📊 Общий рейтинг'!$L$4:$L$103,1)=0,""—"",""🥇 ""&amp;TEXTJOIN("", "",TRUE,FILTER('📊 Общий рейтинг'!$C$4:$C$103,('📊 Общий рейтинг'!$D$4:$D$103=""7-9 лет"")*('📊 Общий рейтинг'!$L$4:$L$103=1)))),"&amp;"""—"")"),"—")</f>
        <v/>
      </c>
      <c r="C19" s="153" t="n"/>
      <c r="D19" s="153" t="n"/>
      <c r="E19" s="151" t="n"/>
      <c r="F19" s="52">
        <f>IFERROR(IF(COUNTIFS('📊 Общий рейтинг'!$D$4:$D$103,"7-9 лет",'📊 Общий рейтинг'!$L$4:$L$103,1)=0,"",MAXIFS('📊 Общий рейтинг'!$J$4:$J$103,'📊 Общий рейтинг'!$D$4:$D$103,"7-9 лет",'📊 Общий рейтинг'!$L$4:$L$103,1)),"")</f>
        <v/>
      </c>
      <c r="H19" s="164">
        <f>IFERROR(__xludf.DUMMYFUNCTION("IFERROR(IF(COUNTIFS('📊 Общий рейтинг'!$D$4:$D$103,""10-13 лет"",'📊 Общий рейтинг'!$L$4:$L$103,1)=0,""—"",""🥇 ""&amp;TEXTJOIN("", "",TRUE,FILTER('📊 Общий рейтинг'!$C$4:$C$103,('📊 Общий рейтинг'!$D$4:$D$103=""10-13 лет"")*('📊 Общий рейтинг'!$L$4:$L$103=1)"&amp;"))),""—"")"),"🥇 Bboy Harlan")</f>
        <v/>
      </c>
      <c r="I19" s="153" t="n"/>
      <c r="J19" s="153" t="n"/>
      <c r="K19" s="151" t="n"/>
      <c r="L19" s="52">
        <f>IFERROR(IF(COUNTIFS('📊 Общий рейтинг'!$D$4:$D$103,"10-13 лет",'📊 Общий рейтинг'!$L$4:$L$103,1)=0,"",MAXIFS('📊 Общий рейтинг'!$J$4:$J$103,'📊 Общий рейтинг'!$D$4:$D$103,"10-13 лет",'📊 Общий рейтинг'!$L$4:$L$103,1)),"")</f>
        <v/>
      </c>
      <c r="N19" s="164">
        <f>IFERROR(__xludf.DUMMYFUNCTION("IFERROR(IF(COUNTIFS('📊 Общий рейтинг'!$D$4:$D$103,""Kids Pro"",'📊 Общий рейтинг'!$L$4:$L$103,1)=0,""—"",""🥇 ""&amp;TEXTJOIN("", "",TRUE,FILTER('📊 Общий рейтинг'!$C$4:$C$103,('📊 Общий рейтинг'!$D$4:$D$103=""Kids Pro"")*('📊 Общий рейтинг'!$L$4:$L$103=1)))"&amp;"),""—"")"),"🥇 Bboy Brock")</f>
        <v/>
      </c>
      <c r="O19" s="153" t="n"/>
      <c r="P19" s="153" t="n"/>
      <c r="Q19" s="151" t="n"/>
      <c r="R19" s="52">
        <f>IFERROR(IF(COUNTIFS('📊 Общий рейтинг'!$D$4:$D$103,"Kids Pro",'📊 Общий рейтинг'!$L$4:$L$103,1)=0,"",MAXIFS('📊 Общий рейтинг'!$J$4:$J$103,'📊 Общий рейтинг'!$D$4:$D$103,"Kids Pro",'📊 Общий рейтинг'!$L$4:$L$103,1)),"")</f>
        <v/>
      </c>
    </row>
    <row r="20" ht="13.5" customHeight="1" s="143">
      <c r="B20" s="165">
        <f>IFERROR(IF(COUNTIFS('📊 Общий рейтинг'!$D$4:$D$103,"7-9 лет",'📊 Общий рейтинг'!$L$4:$L$103,1)&gt;1,"👥 "&amp;COUNTIFS('📊 Общий рейтинг'!$D$4:$D$103,"7-9 лет",'📊 Общий рейтинг'!$L$4:$L$103,1)&amp;" чел. на месте",""),"")</f>
        <v/>
      </c>
      <c r="C20" s="153" t="n"/>
      <c r="D20" s="153" t="n"/>
      <c r="E20" s="153" t="n"/>
      <c r="F20" s="151" t="n"/>
      <c r="H20" s="165">
        <f>IFERROR(IF(COUNTIFS('📊 Общий рейтинг'!$D$4:$D$103,"10-13 лет",'📊 Общий рейтинг'!$L$4:$L$103,1)&gt;1,"👥 "&amp;COUNTIFS('📊 Общий рейтинг'!$D$4:$D$103,"10-13 лет",'📊 Общий рейтинг'!$L$4:$L$103,1)&amp;" чел. на месте",""),"")</f>
        <v/>
      </c>
      <c r="I20" s="153" t="n"/>
      <c r="J20" s="153" t="n"/>
      <c r="K20" s="153" t="n"/>
      <c r="L20" s="151" t="n"/>
      <c r="N20" s="165">
        <f>IFERROR(IF(COUNTIFS('📊 Общий рейтинг'!$D$4:$D$103,"Kids Pro",'📊 Общий рейтинг'!$L$4:$L$103,1)&gt;1,"👥 "&amp;COUNTIFS('📊 Общий рейтинг'!$D$4:$D$103,"Kids Pro",'📊 Общий рейтинг'!$L$4:$L$103,1)&amp;" чел. на месте",""),"")</f>
        <v/>
      </c>
      <c r="O20" s="153" t="n"/>
      <c r="P20" s="153" t="n"/>
      <c r="Q20" s="153" t="n"/>
      <c r="R20" s="151" t="n"/>
    </row>
    <row r="21" ht="3.75" customHeight="1" s="143">
      <c r="B21" s="1" t="n"/>
      <c r="C21" s="1" t="n"/>
      <c r="D21" s="1" t="n"/>
      <c r="E21" s="1" t="n"/>
      <c r="F21" s="1" t="n"/>
      <c r="H21" s="1" t="n"/>
      <c r="I21" s="1" t="n"/>
      <c r="J21" s="1" t="n"/>
      <c r="K21" s="1" t="n"/>
      <c r="L21" s="1" t="n"/>
      <c r="N21" s="1" t="n"/>
      <c r="O21" s="1" t="n"/>
      <c r="P21" s="1" t="n"/>
      <c r="Q21" s="1" t="n"/>
      <c r="R21" s="1" t="n"/>
    </row>
    <row r="22" ht="30" customHeight="1" s="143">
      <c r="B22" s="166">
        <f>IFERROR(__xludf.DUMMYFUNCTION("IFERROR(IF(COUNTIFS('📊 Общий рейтинг'!$D$4:$D$103,""7-9 лет"",'📊 Общий рейтинг'!$L$4:$L$103,2)=0,""—"",""🥈 ""&amp;TEXTJOIN("", "",TRUE,FILTER('📊 Общий рейтинг'!$C$4:$C$103,('📊 Общий рейтинг'!$D$4:$D$103=""7-9 лет"")*('📊 Общий рейтинг'!$L$4:$L$103=2)))),"&amp;"""—"")"),"—")</f>
        <v/>
      </c>
      <c r="C22" s="153" t="n"/>
      <c r="D22" s="153" t="n"/>
      <c r="E22" s="151" t="n"/>
      <c r="F22" s="55">
        <f>IFERROR(IF(COUNTIFS('📊 Общий рейтинг'!$D$4:$D$103,"7-9 лет",'📊 Общий рейтинг'!$L$4:$L$103,2)=0,"",MAXIFS('📊 Общий рейтинг'!$J$4:$J$103,'📊 Общий рейтинг'!$D$4:$D$103,"7-9 лет",'📊 Общий рейтинг'!$L$4:$L$103,2)),"")</f>
        <v/>
      </c>
      <c r="H22" s="166">
        <f>IFERROR(__xludf.DUMMYFUNCTION("IFERROR(IF(COUNTIFS('📊 Общий рейтинг'!$D$4:$D$103,""10-13 лет"",'📊 Общий рейтинг'!$L$4:$L$103,2)=0,""—"",""🥈 ""&amp;TEXTJOIN("", "",TRUE,FILTER('📊 Общий рейтинг'!$C$4:$C$103,('📊 Общий рейтинг'!$D$4:$D$103=""10-13 лет"")*('📊 Общий рейтинг'!$L$4:$L$103=2)"&amp;"))),""—"")"),"🥈 Bboy Wind")</f>
        <v/>
      </c>
      <c r="I22" s="153" t="n"/>
      <c r="J22" s="153" t="n"/>
      <c r="K22" s="151" t="n"/>
      <c r="L22" s="55">
        <f>IFERROR(IF(COUNTIFS('📊 Общий рейтинг'!$D$4:$D$103,"10-13 лет",'📊 Общий рейтинг'!$L$4:$L$103,2)=0,"",MAXIFS('📊 Общий рейтинг'!$J$4:$J$103,'📊 Общий рейтинг'!$D$4:$D$103,"10-13 лет",'📊 Общий рейтинг'!$L$4:$L$103,2)),"")</f>
        <v/>
      </c>
      <c r="N22" s="166">
        <f>IFERROR(__xludf.DUMMYFUNCTION("IFERROR(IF(COUNTIFS('📊 Общий рейтинг'!$D$4:$D$103,""Kids Pro"",'📊 Общий рейтинг'!$L$4:$L$103,2)=0,""—"",""🥈 ""&amp;TEXTJOIN("", "",TRUE,FILTER('📊 Общий рейтинг'!$C$4:$C$103,('📊 Общий рейтинг'!$D$4:$D$103=""Kids Pro"")*('📊 Общий рейтинг'!$L$4:$L$103=2)))"&amp;"),""—"")"),"🥈 Bboy Kalos")</f>
        <v/>
      </c>
      <c r="O22" s="153" t="n"/>
      <c r="P22" s="153" t="n"/>
      <c r="Q22" s="151" t="n"/>
      <c r="R22" s="55">
        <f>IFERROR(IF(COUNTIFS('📊 Общий рейтинг'!$D$4:$D$103,"Kids Pro",'📊 Общий рейтинг'!$L$4:$L$103,2)=0,"",MAXIFS('📊 Общий рейтинг'!$J$4:$J$103,'📊 Общий рейтинг'!$D$4:$D$103,"Kids Pro",'📊 Общий рейтинг'!$L$4:$L$103,2)),"")</f>
        <v/>
      </c>
    </row>
    <row r="23" ht="13.5" customHeight="1" s="143">
      <c r="B23" s="165">
        <f>IFERROR(IF(COUNTIFS('📊 Общий рейтинг'!$D$4:$D$103,"7-9 лет",'📊 Общий рейтинг'!$L$4:$L$103,2)&gt;1,"👥 "&amp;COUNTIFS('📊 Общий рейтинг'!$D$4:$D$103,"7-9 лет",'📊 Общий рейтинг'!$L$4:$L$103,2)&amp;" чел. на месте",""),"")</f>
        <v/>
      </c>
      <c r="C23" s="153" t="n"/>
      <c r="D23" s="153" t="n"/>
      <c r="E23" s="153" t="n"/>
      <c r="F23" s="151" t="n"/>
      <c r="H23" s="165">
        <f>IFERROR(IF(COUNTIFS('📊 Общий рейтинг'!$D$4:$D$103,"10-13 лет",'📊 Общий рейтинг'!$L$4:$L$103,2)&gt;1,"👥 "&amp;COUNTIFS('📊 Общий рейтинг'!$D$4:$D$103,"10-13 лет",'📊 Общий рейтинг'!$L$4:$L$103,2)&amp;" чел. на месте",""),"")</f>
        <v/>
      </c>
      <c r="I23" s="153" t="n"/>
      <c r="J23" s="153" t="n"/>
      <c r="K23" s="153" t="n"/>
      <c r="L23" s="151" t="n"/>
      <c r="N23" s="165">
        <f>IFERROR(IF(COUNTIFS('📊 Общий рейтинг'!$D$4:$D$103,"Kids Pro",'📊 Общий рейтинг'!$L$4:$L$103,2)&gt;1,"👥 "&amp;COUNTIFS('📊 Общий рейтинг'!$D$4:$D$103,"Kids Pro",'📊 Общий рейтинг'!$L$4:$L$103,2)&amp;" чел. на месте",""),"")</f>
        <v/>
      </c>
      <c r="O23" s="153" t="n"/>
      <c r="P23" s="153" t="n"/>
      <c r="Q23" s="153" t="n"/>
      <c r="R23" s="151" t="n"/>
    </row>
    <row r="24" ht="3.75" customHeight="1" s="143">
      <c r="B24" s="1" t="n"/>
      <c r="C24" s="1" t="n"/>
      <c r="D24" s="1" t="n"/>
      <c r="E24" s="1" t="n"/>
      <c r="F24" s="1" t="n"/>
      <c r="H24" s="1" t="n"/>
      <c r="I24" s="1" t="n"/>
      <c r="J24" s="1" t="n"/>
      <c r="K24" s="1" t="n"/>
      <c r="L24" s="1" t="n"/>
      <c r="N24" s="1" t="n"/>
      <c r="O24" s="1" t="n"/>
      <c r="P24" s="1" t="n"/>
      <c r="Q24" s="1" t="n"/>
      <c r="R24" s="1" t="n"/>
    </row>
    <row r="25" ht="30" customHeight="1" s="143">
      <c r="B25" s="167">
        <f>IFERROR(__xludf.DUMMYFUNCTION("IFERROR(IF(COUNTIFS('📊 Общий рейтинг'!$D$4:$D$103,""7-9 лет"",'📊 Общий рейтинг'!$L$4:$L$103,3)=0,""—"",""🥉 ""&amp;TEXTJOIN("", "",TRUE,FILTER('📊 Общий рейтинг'!$C$4:$C$103,('📊 Общий рейтинг'!$D$4:$D$103=""7-9 лет"")*('📊 Общий рейтинг'!$L$4:$L$103=3)))),"&amp;"""—"")"),"—")</f>
        <v/>
      </c>
      <c r="C25" s="153" t="n"/>
      <c r="D25" s="153" t="n"/>
      <c r="E25" s="151" t="n"/>
      <c r="F25" s="57">
        <f>IFERROR(IF(COUNTIFS('📊 Общий рейтинг'!$D$4:$D$103,"7-9 лет",'📊 Общий рейтинг'!$L$4:$L$103,3)=0,"",MAXIFS('📊 Общий рейтинг'!$J$4:$J$103,'📊 Общий рейтинг'!$D$4:$D$103,"7-9 лет",'📊 Общий рейтинг'!$L$4:$L$103,3)),"")</f>
        <v/>
      </c>
      <c r="H25" s="167">
        <f>IFERROR(__xludf.DUMMYFUNCTION("IFERROR(IF(COUNTIFS('📊 Общий рейтинг'!$D$4:$D$103,""10-13 лет"",'📊 Общий рейтинг'!$L$4:$L$103,3)=0,""—"",""🥉 ""&amp;TEXTJOIN("", "",TRUE,FILTER('📊 Общий рейтинг'!$C$4:$C$103,('📊 Общий рейтинг'!$D$4:$D$103=""10-13 лет"")*('📊 Общий рейтинг'!$L$4:$L$103=3)"&amp;"))),""—"")"),"🥉 Bboy FillPower")</f>
        <v/>
      </c>
      <c r="I25" s="153" t="n"/>
      <c r="J25" s="153" t="n"/>
      <c r="K25" s="151" t="n"/>
      <c r="L25" s="57">
        <f>IFERROR(IF(COUNTIFS('📊 Общий рейтинг'!$D$4:$D$103,"10-13 лет",'📊 Общий рейтинг'!$L$4:$L$103,3)=0,"",MAXIFS('📊 Общий рейтинг'!$J$4:$J$103,'📊 Общий рейтинг'!$D$4:$D$103,"10-13 лет",'📊 Общий рейтинг'!$L$4:$L$103,3)),"")</f>
        <v/>
      </c>
      <c r="N25" s="167">
        <f>IFERROR(__xludf.DUMMYFUNCTION("IFERROR(IF(COUNTIFS('📊 Общий рейтинг'!$D$4:$D$103,""Kids Pro"",'📊 Общий рейтинг'!$L$4:$L$103,3)=0,""—"",""🥉 ""&amp;TEXTJOIN("", "",TRUE,FILTER('📊 Общий рейтинг'!$C$4:$C$103,('📊 Общий рейтинг'!$D$4:$D$103=""Kids Pro"")*('📊 Общий рейтинг'!$L$4:$L$103=3)))"&amp;"),""—"")"),"🥉 Bboy LilFlow")</f>
        <v/>
      </c>
      <c r="O25" s="153" t="n"/>
      <c r="P25" s="153" t="n"/>
      <c r="Q25" s="151" t="n"/>
      <c r="R25" s="57">
        <f>IFERROR(IF(COUNTIFS('📊 Общий рейтинг'!$D$4:$D$103,"Kids Pro",'📊 Общий рейтинг'!$L$4:$L$103,3)=0,"",MAXIFS('📊 Общий рейтинг'!$J$4:$J$103,'📊 Общий рейтинг'!$D$4:$D$103,"Kids Pro",'📊 Общий рейтинг'!$L$4:$L$103,3)),"")</f>
        <v/>
      </c>
    </row>
    <row r="26" ht="13.5" customHeight="1" s="143">
      <c r="B26" s="165">
        <f>IFERROR(IF(COUNTIFS('📊 Общий рейтинг'!$D$4:$D$103,"7-9 лет",'📊 Общий рейтинг'!$L$4:$L$103,3)&gt;1,"👥 "&amp;COUNTIFS('📊 Общий рейтинг'!$D$4:$D$103,"7-9 лет",'📊 Общий рейтинг'!$L$4:$L$103,3)&amp;" чел. на месте",""),"")</f>
        <v/>
      </c>
      <c r="C26" s="153" t="n"/>
      <c r="D26" s="153" t="n"/>
      <c r="E26" s="153" t="n"/>
      <c r="F26" s="151" t="n"/>
      <c r="H26" s="165">
        <f>IFERROR(IF(COUNTIFS('📊 Общий рейтинг'!$D$4:$D$103,"10-13 лет",'📊 Общий рейтинг'!$L$4:$L$103,3)&gt;1,"👥 "&amp;COUNTIFS('📊 Общий рейтинг'!$D$4:$D$103,"10-13 лет",'📊 Общий рейтинг'!$L$4:$L$103,3)&amp;" чел. на месте",""),"")</f>
        <v/>
      </c>
      <c r="I26" s="153" t="n"/>
      <c r="J26" s="153" t="n"/>
      <c r="K26" s="153" t="n"/>
      <c r="L26" s="151" t="n"/>
      <c r="N26" s="165">
        <f>IFERROR(IF(COUNTIFS('📊 Общий рейтинг'!$D$4:$D$103,"Kids Pro",'📊 Общий рейтинг'!$L$4:$L$103,3)&gt;1,"👥 "&amp;COUNTIFS('📊 Общий рейтинг'!$D$4:$D$103,"Kids Pro",'📊 Общий рейтинг'!$L$4:$L$103,3)&amp;" чел. на месте",""),"")</f>
        <v/>
      </c>
      <c r="O26" s="153" t="n"/>
      <c r="P26" s="153" t="n"/>
      <c r="Q26" s="153" t="n"/>
      <c r="R26" s="151" t="n"/>
    </row>
    <row r="27" ht="3.75" customHeight="1" s="143">
      <c r="B27" s="1" t="n"/>
      <c r="C27" s="1" t="n"/>
      <c r="D27" s="1" t="n"/>
      <c r="E27" s="1" t="n"/>
      <c r="F27" s="1" t="n"/>
      <c r="H27" s="1" t="n"/>
      <c r="I27" s="1" t="n"/>
      <c r="J27" s="1" t="n"/>
      <c r="K27" s="1" t="n"/>
      <c r="L27" s="1" t="n"/>
      <c r="N27" s="1" t="n"/>
      <c r="O27" s="1" t="n"/>
      <c r="P27" s="1" t="n"/>
      <c r="Q27" s="1" t="n"/>
      <c r="R27" s="1" t="n"/>
    </row>
    <row r="28" ht="15.75" customHeight="1" s="143">
      <c r="R28" s="1" t="n"/>
    </row>
    <row r="29" ht="27.75" customHeight="1" s="143">
      <c r="A29" s="61" t="n"/>
      <c r="B29" s="62" t="inlineStr">
        <is>
          <t>🌸BGirl</t>
        </is>
      </c>
      <c r="G29" s="61" t="n"/>
      <c r="H29" s="61" t="n"/>
      <c r="I29" s="61" t="n"/>
      <c r="J29" s="61" t="n"/>
      <c r="K29" s="61" t="n"/>
      <c r="L29" s="61" t="n"/>
      <c r="M29" s="61" t="n"/>
      <c r="N29" s="61" t="n"/>
      <c r="O29" s="61" t="n"/>
      <c r="P29" s="61" t="n"/>
      <c r="Q29" s="61" t="n"/>
    </row>
    <row r="30" ht="18" customHeight="1" s="143">
      <c r="B30" s="66" t="inlineStr">
        <is>
          <t>Участник(и)</t>
        </is>
      </c>
      <c r="C30" s="171" t="n"/>
      <c r="D30" s="171" t="n"/>
      <c r="E30" s="172" t="n"/>
      <c r="F30" s="66" t="inlineStr">
        <is>
          <t>Баллы</t>
        </is>
      </c>
      <c r="H30" s="1" t="n"/>
      <c r="I30" s="1" t="n"/>
      <c r="J30" s="1" t="n"/>
      <c r="K30" s="1" t="n"/>
      <c r="L30" s="1" t="n"/>
      <c r="N30" s="1" t="n"/>
      <c r="O30" s="1" t="n"/>
      <c r="P30" s="1" t="n"/>
      <c r="Q30" s="1" t="n"/>
      <c r="R30" s="1" t="n"/>
    </row>
    <row r="31" ht="30" customHeight="1" s="143">
      <c r="B31" s="164">
        <f>IFERROR(__xludf.DUMMYFUNCTION("IFERROR(IF(COUNTIFS('📊 Общий рейтинг'!$D$4:$D$103,""Bgirl"",'📊 Общий рейтинг'!$L$4:$L$103,1)=0,""—"",""🥇 ""&amp;TEXTJOIN("", "",TRUE,FILTER('📊 Общий рейтинг'!$C$4:$C$103,('📊 Общий рейтинг'!$D$4:$D$103=""Bgirl"")*('📊 Общий рейтинг'!$L$4:$L$103=1)))),""—"&amp;""")"),"🥇 Bgirl Puma")</f>
        <v/>
      </c>
      <c r="C31" s="153" t="n"/>
      <c r="D31" s="153" t="n"/>
      <c r="E31" s="151" t="n"/>
      <c r="F31" s="52">
        <f>IFERROR(IF(COUNTIFS('📊 Общий рейтинг'!$D$4:$D$103,"Bgirl",'📊 Общий рейтинг'!$L$4:$L$103,1)=0,"",MAXIFS('📊 Общий рейтинг'!$J$4:$J$103,'📊 Общий рейтинг'!$D$4:$D$103,"Bgirl",'📊 Общий рейтинг'!$L$4:$L$103,1)),"")</f>
        <v/>
      </c>
      <c r="H31" s="1" t="n"/>
      <c r="I31" s="1" t="n"/>
      <c r="J31" s="1" t="n"/>
      <c r="K31" s="1" t="n"/>
      <c r="L31" s="1" t="n"/>
      <c r="N31" s="1" t="n"/>
      <c r="O31" s="1" t="n"/>
      <c r="P31" s="1" t="n"/>
      <c r="Q31" s="1" t="n"/>
      <c r="R31" s="1" t="n"/>
    </row>
    <row r="32" ht="13.5" customHeight="1" s="143">
      <c r="B32" s="165">
        <f>IFERROR(IF(COUNTIFS('📊 Общий рейтинг'!$D$4:$D$103,"Bgirl",'📊 Общий рейтинг'!$L$4:$L$103,1)&gt;1,"👥 "&amp;COUNTIFS('📊 Общий рейтинг'!$D$4:$D$103,"Bgirl",'📊 Общий рейтинг'!$L$4:$L$103,1)&amp;" чел. на месте",""),"")</f>
        <v/>
      </c>
      <c r="C32" s="153" t="n"/>
      <c r="D32" s="153" t="n"/>
      <c r="E32" s="153" t="n"/>
      <c r="F32" s="151" t="n"/>
      <c r="H32" s="1" t="n"/>
      <c r="I32" s="1" t="n"/>
      <c r="J32" s="1" t="n"/>
      <c r="K32" s="1" t="n"/>
      <c r="L32" s="1" t="n"/>
      <c r="N32" s="1" t="n"/>
      <c r="O32" s="1" t="n"/>
      <c r="P32" s="1" t="n"/>
      <c r="Q32" s="1" t="n"/>
      <c r="R32" s="1" t="n"/>
    </row>
    <row r="33" ht="3.75" customHeight="1" s="143">
      <c r="B33" s="1" t="n"/>
      <c r="C33" s="1" t="n"/>
      <c r="D33" s="1" t="n"/>
      <c r="E33" s="1" t="n"/>
      <c r="F33" s="1" t="n"/>
      <c r="H33" s="1" t="n"/>
      <c r="I33" s="1" t="n"/>
      <c r="J33" s="1" t="n"/>
      <c r="K33" s="1" t="n"/>
      <c r="L33" s="1" t="n"/>
      <c r="N33" s="1" t="n"/>
      <c r="O33" s="1" t="n"/>
      <c r="P33" s="1" t="n"/>
      <c r="Q33" s="1" t="n"/>
      <c r="R33" s="1" t="n"/>
    </row>
    <row r="34" ht="30" customHeight="1" s="143">
      <c r="B34" s="166">
        <f>IFERROR(__xludf.DUMMYFUNCTION("IFERROR(IF(COUNTIFS('📊 Общий рейтинг'!$D$4:$D$103,""Bgirl"",'📊 Общий рейтинг'!$L$4:$L$103,2)=0,""—"",""🥈 ""&amp;TEXTJOIN("", "",TRUE,FILTER('📊 Общий рейтинг'!$C$4:$C$103,('📊 Общий рейтинг'!$D$4:$D$103=""Bgirl"")*('📊 Общий рейтинг'!$L$4:$L$103=2)))),""—"&amp;""")"),"🥈 Bgirl Gazirovka")</f>
        <v/>
      </c>
      <c r="C34" s="153" t="n"/>
      <c r="D34" s="153" t="n"/>
      <c r="E34" s="151" t="n"/>
      <c r="F34" s="55">
        <f>IFERROR(IF(COUNTIFS('📊 Общий рейтинг'!$D$4:$D$103,"Bgirl",'📊 Общий рейтинг'!$L$4:$L$103,2)=0,"",MAXIFS('📊 Общий рейтинг'!$J$4:$J$103,'📊 Общий рейтинг'!$D$4:$D$103,"Bgirl",'📊 Общий рейтинг'!$L$4:$L$103,2)),"")</f>
        <v/>
      </c>
      <c r="H34" s="1" t="n"/>
      <c r="I34" s="1" t="n"/>
      <c r="J34" s="1" t="n"/>
      <c r="K34" s="1" t="n"/>
      <c r="L34" s="1" t="n"/>
      <c r="N34" s="1" t="n"/>
      <c r="O34" s="1" t="n"/>
      <c r="P34" s="1" t="n"/>
      <c r="Q34" s="1" t="n"/>
      <c r="R34" s="1" t="n"/>
    </row>
    <row r="35" ht="13.5" customHeight="1" s="143">
      <c r="B35" s="165">
        <f>IFERROR(IF(COUNTIFS('📊 Общий рейтинг'!$D$4:$D$103,"Bgirl",'📊 Общий рейтинг'!$L$4:$L$103,2)&gt;1,"👥 "&amp;COUNTIFS('📊 Общий рейтинг'!$D$4:$D$103,"Bgirl",'📊 Общий рейтинг'!$L$4:$L$103,2)&amp;" чел. на месте",""),"")</f>
        <v/>
      </c>
      <c r="C35" s="153" t="n"/>
      <c r="D35" s="153" t="n"/>
      <c r="E35" s="153" t="n"/>
      <c r="F35" s="151" t="n"/>
      <c r="H35" s="1" t="n"/>
      <c r="I35" s="1" t="n"/>
      <c r="J35" s="1" t="n"/>
      <c r="K35" s="1" t="n"/>
      <c r="L35" s="1" t="n"/>
      <c r="N35" s="1" t="n"/>
      <c r="O35" s="1" t="n"/>
      <c r="P35" s="1" t="n"/>
      <c r="Q35" s="1" t="n"/>
      <c r="R35" s="1" t="n"/>
    </row>
    <row r="36" ht="3.75" customHeight="1" s="143">
      <c r="B36" s="1" t="n"/>
      <c r="C36" s="1" t="n"/>
      <c r="D36" s="1" t="n"/>
      <c r="E36" s="1" t="n"/>
      <c r="F36" s="1" t="n"/>
      <c r="H36" s="1" t="n"/>
      <c r="I36" s="1" t="n"/>
      <c r="J36" s="1" t="n"/>
      <c r="K36" s="1" t="n"/>
      <c r="L36" s="1" t="n"/>
      <c r="N36" s="1" t="n"/>
      <c r="O36" s="1" t="n"/>
      <c r="P36" s="1" t="n"/>
      <c r="Q36" s="1" t="n"/>
      <c r="R36" s="1" t="n"/>
    </row>
    <row r="37" ht="30" customHeight="1" s="143">
      <c r="B37" s="167">
        <f>IFERROR(__xludf.DUMMYFUNCTION("IFERROR(IF(COUNTIFS('📊 Общий рейтинг'!$D$4:$D$103,""Bgirl"",'📊 Общий рейтинг'!$L$4:$L$103,3)=0,""—"",""🥉 ""&amp;TEXTJOIN("", "",TRUE,FILTER('📊 Общий рейтинг'!$C$4:$C$103,('📊 Общий рейтинг'!$D$4:$D$103=""Bgirl"")*('📊 Общий рейтинг'!$L$4:$L$103=3)))),""—"&amp;""")"),"🥉 Bgirl Marishka")</f>
        <v/>
      </c>
      <c r="C37" s="153" t="n"/>
      <c r="D37" s="153" t="n"/>
      <c r="E37" s="151" t="n"/>
      <c r="F37" s="57">
        <f>IFERROR(IF(COUNTIFS('📊 Общий рейтинг'!$D$4:$D$103,"Bgirl",'📊 Общий рейтинг'!$L$4:$L$103,3)=0,"",MAXIFS('📊 Общий рейтинг'!$J$4:$J$103,'📊 Общий рейтинг'!$D$4:$D$103,"Bgirl",'📊 Общий рейтинг'!$L$4:$L$103,3)),"")</f>
        <v/>
      </c>
      <c r="H37" s="1" t="n"/>
      <c r="I37" s="1" t="n"/>
      <c r="J37" s="1" t="n"/>
      <c r="K37" s="1" t="n"/>
      <c r="L37" s="1" t="n"/>
      <c r="N37" s="1" t="n"/>
      <c r="O37" s="1" t="n"/>
      <c r="P37" s="1" t="n"/>
      <c r="Q37" s="1" t="n"/>
      <c r="R37" s="1" t="n"/>
    </row>
    <row r="38" ht="13.5" customHeight="1" s="143">
      <c r="B38" s="165">
        <f>IFERROR(IF(COUNTIFS('📊 Общий рейтинг'!$D$4:$D$103,"Bgirl",'📊 Общий рейтинг'!$L$4:$L$103,3)&gt;1,"👥 "&amp;COUNTIFS('📊 Общий рейтинг'!$D$4:$D$103,"Bgirl",'📊 Общий рейтинг'!$L$4:$L$103,3)&amp;" чел. на месте",""),"")</f>
        <v/>
      </c>
      <c r="C38" s="153" t="n"/>
      <c r="D38" s="153" t="n"/>
      <c r="E38" s="153" t="n"/>
      <c r="F38" s="151" t="n"/>
      <c r="H38" s="1" t="n"/>
      <c r="I38" s="1" t="n"/>
      <c r="J38" s="1" t="n"/>
      <c r="K38" s="1" t="n"/>
      <c r="L38" s="1" t="n"/>
      <c r="N38" s="1" t="n"/>
      <c r="O38" s="1" t="n"/>
      <c r="P38" s="1" t="n"/>
      <c r="Q38" s="1" t="n"/>
      <c r="R38" s="1" t="n"/>
    </row>
    <row r="39" ht="3.75" customHeight="1" s="143">
      <c r="B39" s="1" t="n"/>
      <c r="C39" s="1" t="n"/>
      <c r="D39" s="1" t="n"/>
      <c r="E39" s="1" t="n"/>
      <c r="F39" s="1" t="n"/>
      <c r="H39" s="1" t="n"/>
      <c r="I39" s="1" t="n"/>
      <c r="J39" s="1" t="n"/>
      <c r="K39" s="1" t="n"/>
      <c r="L39" s="1" t="n"/>
      <c r="N39" s="1" t="n"/>
      <c r="O39" s="1" t="n"/>
      <c r="P39" s="1" t="n"/>
      <c r="Q39" s="1" t="n"/>
      <c r="R39" s="1" t="n"/>
    </row>
    <row r="40" ht="15.75" customHeight="1" s="143">
      <c r="B40" s="1" t="n"/>
      <c r="C40" s="1" t="n"/>
      <c r="D40" s="1" t="n"/>
      <c r="E40" s="1" t="n"/>
      <c r="F40" s="1" t="n"/>
      <c r="H40" s="1" t="n"/>
      <c r="I40" s="1" t="n"/>
      <c r="J40" s="1" t="n"/>
      <c r="K40" s="1" t="n"/>
      <c r="L40" s="1" t="n"/>
      <c r="N40" s="1" t="n"/>
      <c r="O40" s="1" t="n"/>
      <c r="P40" s="1" t="n"/>
      <c r="Q40" s="1" t="n"/>
      <c r="R40" s="1" t="n"/>
    </row>
    <row r="41" ht="15.75" customHeight="1" s="143">
      <c r="B41" s="1" t="n"/>
      <c r="C41" s="1" t="n"/>
      <c r="D41" s="1" t="n"/>
      <c r="E41" s="1" t="n"/>
      <c r="F41" s="1" t="n"/>
      <c r="H41" s="1" t="n"/>
      <c r="I41" s="1" t="n"/>
      <c r="J41" s="1" t="n"/>
      <c r="K41" s="1" t="n"/>
      <c r="L41" s="1" t="n"/>
      <c r="N41" s="1" t="n"/>
      <c r="O41" s="1" t="n"/>
      <c r="P41" s="1" t="n"/>
      <c r="Q41" s="1" t="n"/>
      <c r="R41" s="1" t="n"/>
    </row>
    <row r="42" ht="15.75" customHeight="1" s="143">
      <c r="B42" s="67" t="inlineStr">
        <is>
          <t>💡 Данные обновляются автоматически · При ничьей все участники указываются через запятую</t>
        </is>
      </c>
    </row>
    <row r="43" ht="15.75" customHeight="1" s="143">
      <c r="B43" s="1" t="n"/>
      <c r="C43" s="1" t="n"/>
      <c r="D43" s="1" t="n"/>
      <c r="E43" s="1" t="n"/>
      <c r="F43" s="1" t="n"/>
      <c r="H43" s="1" t="n"/>
      <c r="I43" s="1" t="n"/>
      <c r="J43" s="1" t="n"/>
      <c r="K43" s="1" t="n"/>
      <c r="L43" s="1" t="n"/>
      <c r="N43" s="1" t="n"/>
      <c r="O43" s="1" t="n"/>
      <c r="P43" s="1" t="n"/>
      <c r="Q43" s="1" t="n"/>
      <c r="R43" s="1" t="n"/>
    </row>
    <row r="44" ht="15.75" customHeight="1" s="143">
      <c r="B44" s="1" t="n"/>
      <c r="C44" s="1" t="n"/>
      <c r="D44" s="1" t="n"/>
      <c r="E44" s="1" t="n"/>
      <c r="F44" s="1" t="n"/>
      <c r="H44" s="1" t="n"/>
      <c r="I44" s="1" t="n"/>
      <c r="J44" s="1" t="n"/>
      <c r="K44" s="1" t="n"/>
      <c r="L44" s="1" t="n"/>
      <c r="N44" s="1" t="n"/>
      <c r="O44" s="1" t="n"/>
      <c r="P44" s="1" t="n"/>
      <c r="Q44" s="1" t="n"/>
      <c r="R44" s="1" t="n"/>
    </row>
    <row r="45" ht="15.75" customHeight="1" s="143">
      <c r="B45" s="1" t="n"/>
      <c r="C45" s="1" t="n"/>
      <c r="D45" s="1" t="n"/>
      <c r="E45" s="1" t="n"/>
      <c r="F45" s="1" t="n"/>
      <c r="H45" s="1" t="n"/>
      <c r="I45" s="1" t="n"/>
      <c r="J45" s="1" t="n"/>
      <c r="K45" s="1" t="n"/>
      <c r="L45" s="1" t="n"/>
      <c r="N45" s="1" t="n"/>
      <c r="O45" s="1" t="n"/>
      <c r="P45" s="1" t="n"/>
      <c r="Q45" s="1" t="n"/>
      <c r="R45" s="1" t="n"/>
    </row>
    <row r="46" ht="15.75" customHeight="1" s="143">
      <c r="B46" s="1" t="n"/>
      <c r="C46" s="1" t="n"/>
      <c r="D46" s="1" t="n"/>
      <c r="E46" s="1" t="n"/>
      <c r="F46" s="1" t="n"/>
      <c r="H46" s="1" t="n"/>
      <c r="I46" s="1" t="n"/>
      <c r="J46" s="1" t="n"/>
      <c r="K46" s="1" t="n"/>
      <c r="L46" s="1" t="n"/>
      <c r="N46" s="1" t="n"/>
      <c r="O46" s="1" t="n"/>
      <c r="P46" s="1" t="n"/>
      <c r="Q46" s="1" t="n"/>
      <c r="R46" s="1" t="n"/>
    </row>
    <row r="47" ht="15.75" customHeight="1" s="143">
      <c r="B47" s="1" t="n"/>
      <c r="C47" s="1" t="n"/>
      <c r="D47" s="1" t="n"/>
      <c r="E47" s="1" t="n"/>
      <c r="F47" s="1" t="n"/>
      <c r="H47" s="1" t="n"/>
      <c r="I47" s="1" t="n"/>
      <c r="J47" s="1" t="n"/>
      <c r="K47" s="1" t="n"/>
      <c r="L47" s="1" t="n"/>
      <c r="N47" s="1" t="n"/>
      <c r="O47" s="1" t="n"/>
      <c r="P47" s="1" t="n"/>
      <c r="Q47" s="1" t="n"/>
      <c r="R47" s="1" t="n"/>
    </row>
    <row r="48" ht="15.75" customHeight="1" s="143">
      <c r="B48" s="1" t="n"/>
      <c r="C48" s="1" t="n"/>
      <c r="D48" s="1" t="n"/>
      <c r="E48" s="1" t="n"/>
      <c r="F48" s="1" t="n"/>
      <c r="H48" s="1" t="n"/>
      <c r="I48" s="1" t="n"/>
      <c r="J48" s="1" t="n"/>
      <c r="K48" s="1" t="n"/>
      <c r="L48" s="1" t="n"/>
      <c r="N48" s="1" t="n"/>
      <c r="O48" s="1" t="n"/>
      <c r="P48" s="1" t="n"/>
      <c r="Q48" s="1" t="n"/>
      <c r="R48" s="1" t="n"/>
    </row>
    <row r="49" ht="15.75" customHeight="1" s="143">
      <c r="B49" s="1" t="n"/>
      <c r="C49" s="1" t="n"/>
      <c r="D49" s="1" t="n"/>
      <c r="E49" s="1" t="n"/>
      <c r="F49" s="1" t="n"/>
      <c r="H49" s="1" t="n"/>
      <c r="I49" s="1" t="n"/>
      <c r="J49" s="1" t="n"/>
      <c r="K49" s="1" t="n"/>
      <c r="L49" s="1" t="n"/>
      <c r="N49" s="1" t="n"/>
      <c r="O49" s="1" t="n"/>
      <c r="P49" s="1" t="n"/>
      <c r="Q49" s="1" t="n"/>
      <c r="R49" s="1" t="n"/>
    </row>
    <row r="50" ht="15.75" customHeight="1" s="143">
      <c r="B50" s="1" t="n"/>
      <c r="C50" s="1" t="n"/>
      <c r="D50" s="1" t="n"/>
      <c r="E50" s="1" t="n"/>
      <c r="F50" s="1" t="n"/>
      <c r="H50" s="1" t="n"/>
      <c r="I50" s="1" t="n"/>
      <c r="J50" s="1" t="n"/>
      <c r="K50" s="1" t="n"/>
      <c r="L50" s="1" t="n"/>
      <c r="N50" s="1" t="n"/>
      <c r="O50" s="1" t="n"/>
      <c r="P50" s="1" t="n"/>
      <c r="Q50" s="1" t="n"/>
      <c r="R50" s="1" t="n"/>
    </row>
    <row r="51" ht="15.75" customHeight="1" s="143">
      <c r="B51" s="1" t="n"/>
      <c r="C51" s="1" t="n"/>
      <c r="D51" s="1" t="n"/>
      <c r="E51" s="1" t="n"/>
      <c r="F51" s="1" t="n"/>
      <c r="H51" s="1" t="n"/>
      <c r="I51" s="1" t="n"/>
      <c r="J51" s="1" t="n"/>
      <c r="K51" s="1" t="n"/>
      <c r="L51" s="1" t="n"/>
      <c r="N51" s="1" t="n"/>
      <c r="O51" s="1" t="n"/>
      <c r="P51" s="1" t="n"/>
      <c r="Q51" s="1" t="n"/>
      <c r="R51" s="1" t="n"/>
    </row>
    <row r="52" ht="15.75" customHeight="1" s="143">
      <c r="B52" s="1" t="n"/>
      <c r="C52" s="1" t="n"/>
      <c r="D52" s="1" t="n"/>
      <c r="E52" s="1" t="n"/>
      <c r="F52" s="1" t="n"/>
      <c r="H52" s="1" t="n"/>
      <c r="I52" s="1" t="n"/>
      <c r="J52" s="1" t="n"/>
      <c r="K52" s="1" t="n"/>
      <c r="L52" s="1" t="n"/>
      <c r="N52" s="1" t="n"/>
      <c r="O52" s="1" t="n"/>
      <c r="P52" s="1" t="n"/>
      <c r="Q52" s="1" t="n"/>
      <c r="R52" s="1" t="n"/>
    </row>
    <row r="53" ht="15.75" customHeight="1" s="143">
      <c r="B53" s="1" t="n"/>
      <c r="C53" s="1" t="n"/>
      <c r="D53" s="1" t="n"/>
      <c r="E53" s="1" t="n"/>
      <c r="F53" s="1" t="n"/>
      <c r="H53" s="1" t="n"/>
      <c r="I53" s="1" t="n"/>
      <c r="J53" s="1" t="n"/>
      <c r="K53" s="1" t="n"/>
      <c r="L53" s="1" t="n"/>
      <c r="N53" s="1" t="n"/>
      <c r="O53" s="1" t="n"/>
      <c r="P53" s="1" t="n"/>
      <c r="Q53" s="1" t="n"/>
      <c r="R53" s="1" t="n"/>
    </row>
    <row r="54" ht="15.75" customHeight="1" s="143">
      <c r="B54" s="1" t="n"/>
      <c r="C54" s="1" t="n"/>
      <c r="D54" s="1" t="n"/>
      <c r="E54" s="1" t="n"/>
      <c r="F54" s="1" t="n"/>
      <c r="H54" s="1" t="n"/>
      <c r="I54" s="1" t="n"/>
      <c r="J54" s="1" t="n"/>
      <c r="K54" s="1" t="n"/>
      <c r="L54" s="1" t="n"/>
      <c r="N54" s="1" t="n"/>
      <c r="O54" s="1" t="n"/>
      <c r="P54" s="1" t="n"/>
      <c r="Q54" s="1" t="n"/>
      <c r="R54" s="1" t="n"/>
    </row>
    <row r="55" ht="15.75" customHeight="1" s="143">
      <c r="B55" s="1" t="n"/>
      <c r="C55" s="1" t="n"/>
      <c r="D55" s="1" t="n"/>
      <c r="E55" s="1" t="n"/>
      <c r="F55" s="1" t="n"/>
      <c r="H55" s="1" t="n"/>
      <c r="I55" s="1" t="n"/>
      <c r="J55" s="1" t="n"/>
      <c r="K55" s="1" t="n"/>
      <c r="L55" s="1" t="n"/>
      <c r="N55" s="1" t="n"/>
      <c r="O55" s="1" t="n"/>
      <c r="P55" s="1" t="n"/>
      <c r="Q55" s="1" t="n"/>
      <c r="R55" s="1" t="n"/>
    </row>
    <row r="56" ht="15.75" customHeight="1" s="143">
      <c r="B56" s="1" t="n"/>
      <c r="C56" s="1" t="n"/>
      <c r="D56" s="1" t="n"/>
      <c r="E56" s="1" t="n"/>
      <c r="F56" s="1" t="n"/>
      <c r="H56" s="1" t="n"/>
      <c r="I56" s="1" t="n"/>
      <c r="J56" s="1" t="n"/>
      <c r="K56" s="1" t="n"/>
      <c r="L56" s="1" t="n"/>
      <c r="N56" s="1" t="n"/>
      <c r="O56" s="1" t="n"/>
      <c r="P56" s="1" t="n"/>
      <c r="Q56" s="1" t="n"/>
      <c r="R56" s="1" t="n"/>
    </row>
    <row r="57" ht="15.75" customHeight="1" s="143">
      <c r="B57" s="1" t="n"/>
      <c r="C57" s="1" t="n"/>
      <c r="D57" s="1" t="n"/>
      <c r="E57" s="1" t="n"/>
      <c r="F57" s="1" t="n"/>
      <c r="H57" s="1" t="n"/>
      <c r="I57" s="1" t="n"/>
      <c r="J57" s="1" t="n"/>
      <c r="K57" s="1" t="n"/>
      <c r="L57" s="1" t="n"/>
      <c r="N57" s="1" t="n"/>
      <c r="O57" s="1" t="n"/>
      <c r="P57" s="1" t="n"/>
      <c r="Q57" s="1" t="n"/>
      <c r="R57" s="1" t="n"/>
    </row>
    <row r="58" ht="15.75" customHeight="1" s="143">
      <c r="B58" s="1" t="n"/>
      <c r="C58" s="1" t="n"/>
      <c r="D58" s="1" t="n"/>
      <c r="E58" s="1" t="n"/>
      <c r="F58" s="1" t="n"/>
      <c r="H58" s="1" t="n"/>
      <c r="I58" s="1" t="n"/>
      <c r="J58" s="1" t="n"/>
      <c r="K58" s="1" t="n"/>
      <c r="L58" s="1" t="n"/>
      <c r="N58" s="1" t="n"/>
      <c r="O58" s="1" t="n"/>
      <c r="P58" s="1" t="n"/>
      <c r="Q58" s="1" t="n"/>
      <c r="R58" s="1" t="n"/>
    </row>
    <row r="59" ht="15.75" customHeight="1" s="143">
      <c r="B59" s="1" t="n"/>
      <c r="C59" s="1" t="n"/>
      <c r="D59" s="1" t="n"/>
      <c r="E59" s="1" t="n"/>
      <c r="F59" s="1" t="n"/>
      <c r="H59" s="1" t="n"/>
      <c r="I59" s="1" t="n"/>
      <c r="J59" s="1" t="n"/>
      <c r="K59" s="1" t="n"/>
      <c r="L59" s="1" t="n"/>
      <c r="N59" s="1" t="n"/>
      <c r="O59" s="1" t="n"/>
      <c r="P59" s="1" t="n"/>
      <c r="Q59" s="1" t="n"/>
      <c r="R59" s="1" t="n"/>
    </row>
    <row r="60" ht="15.75" customHeight="1" s="143">
      <c r="B60" s="1" t="n"/>
      <c r="C60" s="1" t="n"/>
      <c r="D60" s="1" t="n"/>
      <c r="E60" s="1" t="n"/>
      <c r="F60" s="1" t="n"/>
      <c r="H60" s="1" t="n"/>
      <c r="I60" s="1" t="n"/>
      <c r="J60" s="1" t="n"/>
      <c r="K60" s="1" t="n"/>
      <c r="L60" s="1" t="n"/>
      <c r="N60" s="1" t="n"/>
      <c r="O60" s="1" t="n"/>
      <c r="P60" s="1" t="n"/>
      <c r="Q60" s="1" t="n"/>
      <c r="R60" s="1" t="n"/>
    </row>
    <row r="61" ht="15.75" customHeight="1" s="143">
      <c r="B61" s="1" t="n"/>
      <c r="C61" s="1" t="n"/>
      <c r="D61" s="1" t="n"/>
      <c r="E61" s="1" t="n"/>
      <c r="F61" s="1" t="n"/>
      <c r="H61" s="1" t="n"/>
      <c r="I61" s="1" t="n"/>
      <c r="J61" s="1" t="n"/>
      <c r="K61" s="1" t="n"/>
      <c r="L61" s="1" t="n"/>
      <c r="N61" s="1" t="n"/>
      <c r="O61" s="1" t="n"/>
      <c r="P61" s="1" t="n"/>
      <c r="Q61" s="1" t="n"/>
      <c r="R61" s="1" t="n"/>
    </row>
    <row r="62" ht="15.75" customHeight="1" s="143">
      <c r="B62" s="1" t="n"/>
      <c r="C62" s="1" t="n"/>
      <c r="D62" s="1" t="n"/>
      <c r="E62" s="1" t="n"/>
      <c r="F62" s="1" t="n"/>
      <c r="H62" s="1" t="n"/>
      <c r="I62" s="1" t="n"/>
      <c r="J62" s="1" t="n"/>
      <c r="K62" s="1" t="n"/>
      <c r="L62" s="1" t="n"/>
      <c r="N62" s="1" t="n"/>
      <c r="O62" s="1" t="n"/>
      <c r="P62" s="1" t="n"/>
      <c r="Q62" s="1" t="n"/>
      <c r="R62" s="1" t="n"/>
    </row>
    <row r="63" ht="15.75" customHeight="1" s="143">
      <c r="B63" s="1" t="n"/>
      <c r="C63" s="1" t="n"/>
      <c r="D63" s="1" t="n"/>
      <c r="E63" s="1" t="n"/>
      <c r="F63" s="1" t="n"/>
      <c r="H63" s="1" t="n"/>
      <c r="I63" s="1" t="n"/>
      <c r="J63" s="1" t="n"/>
      <c r="K63" s="1" t="n"/>
      <c r="L63" s="1" t="n"/>
      <c r="N63" s="1" t="n"/>
      <c r="O63" s="1" t="n"/>
      <c r="P63" s="1" t="n"/>
      <c r="Q63" s="1" t="n"/>
      <c r="R63" s="1" t="n"/>
    </row>
    <row r="64" ht="15.75" customHeight="1" s="143">
      <c r="B64" s="1" t="n"/>
      <c r="C64" s="1" t="n"/>
      <c r="D64" s="1" t="n"/>
      <c r="E64" s="1" t="n"/>
      <c r="F64" s="1" t="n"/>
      <c r="H64" s="1" t="n"/>
      <c r="I64" s="1" t="n"/>
      <c r="J64" s="1" t="n"/>
      <c r="K64" s="1" t="n"/>
      <c r="L64" s="1" t="n"/>
      <c r="N64" s="1" t="n"/>
      <c r="O64" s="1" t="n"/>
      <c r="P64" s="1" t="n"/>
      <c r="Q64" s="1" t="n"/>
      <c r="R64" s="1" t="n"/>
    </row>
    <row r="65" ht="15.75" customHeight="1" s="143">
      <c r="B65" s="1" t="n"/>
      <c r="C65" s="1" t="n"/>
      <c r="D65" s="1" t="n"/>
      <c r="E65" s="1" t="n"/>
      <c r="F65" s="1" t="n"/>
      <c r="H65" s="1" t="n"/>
      <c r="I65" s="1" t="n"/>
      <c r="J65" s="1" t="n"/>
      <c r="K65" s="1" t="n"/>
      <c r="L65" s="1" t="n"/>
      <c r="N65" s="1" t="n"/>
      <c r="O65" s="1" t="n"/>
      <c r="P65" s="1" t="n"/>
      <c r="Q65" s="1" t="n"/>
      <c r="R65" s="1" t="n"/>
    </row>
    <row r="66" ht="15.75" customHeight="1" s="143">
      <c r="B66" s="1" t="n"/>
      <c r="C66" s="1" t="n"/>
      <c r="D66" s="1" t="n"/>
      <c r="E66" s="1" t="n"/>
      <c r="F66" s="1" t="n"/>
      <c r="H66" s="1" t="n"/>
      <c r="I66" s="1" t="n"/>
      <c r="J66" s="1" t="n"/>
      <c r="K66" s="1" t="n"/>
      <c r="L66" s="1" t="n"/>
      <c r="N66" s="1" t="n"/>
      <c r="O66" s="1" t="n"/>
      <c r="P66" s="1" t="n"/>
      <c r="Q66" s="1" t="n"/>
      <c r="R66" s="1" t="n"/>
    </row>
    <row r="67" ht="15.75" customHeight="1" s="143">
      <c r="B67" s="1" t="n"/>
      <c r="C67" s="1" t="n"/>
      <c r="D67" s="1" t="n"/>
      <c r="E67" s="1" t="n"/>
      <c r="F67" s="1" t="n"/>
      <c r="H67" s="1" t="n"/>
      <c r="I67" s="1" t="n"/>
      <c r="J67" s="1" t="n"/>
      <c r="K67" s="1" t="n"/>
      <c r="L67" s="1" t="n"/>
      <c r="N67" s="1" t="n"/>
      <c r="O67" s="1" t="n"/>
      <c r="P67" s="1" t="n"/>
      <c r="Q67" s="1" t="n"/>
      <c r="R67" s="1" t="n"/>
    </row>
    <row r="68" ht="15.75" customHeight="1" s="143">
      <c r="B68" s="1" t="n"/>
      <c r="C68" s="1" t="n"/>
      <c r="D68" s="1" t="n"/>
      <c r="E68" s="1" t="n"/>
      <c r="F68" s="1" t="n"/>
      <c r="H68" s="1" t="n"/>
      <c r="I68" s="1" t="n"/>
      <c r="J68" s="1" t="n"/>
      <c r="K68" s="1" t="n"/>
      <c r="L68" s="1" t="n"/>
      <c r="N68" s="1" t="n"/>
      <c r="O68" s="1" t="n"/>
      <c r="P68" s="1" t="n"/>
      <c r="Q68" s="1" t="n"/>
      <c r="R68" s="1" t="n"/>
    </row>
    <row r="69" ht="15.75" customHeight="1" s="143">
      <c r="B69" s="1" t="n"/>
      <c r="C69" s="1" t="n"/>
      <c r="D69" s="1" t="n"/>
      <c r="E69" s="1" t="n"/>
      <c r="F69" s="1" t="n"/>
      <c r="H69" s="1" t="n"/>
      <c r="I69" s="1" t="n"/>
      <c r="J69" s="1" t="n"/>
      <c r="K69" s="1" t="n"/>
      <c r="L69" s="1" t="n"/>
      <c r="N69" s="1" t="n"/>
      <c r="O69" s="1" t="n"/>
      <c r="P69" s="1" t="n"/>
      <c r="Q69" s="1" t="n"/>
      <c r="R69" s="1" t="n"/>
    </row>
    <row r="70" ht="15.75" customHeight="1" s="143">
      <c r="B70" s="1" t="n"/>
      <c r="C70" s="1" t="n"/>
      <c r="D70" s="1" t="n"/>
      <c r="E70" s="1" t="n"/>
      <c r="F70" s="1" t="n"/>
      <c r="H70" s="1" t="n"/>
      <c r="I70" s="1" t="n"/>
      <c r="J70" s="1" t="n"/>
      <c r="K70" s="1" t="n"/>
      <c r="L70" s="1" t="n"/>
      <c r="N70" s="1" t="n"/>
      <c r="O70" s="1" t="n"/>
      <c r="P70" s="1" t="n"/>
      <c r="Q70" s="1" t="n"/>
      <c r="R70" s="1" t="n"/>
    </row>
    <row r="71" ht="15.75" customHeight="1" s="143">
      <c r="B71" s="1" t="n"/>
      <c r="C71" s="1" t="n"/>
      <c r="D71" s="1" t="n"/>
      <c r="E71" s="1" t="n"/>
      <c r="F71" s="1" t="n"/>
      <c r="H71" s="1" t="n"/>
      <c r="I71" s="1" t="n"/>
      <c r="J71" s="1" t="n"/>
      <c r="K71" s="1" t="n"/>
      <c r="L71" s="1" t="n"/>
      <c r="N71" s="1" t="n"/>
      <c r="O71" s="1" t="n"/>
      <c r="P71" s="1" t="n"/>
      <c r="Q71" s="1" t="n"/>
      <c r="R71" s="1" t="n"/>
    </row>
    <row r="72" ht="15.75" customHeight="1" s="143">
      <c r="B72" s="1" t="n"/>
      <c r="C72" s="1" t="n"/>
      <c r="D72" s="1" t="n"/>
      <c r="E72" s="1" t="n"/>
      <c r="F72" s="1" t="n"/>
      <c r="H72" s="1" t="n"/>
      <c r="I72" s="1" t="n"/>
      <c r="J72" s="1" t="n"/>
      <c r="K72" s="1" t="n"/>
      <c r="L72" s="1" t="n"/>
      <c r="N72" s="1" t="n"/>
      <c r="O72" s="1" t="n"/>
      <c r="P72" s="1" t="n"/>
      <c r="Q72" s="1" t="n"/>
      <c r="R72" s="1" t="n"/>
    </row>
    <row r="73" ht="15.75" customHeight="1" s="143">
      <c r="B73" s="1" t="n"/>
      <c r="C73" s="1" t="n"/>
      <c r="D73" s="1" t="n"/>
      <c r="E73" s="1" t="n"/>
      <c r="F73" s="1" t="n"/>
      <c r="H73" s="1" t="n"/>
      <c r="I73" s="1" t="n"/>
      <c r="J73" s="1" t="n"/>
      <c r="K73" s="1" t="n"/>
      <c r="L73" s="1" t="n"/>
      <c r="N73" s="1" t="n"/>
      <c r="O73" s="1" t="n"/>
      <c r="P73" s="1" t="n"/>
      <c r="Q73" s="1" t="n"/>
      <c r="R73" s="1" t="n"/>
    </row>
    <row r="74" ht="15.75" customHeight="1" s="143">
      <c r="B74" s="1" t="n"/>
      <c r="C74" s="1" t="n"/>
      <c r="D74" s="1" t="n"/>
      <c r="E74" s="1" t="n"/>
      <c r="F74" s="1" t="n"/>
      <c r="H74" s="1" t="n"/>
      <c r="I74" s="1" t="n"/>
      <c r="J74" s="1" t="n"/>
      <c r="K74" s="1" t="n"/>
      <c r="L74" s="1" t="n"/>
      <c r="N74" s="1" t="n"/>
      <c r="O74" s="1" t="n"/>
      <c r="P74" s="1" t="n"/>
      <c r="Q74" s="1" t="n"/>
      <c r="R74" s="1" t="n"/>
    </row>
    <row r="75" ht="15.75" customHeight="1" s="143">
      <c r="B75" s="1" t="n"/>
      <c r="C75" s="1" t="n"/>
      <c r="D75" s="1" t="n"/>
      <c r="E75" s="1" t="n"/>
      <c r="F75" s="1" t="n"/>
      <c r="H75" s="1" t="n"/>
      <c r="I75" s="1" t="n"/>
      <c r="J75" s="1" t="n"/>
      <c r="K75" s="1" t="n"/>
      <c r="L75" s="1" t="n"/>
      <c r="N75" s="1" t="n"/>
      <c r="O75" s="1" t="n"/>
      <c r="P75" s="1" t="n"/>
      <c r="Q75" s="1" t="n"/>
      <c r="R75" s="1" t="n"/>
    </row>
    <row r="76" ht="15.75" customHeight="1" s="143">
      <c r="B76" s="1" t="n"/>
      <c r="C76" s="1" t="n"/>
      <c r="D76" s="1" t="n"/>
      <c r="E76" s="1" t="n"/>
      <c r="F76" s="1" t="n"/>
      <c r="H76" s="1" t="n"/>
      <c r="I76" s="1" t="n"/>
      <c r="J76" s="1" t="n"/>
      <c r="K76" s="1" t="n"/>
      <c r="L76" s="1" t="n"/>
      <c r="N76" s="1" t="n"/>
      <c r="O76" s="1" t="n"/>
      <c r="P76" s="1" t="n"/>
      <c r="Q76" s="1" t="n"/>
      <c r="R76" s="1" t="n"/>
    </row>
    <row r="77" ht="15.75" customHeight="1" s="143">
      <c r="B77" s="1" t="n"/>
      <c r="C77" s="1" t="n"/>
      <c r="D77" s="1" t="n"/>
      <c r="E77" s="1" t="n"/>
      <c r="F77" s="1" t="n"/>
      <c r="H77" s="1" t="n"/>
      <c r="I77" s="1" t="n"/>
      <c r="J77" s="1" t="n"/>
      <c r="K77" s="1" t="n"/>
      <c r="L77" s="1" t="n"/>
      <c r="N77" s="1" t="n"/>
      <c r="O77" s="1" t="n"/>
      <c r="P77" s="1" t="n"/>
      <c r="Q77" s="1" t="n"/>
      <c r="R77" s="1" t="n"/>
    </row>
    <row r="78" ht="15.75" customHeight="1" s="143">
      <c r="B78" s="1" t="n"/>
      <c r="C78" s="1" t="n"/>
      <c r="D78" s="1" t="n"/>
      <c r="E78" s="1" t="n"/>
      <c r="F78" s="1" t="n"/>
      <c r="H78" s="1" t="n"/>
      <c r="I78" s="1" t="n"/>
      <c r="J78" s="1" t="n"/>
      <c r="K78" s="1" t="n"/>
      <c r="L78" s="1" t="n"/>
      <c r="N78" s="1" t="n"/>
      <c r="O78" s="1" t="n"/>
      <c r="P78" s="1" t="n"/>
      <c r="Q78" s="1" t="n"/>
      <c r="R78" s="1" t="n"/>
    </row>
    <row r="79" ht="15.75" customHeight="1" s="143">
      <c r="B79" s="1" t="n"/>
      <c r="C79" s="1" t="n"/>
      <c r="D79" s="1" t="n"/>
      <c r="E79" s="1" t="n"/>
      <c r="F79" s="1" t="n"/>
      <c r="H79" s="1" t="n"/>
      <c r="I79" s="1" t="n"/>
      <c r="J79" s="1" t="n"/>
      <c r="K79" s="1" t="n"/>
      <c r="L79" s="1" t="n"/>
      <c r="N79" s="1" t="n"/>
      <c r="O79" s="1" t="n"/>
      <c r="P79" s="1" t="n"/>
      <c r="Q79" s="1" t="n"/>
      <c r="R79" s="1" t="n"/>
    </row>
    <row r="80" ht="15.75" customHeight="1" s="143">
      <c r="B80" s="1" t="n"/>
      <c r="C80" s="1" t="n"/>
      <c r="D80" s="1" t="n"/>
      <c r="E80" s="1" t="n"/>
      <c r="F80" s="1" t="n"/>
      <c r="H80" s="1" t="n"/>
      <c r="I80" s="1" t="n"/>
      <c r="J80" s="1" t="n"/>
      <c r="K80" s="1" t="n"/>
      <c r="L80" s="1" t="n"/>
      <c r="N80" s="1" t="n"/>
      <c r="O80" s="1" t="n"/>
      <c r="P80" s="1" t="n"/>
      <c r="Q80" s="1" t="n"/>
      <c r="R80" s="1" t="n"/>
    </row>
    <row r="81" ht="15.75" customHeight="1" s="143">
      <c r="B81" s="1" t="n"/>
      <c r="C81" s="1" t="n"/>
      <c r="D81" s="1" t="n"/>
      <c r="E81" s="1" t="n"/>
      <c r="F81" s="1" t="n"/>
      <c r="H81" s="1" t="n"/>
      <c r="I81" s="1" t="n"/>
      <c r="J81" s="1" t="n"/>
      <c r="K81" s="1" t="n"/>
      <c r="L81" s="1" t="n"/>
      <c r="N81" s="1" t="n"/>
      <c r="O81" s="1" t="n"/>
      <c r="P81" s="1" t="n"/>
      <c r="Q81" s="1" t="n"/>
      <c r="R81" s="1" t="n"/>
    </row>
    <row r="82" ht="15.75" customHeight="1" s="143">
      <c r="B82" s="1" t="n"/>
      <c r="C82" s="1" t="n"/>
      <c r="D82" s="1" t="n"/>
      <c r="E82" s="1" t="n"/>
      <c r="F82" s="1" t="n"/>
      <c r="H82" s="1" t="n"/>
      <c r="I82" s="1" t="n"/>
      <c r="J82" s="1" t="n"/>
      <c r="K82" s="1" t="n"/>
      <c r="L82" s="1" t="n"/>
      <c r="N82" s="1" t="n"/>
      <c r="O82" s="1" t="n"/>
      <c r="P82" s="1" t="n"/>
      <c r="Q82" s="1" t="n"/>
      <c r="R82" s="1" t="n"/>
    </row>
    <row r="83" ht="15.75" customHeight="1" s="143">
      <c r="B83" s="1" t="n"/>
      <c r="C83" s="1" t="n"/>
      <c r="D83" s="1" t="n"/>
      <c r="E83" s="1" t="n"/>
      <c r="F83" s="1" t="n"/>
      <c r="H83" s="1" t="n"/>
      <c r="I83" s="1" t="n"/>
      <c r="J83" s="1" t="n"/>
      <c r="K83" s="1" t="n"/>
      <c r="L83" s="1" t="n"/>
      <c r="N83" s="1" t="n"/>
      <c r="O83" s="1" t="n"/>
      <c r="P83" s="1" t="n"/>
      <c r="Q83" s="1" t="n"/>
      <c r="R83" s="1" t="n"/>
    </row>
    <row r="84" ht="15.75" customHeight="1" s="143">
      <c r="B84" s="1" t="n"/>
      <c r="C84" s="1" t="n"/>
      <c r="D84" s="1" t="n"/>
      <c r="E84" s="1" t="n"/>
      <c r="F84" s="1" t="n"/>
      <c r="H84" s="1" t="n"/>
      <c r="I84" s="1" t="n"/>
      <c r="J84" s="1" t="n"/>
      <c r="K84" s="1" t="n"/>
      <c r="L84" s="1" t="n"/>
      <c r="N84" s="1" t="n"/>
      <c r="O84" s="1" t="n"/>
      <c r="P84" s="1" t="n"/>
      <c r="Q84" s="1" t="n"/>
      <c r="R84" s="1" t="n"/>
    </row>
    <row r="85" ht="15.75" customHeight="1" s="143">
      <c r="B85" s="1" t="n"/>
      <c r="C85" s="1" t="n"/>
      <c r="D85" s="1" t="n"/>
      <c r="E85" s="1" t="n"/>
      <c r="F85" s="1" t="n"/>
      <c r="H85" s="1" t="n"/>
      <c r="I85" s="1" t="n"/>
      <c r="J85" s="1" t="n"/>
      <c r="K85" s="1" t="n"/>
      <c r="L85" s="1" t="n"/>
      <c r="N85" s="1" t="n"/>
      <c r="O85" s="1" t="n"/>
      <c r="P85" s="1" t="n"/>
      <c r="Q85" s="1" t="n"/>
      <c r="R85" s="1" t="n"/>
    </row>
    <row r="86" ht="15.75" customHeight="1" s="143">
      <c r="B86" s="1" t="n"/>
      <c r="C86" s="1" t="n"/>
      <c r="D86" s="1" t="n"/>
      <c r="E86" s="1" t="n"/>
      <c r="F86" s="1" t="n"/>
      <c r="H86" s="1" t="n"/>
      <c r="I86" s="1" t="n"/>
      <c r="J86" s="1" t="n"/>
      <c r="K86" s="1" t="n"/>
      <c r="L86" s="1" t="n"/>
      <c r="N86" s="1" t="n"/>
      <c r="O86" s="1" t="n"/>
      <c r="P86" s="1" t="n"/>
      <c r="Q86" s="1" t="n"/>
      <c r="R86" s="1" t="n"/>
    </row>
    <row r="87" ht="15.75" customHeight="1" s="143">
      <c r="B87" s="1" t="n"/>
      <c r="C87" s="1" t="n"/>
      <c r="D87" s="1" t="n"/>
      <c r="E87" s="1" t="n"/>
      <c r="F87" s="1" t="n"/>
      <c r="H87" s="1" t="n"/>
      <c r="I87" s="1" t="n"/>
      <c r="J87" s="1" t="n"/>
      <c r="K87" s="1" t="n"/>
      <c r="L87" s="1" t="n"/>
      <c r="N87" s="1" t="n"/>
      <c r="O87" s="1" t="n"/>
      <c r="P87" s="1" t="n"/>
      <c r="Q87" s="1" t="n"/>
      <c r="R87" s="1" t="n"/>
    </row>
    <row r="88" ht="15.75" customHeight="1" s="143">
      <c r="B88" s="1" t="n"/>
      <c r="C88" s="1" t="n"/>
      <c r="D88" s="1" t="n"/>
      <c r="E88" s="1" t="n"/>
      <c r="F88" s="1" t="n"/>
      <c r="H88" s="1" t="n"/>
      <c r="I88" s="1" t="n"/>
      <c r="J88" s="1" t="n"/>
      <c r="K88" s="1" t="n"/>
      <c r="L88" s="1" t="n"/>
      <c r="N88" s="1" t="n"/>
      <c r="O88" s="1" t="n"/>
      <c r="P88" s="1" t="n"/>
      <c r="Q88" s="1" t="n"/>
      <c r="R88" s="1" t="n"/>
    </row>
    <row r="89" ht="15.75" customHeight="1" s="143">
      <c r="B89" s="1" t="n"/>
      <c r="C89" s="1" t="n"/>
      <c r="D89" s="1" t="n"/>
      <c r="E89" s="1" t="n"/>
      <c r="F89" s="1" t="n"/>
      <c r="H89" s="1" t="n"/>
      <c r="I89" s="1" t="n"/>
      <c r="J89" s="1" t="n"/>
      <c r="K89" s="1" t="n"/>
      <c r="L89" s="1" t="n"/>
      <c r="N89" s="1" t="n"/>
      <c r="O89" s="1" t="n"/>
      <c r="P89" s="1" t="n"/>
      <c r="Q89" s="1" t="n"/>
      <c r="R89" s="1" t="n"/>
    </row>
    <row r="90" ht="15.75" customHeight="1" s="143">
      <c r="B90" s="1" t="n"/>
      <c r="C90" s="1" t="n"/>
      <c r="D90" s="1" t="n"/>
      <c r="E90" s="1" t="n"/>
      <c r="F90" s="1" t="n"/>
      <c r="H90" s="1" t="n"/>
      <c r="I90" s="1" t="n"/>
      <c r="J90" s="1" t="n"/>
      <c r="K90" s="1" t="n"/>
      <c r="L90" s="1" t="n"/>
      <c r="N90" s="1" t="n"/>
      <c r="O90" s="1" t="n"/>
      <c r="P90" s="1" t="n"/>
      <c r="Q90" s="1" t="n"/>
      <c r="R90" s="1" t="n"/>
    </row>
    <row r="91" ht="15.75" customHeight="1" s="143">
      <c r="B91" s="1" t="n"/>
      <c r="C91" s="1" t="n"/>
      <c r="D91" s="1" t="n"/>
      <c r="E91" s="1" t="n"/>
      <c r="F91" s="1" t="n"/>
      <c r="H91" s="1" t="n"/>
      <c r="I91" s="1" t="n"/>
      <c r="J91" s="1" t="n"/>
      <c r="K91" s="1" t="n"/>
      <c r="L91" s="1" t="n"/>
      <c r="N91" s="1" t="n"/>
      <c r="O91" s="1" t="n"/>
      <c r="P91" s="1" t="n"/>
      <c r="Q91" s="1" t="n"/>
      <c r="R91" s="1" t="n"/>
    </row>
    <row r="92" ht="15.75" customHeight="1" s="143">
      <c r="B92" s="1" t="n"/>
      <c r="C92" s="1" t="n"/>
      <c r="D92" s="1" t="n"/>
      <c r="E92" s="1" t="n"/>
      <c r="F92" s="1" t="n"/>
      <c r="H92" s="1" t="n"/>
      <c r="I92" s="1" t="n"/>
      <c r="J92" s="1" t="n"/>
      <c r="K92" s="1" t="n"/>
      <c r="L92" s="1" t="n"/>
      <c r="N92" s="1" t="n"/>
      <c r="O92" s="1" t="n"/>
      <c r="P92" s="1" t="n"/>
      <c r="Q92" s="1" t="n"/>
      <c r="R92" s="1" t="n"/>
    </row>
    <row r="93" ht="15.75" customHeight="1" s="143">
      <c r="B93" s="1" t="n"/>
      <c r="C93" s="1" t="n"/>
      <c r="D93" s="1" t="n"/>
      <c r="E93" s="1" t="n"/>
      <c r="F93" s="1" t="n"/>
      <c r="H93" s="1" t="n"/>
      <c r="I93" s="1" t="n"/>
      <c r="J93" s="1" t="n"/>
      <c r="K93" s="1" t="n"/>
      <c r="L93" s="1" t="n"/>
      <c r="N93" s="1" t="n"/>
      <c r="O93" s="1" t="n"/>
      <c r="P93" s="1" t="n"/>
      <c r="Q93" s="1" t="n"/>
      <c r="R93" s="1" t="n"/>
    </row>
    <row r="94" ht="15.75" customHeight="1" s="143">
      <c r="B94" s="1" t="n"/>
      <c r="C94" s="1" t="n"/>
      <c r="D94" s="1" t="n"/>
      <c r="E94" s="1" t="n"/>
      <c r="F94" s="1" t="n"/>
      <c r="H94" s="1" t="n"/>
      <c r="I94" s="1" t="n"/>
      <c r="J94" s="1" t="n"/>
      <c r="K94" s="1" t="n"/>
      <c r="L94" s="1" t="n"/>
      <c r="N94" s="1" t="n"/>
      <c r="O94" s="1" t="n"/>
      <c r="P94" s="1" t="n"/>
      <c r="Q94" s="1" t="n"/>
      <c r="R94" s="1" t="n"/>
    </row>
    <row r="95" ht="15.75" customHeight="1" s="143">
      <c r="B95" s="1" t="n"/>
      <c r="C95" s="1" t="n"/>
      <c r="D95" s="1" t="n"/>
      <c r="E95" s="1" t="n"/>
      <c r="F95" s="1" t="n"/>
      <c r="H95" s="1" t="n"/>
      <c r="I95" s="1" t="n"/>
      <c r="J95" s="1" t="n"/>
      <c r="K95" s="1" t="n"/>
      <c r="L95" s="1" t="n"/>
      <c r="N95" s="1" t="n"/>
      <c r="O95" s="1" t="n"/>
      <c r="P95" s="1" t="n"/>
      <c r="Q95" s="1" t="n"/>
      <c r="R95" s="1" t="n"/>
    </row>
    <row r="96" ht="15.75" customHeight="1" s="143">
      <c r="B96" s="1" t="n"/>
      <c r="C96" s="1" t="n"/>
      <c r="D96" s="1" t="n"/>
      <c r="E96" s="1" t="n"/>
      <c r="F96" s="1" t="n"/>
      <c r="H96" s="1" t="n"/>
      <c r="I96" s="1" t="n"/>
      <c r="J96" s="1" t="n"/>
      <c r="K96" s="1" t="n"/>
      <c r="L96" s="1" t="n"/>
      <c r="N96" s="1" t="n"/>
      <c r="O96" s="1" t="n"/>
      <c r="P96" s="1" t="n"/>
      <c r="Q96" s="1" t="n"/>
      <c r="R96" s="1" t="n"/>
    </row>
    <row r="97" ht="15.75" customHeight="1" s="143">
      <c r="B97" s="1" t="n"/>
      <c r="C97" s="1" t="n"/>
      <c r="D97" s="1" t="n"/>
      <c r="E97" s="1" t="n"/>
      <c r="F97" s="1" t="n"/>
      <c r="H97" s="1" t="n"/>
      <c r="I97" s="1" t="n"/>
      <c r="J97" s="1" t="n"/>
      <c r="K97" s="1" t="n"/>
      <c r="L97" s="1" t="n"/>
      <c r="N97" s="1" t="n"/>
      <c r="O97" s="1" t="n"/>
      <c r="P97" s="1" t="n"/>
      <c r="Q97" s="1" t="n"/>
      <c r="R97" s="1" t="n"/>
    </row>
    <row r="98" ht="15.75" customHeight="1" s="143">
      <c r="B98" s="1" t="n"/>
      <c r="C98" s="1" t="n"/>
      <c r="D98" s="1" t="n"/>
      <c r="E98" s="1" t="n"/>
      <c r="F98" s="1" t="n"/>
      <c r="H98" s="1" t="n"/>
      <c r="I98" s="1" t="n"/>
      <c r="J98" s="1" t="n"/>
      <c r="K98" s="1" t="n"/>
      <c r="L98" s="1" t="n"/>
      <c r="N98" s="1" t="n"/>
      <c r="O98" s="1" t="n"/>
      <c r="P98" s="1" t="n"/>
      <c r="Q98" s="1" t="n"/>
      <c r="R98" s="1" t="n"/>
    </row>
    <row r="99" ht="15.75" customHeight="1" s="143">
      <c r="B99" s="1" t="n"/>
      <c r="C99" s="1" t="n"/>
      <c r="D99" s="1" t="n"/>
      <c r="E99" s="1" t="n"/>
      <c r="F99" s="1" t="n"/>
      <c r="H99" s="1" t="n"/>
      <c r="I99" s="1" t="n"/>
      <c r="J99" s="1" t="n"/>
      <c r="K99" s="1" t="n"/>
      <c r="L99" s="1" t="n"/>
      <c r="N99" s="1" t="n"/>
      <c r="O99" s="1" t="n"/>
      <c r="P99" s="1" t="n"/>
      <c r="Q99" s="1" t="n"/>
      <c r="R99" s="1" t="n"/>
    </row>
    <row r="100" ht="15.75" customHeight="1" s="143">
      <c r="B100" s="1" t="n"/>
      <c r="C100" s="1" t="n"/>
      <c r="D100" s="1" t="n"/>
      <c r="E100" s="1" t="n"/>
      <c r="F100" s="1" t="n"/>
      <c r="H100" s="1" t="n"/>
      <c r="I100" s="1" t="n"/>
      <c r="J100" s="1" t="n"/>
      <c r="K100" s="1" t="n"/>
      <c r="L100" s="1" t="n"/>
      <c r="N100" s="1" t="n"/>
      <c r="O100" s="1" t="n"/>
      <c r="P100" s="1" t="n"/>
      <c r="Q100" s="1" t="n"/>
      <c r="R100" s="1" t="n"/>
    </row>
    <row r="101" ht="15.75" customHeight="1" s="143">
      <c r="B101" s="1" t="n"/>
      <c r="C101" s="1" t="n"/>
      <c r="D101" s="1" t="n"/>
      <c r="E101" s="1" t="n"/>
      <c r="F101" s="1" t="n"/>
      <c r="H101" s="1" t="n"/>
      <c r="I101" s="1" t="n"/>
      <c r="J101" s="1" t="n"/>
      <c r="K101" s="1" t="n"/>
      <c r="L101" s="1" t="n"/>
      <c r="N101" s="1" t="n"/>
      <c r="O101" s="1" t="n"/>
      <c r="P101" s="1" t="n"/>
      <c r="Q101" s="1" t="n"/>
      <c r="R101" s="1" t="n"/>
    </row>
    <row r="102" ht="15.75" customHeight="1" s="143">
      <c r="B102" s="1" t="n"/>
      <c r="C102" s="1" t="n"/>
      <c r="D102" s="1" t="n"/>
      <c r="E102" s="1" t="n"/>
      <c r="F102" s="1" t="n"/>
      <c r="H102" s="1" t="n"/>
      <c r="I102" s="1" t="n"/>
      <c r="J102" s="1" t="n"/>
      <c r="K102" s="1" t="n"/>
      <c r="L102" s="1" t="n"/>
      <c r="N102" s="1" t="n"/>
      <c r="O102" s="1" t="n"/>
      <c r="P102" s="1" t="n"/>
      <c r="Q102" s="1" t="n"/>
      <c r="R102" s="1" t="n"/>
    </row>
    <row r="103" ht="15.75" customHeight="1" s="143">
      <c r="B103" s="1" t="n"/>
      <c r="C103" s="1" t="n"/>
      <c r="D103" s="1" t="n"/>
      <c r="E103" s="1" t="n"/>
      <c r="F103" s="1" t="n"/>
      <c r="H103" s="1" t="n"/>
      <c r="I103" s="1" t="n"/>
      <c r="J103" s="1" t="n"/>
      <c r="K103" s="1" t="n"/>
      <c r="L103" s="1" t="n"/>
      <c r="N103" s="1" t="n"/>
      <c r="O103" s="1" t="n"/>
      <c r="P103" s="1" t="n"/>
      <c r="Q103" s="1" t="n"/>
      <c r="R103" s="1" t="n"/>
    </row>
    <row r="104" ht="15.75" customHeight="1" s="143">
      <c r="B104" s="1" t="n"/>
      <c r="C104" s="1" t="n"/>
      <c r="D104" s="1" t="n"/>
      <c r="E104" s="1" t="n"/>
      <c r="F104" s="1" t="n"/>
      <c r="H104" s="1" t="n"/>
      <c r="I104" s="1" t="n"/>
      <c r="J104" s="1" t="n"/>
      <c r="K104" s="1" t="n"/>
      <c r="L104" s="1" t="n"/>
      <c r="N104" s="1" t="n"/>
      <c r="O104" s="1" t="n"/>
      <c r="P104" s="1" t="n"/>
      <c r="Q104" s="1" t="n"/>
      <c r="R104" s="1" t="n"/>
    </row>
    <row r="105" ht="15.75" customHeight="1" s="143">
      <c r="B105" s="1" t="n"/>
      <c r="C105" s="1" t="n"/>
      <c r="D105" s="1" t="n"/>
      <c r="E105" s="1" t="n"/>
      <c r="F105" s="1" t="n"/>
      <c r="H105" s="1" t="n"/>
      <c r="I105" s="1" t="n"/>
      <c r="J105" s="1" t="n"/>
      <c r="K105" s="1" t="n"/>
      <c r="L105" s="1" t="n"/>
      <c r="N105" s="1" t="n"/>
      <c r="O105" s="1" t="n"/>
      <c r="P105" s="1" t="n"/>
      <c r="Q105" s="1" t="n"/>
      <c r="R105" s="1" t="n"/>
    </row>
    <row r="106" ht="15.75" customHeight="1" s="143">
      <c r="B106" s="1" t="n"/>
      <c r="C106" s="1" t="n"/>
      <c r="D106" s="1" t="n"/>
      <c r="E106" s="1" t="n"/>
      <c r="F106" s="1" t="n"/>
      <c r="H106" s="1" t="n"/>
      <c r="I106" s="1" t="n"/>
      <c r="J106" s="1" t="n"/>
      <c r="K106" s="1" t="n"/>
      <c r="L106" s="1" t="n"/>
      <c r="N106" s="1" t="n"/>
      <c r="O106" s="1" t="n"/>
      <c r="P106" s="1" t="n"/>
      <c r="Q106" s="1" t="n"/>
      <c r="R106" s="1" t="n"/>
    </row>
    <row r="107" ht="15.75" customHeight="1" s="143">
      <c r="B107" s="1" t="n"/>
      <c r="C107" s="1" t="n"/>
      <c r="D107" s="1" t="n"/>
      <c r="E107" s="1" t="n"/>
      <c r="F107" s="1" t="n"/>
      <c r="H107" s="1" t="n"/>
      <c r="I107" s="1" t="n"/>
      <c r="J107" s="1" t="n"/>
      <c r="K107" s="1" t="n"/>
      <c r="L107" s="1" t="n"/>
      <c r="N107" s="1" t="n"/>
      <c r="O107" s="1" t="n"/>
      <c r="P107" s="1" t="n"/>
      <c r="Q107" s="1" t="n"/>
      <c r="R107" s="1" t="n"/>
    </row>
    <row r="108" ht="15.75" customHeight="1" s="143">
      <c r="B108" s="1" t="n"/>
      <c r="C108" s="1" t="n"/>
      <c r="D108" s="1" t="n"/>
      <c r="E108" s="1" t="n"/>
      <c r="F108" s="1" t="n"/>
      <c r="H108" s="1" t="n"/>
      <c r="I108" s="1" t="n"/>
      <c r="J108" s="1" t="n"/>
      <c r="K108" s="1" t="n"/>
      <c r="L108" s="1" t="n"/>
      <c r="N108" s="1" t="n"/>
      <c r="O108" s="1" t="n"/>
      <c r="P108" s="1" t="n"/>
      <c r="Q108" s="1" t="n"/>
      <c r="R108" s="1" t="n"/>
    </row>
    <row r="109" ht="15.75" customHeight="1" s="143">
      <c r="B109" s="1" t="n"/>
      <c r="C109" s="1" t="n"/>
      <c r="D109" s="1" t="n"/>
      <c r="E109" s="1" t="n"/>
      <c r="F109" s="1" t="n"/>
      <c r="H109" s="1" t="n"/>
      <c r="I109" s="1" t="n"/>
      <c r="J109" s="1" t="n"/>
      <c r="K109" s="1" t="n"/>
      <c r="L109" s="1" t="n"/>
      <c r="N109" s="1" t="n"/>
      <c r="O109" s="1" t="n"/>
      <c r="P109" s="1" t="n"/>
      <c r="Q109" s="1" t="n"/>
      <c r="R109" s="1" t="n"/>
    </row>
    <row r="110" ht="15.75" customHeight="1" s="143">
      <c r="B110" s="1" t="n"/>
      <c r="C110" s="1" t="n"/>
      <c r="D110" s="1" t="n"/>
      <c r="E110" s="1" t="n"/>
      <c r="F110" s="1" t="n"/>
      <c r="H110" s="1" t="n"/>
      <c r="I110" s="1" t="n"/>
      <c r="J110" s="1" t="n"/>
      <c r="K110" s="1" t="n"/>
      <c r="L110" s="1" t="n"/>
      <c r="N110" s="1" t="n"/>
      <c r="O110" s="1" t="n"/>
      <c r="P110" s="1" t="n"/>
      <c r="Q110" s="1" t="n"/>
      <c r="R110" s="1" t="n"/>
    </row>
    <row r="111" ht="15.75" customHeight="1" s="143">
      <c r="B111" s="1" t="n"/>
      <c r="C111" s="1" t="n"/>
      <c r="D111" s="1" t="n"/>
      <c r="E111" s="1" t="n"/>
      <c r="F111" s="1" t="n"/>
      <c r="H111" s="1" t="n"/>
      <c r="I111" s="1" t="n"/>
      <c r="J111" s="1" t="n"/>
      <c r="K111" s="1" t="n"/>
      <c r="L111" s="1" t="n"/>
      <c r="N111" s="1" t="n"/>
      <c r="O111" s="1" t="n"/>
      <c r="P111" s="1" t="n"/>
      <c r="Q111" s="1" t="n"/>
      <c r="R111" s="1" t="n"/>
    </row>
    <row r="112" ht="15.75" customHeight="1" s="143">
      <c r="B112" s="1" t="n"/>
      <c r="C112" s="1" t="n"/>
      <c r="D112" s="1" t="n"/>
      <c r="E112" s="1" t="n"/>
      <c r="F112" s="1" t="n"/>
      <c r="H112" s="1" t="n"/>
      <c r="I112" s="1" t="n"/>
      <c r="J112" s="1" t="n"/>
      <c r="K112" s="1" t="n"/>
      <c r="L112" s="1" t="n"/>
      <c r="N112" s="1" t="n"/>
      <c r="O112" s="1" t="n"/>
      <c r="P112" s="1" t="n"/>
      <c r="Q112" s="1" t="n"/>
      <c r="R112" s="1" t="n"/>
    </row>
    <row r="113" ht="15.75" customHeight="1" s="143">
      <c r="B113" s="1" t="n"/>
      <c r="C113" s="1" t="n"/>
      <c r="D113" s="1" t="n"/>
      <c r="E113" s="1" t="n"/>
      <c r="F113" s="1" t="n"/>
      <c r="H113" s="1" t="n"/>
      <c r="I113" s="1" t="n"/>
      <c r="J113" s="1" t="n"/>
      <c r="K113" s="1" t="n"/>
      <c r="L113" s="1" t="n"/>
      <c r="N113" s="1" t="n"/>
      <c r="O113" s="1" t="n"/>
      <c r="P113" s="1" t="n"/>
      <c r="Q113" s="1" t="n"/>
      <c r="R113" s="1" t="n"/>
    </row>
    <row r="114" ht="15.75" customHeight="1" s="143">
      <c r="B114" s="1" t="n"/>
      <c r="C114" s="1" t="n"/>
      <c r="D114" s="1" t="n"/>
      <c r="E114" s="1" t="n"/>
      <c r="F114" s="1" t="n"/>
      <c r="H114" s="1" t="n"/>
      <c r="I114" s="1" t="n"/>
      <c r="J114" s="1" t="n"/>
      <c r="K114" s="1" t="n"/>
      <c r="L114" s="1" t="n"/>
      <c r="N114" s="1" t="n"/>
      <c r="O114" s="1" t="n"/>
      <c r="P114" s="1" t="n"/>
      <c r="Q114" s="1" t="n"/>
      <c r="R114" s="1" t="n"/>
    </row>
    <row r="115" ht="15.75" customHeight="1" s="143">
      <c r="B115" s="1" t="n"/>
      <c r="C115" s="1" t="n"/>
      <c r="D115" s="1" t="n"/>
      <c r="E115" s="1" t="n"/>
      <c r="F115" s="1" t="n"/>
      <c r="H115" s="1" t="n"/>
      <c r="I115" s="1" t="n"/>
      <c r="J115" s="1" t="n"/>
      <c r="K115" s="1" t="n"/>
      <c r="L115" s="1" t="n"/>
      <c r="N115" s="1" t="n"/>
      <c r="O115" s="1" t="n"/>
      <c r="P115" s="1" t="n"/>
      <c r="Q115" s="1" t="n"/>
      <c r="R115" s="1" t="n"/>
    </row>
    <row r="116" ht="15.75" customHeight="1" s="143">
      <c r="B116" s="1" t="n"/>
      <c r="C116" s="1" t="n"/>
      <c r="D116" s="1" t="n"/>
      <c r="E116" s="1" t="n"/>
      <c r="F116" s="1" t="n"/>
      <c r="H116" s="1" t="n"/>
      <c r="I116" s="1" t="n"/>
      <c r="J116" s="1" t="n"/>
      <c r="K116" s="1" t="n"/>
      <c r="L116" s="1" t="n"/>
      <c r="N116" s="1" t="n"/>
      <c r="O116" s="1" t="n"/>
      <c r="P116" s="1" t="n"/>
      <c r="Q116" s="1" t="n"/>
      <c r="R116" s="1" t="n"/>
    </row>
    <row r="117" ht="15.75" customHeight="1" s="143">
      <c r="B117" s="1" t="n"/>
      <c r="C117" s="1" t="n"/>
      <c r="D117" s="1" t="n"/>
      <c r="E117" s="1" t="n"/>
      <c r="F117" s="1" t="n"/>
      <c r="H117" s="1" t="n"/>
      <c r="I117" s="1" t="n"/>
      <c r="J117" s="1" t="n"/>
      <c r="K117" s="1" t="n"/>
      <c r="L117" s="1" t="n"/>
      <c r="N117" s="1" t="n"/>
      <c r="O117" s="1" t="n"/>
      <c r="P117" s="1" t="n"/>
      <c r="Q117" s="1" t="n"/>
      <c r="R117" s="1" t="n"/>
    </row>
    <row r="118" ht="15.75" customHeight="1" s="143">
      <c r="B118" s="1" t="n"/>
      <c r="C118" s="1" t="n"/>
      <c r="D118" s="1" t="n"/>
      <c r="E118" s="1" t="n"/>
      <c r="F118" s="1" t="n"/>
      <c r="H118" s="1" t="n"/>
      <c r="I118" s="1" t="n"/>
      <c r="J118" s="1" t="n"/>
      <c r="K118" s="1" t="n"/>
      <c r="L118" s="1" t="n"/>
      <c r="N118" s="1" t="n"/>
      <c r="O118" s="1" t="n"/>
      <c r="P118" s="1" t="n"/>
      <c r="Q118" s="1" t="n"/>
      <c r="R118" s="1" t="n"/>
    </row>
    <row r="119" ht="15.75" customHeight="1" s="143">
      <c r="B119" s="1" t="n"/>
      <c r="C119" s="1" t="n"/>
      <c r="D119" s="1" t="n"/>
      <c r="E119" s="1" t="n"/>
      <c r="F119" s="1" t="n"/>
      <c r="H119" s="1" t="n"/>
      <c r="I119" s="1" t="n"/>
      <c r="J119" s="1" t="n"/>
      <c r="K119" s="1" t="n"/>
      <c r="L119" s="1" t="n"/>
      <c r="N119" s="1" t="n"/>
      <c r="O119" s="1" t="n"/>
      <c r="P119" s="1" t="n"/>
      <c r="Q119" s="1" t="n"/>
      <c r="R119" s="1" t="n"/>
    </row>
    <row r="120" ht="15.75" customHeight="1" s="143">
      <c r="B120" s="1" t="n"/>
      <c r="C120" s="1" t="n"/>
      <c r="D120" s="1" t="n"/>
      <c r="E120" s="1" t="n"/>
      <c r="F120" s="1" t="n"/>
      <c r="H120" s="1" t="n"/>
      <c r="I120" s="1" t="n"/>
      <c r="J120" s="1" t="n"/>
      <c r="K120" s="1" t="n"/>
      <c r="L120" s="1" t="n"/>
      <c r="N120" s="1" t="n"/>
      <c r="O120" s="1" t="n"/>
      <c r="P120" s="1" t="n"/>
      <c r="Q120" s="1" t="n"/>
      <c r="R120" s="1" t="n"/>
    </row>
    <row r="121" ht="15.75" customHeight="1" s="143">
      <c r="B121" s="1" t="n"/>
      <c r="C121" s="1" t="n"/>
      <c r="D121" s="1" t="n"/>
      <c r="E121" s="1" t="n"/>
      <c r="F121" s="1" t="n"/>
      <c r="H121" s="1" t="n"/>
      <c r="I121" s="1" t="n"/>
      <c r="J121" s="1" t="n"/>
      <c r="K121" s="1" t="n"/>
      <c r="L121" s="1" t="n"/>
      <c r="N121" s="1" t="n"/>
      <c r="O121" s="1" t="n"/>
      <c r="P121" s="1" t="n"/>
      <c r="Q121" s="1" t="n"/>
      <c r="R121" s="1" t="n"/>
    </row>
    <row r="122" ht="15.75" customHeight="1" s="143">
      <c r="B122" s="1" t="n"/>
      <c r="C122" s="1" t="n"/>
      <c r="D122" s="1" t="n"/>
      <c r="E122" s="1" t="n"/>
      <c r="F122" s="1" t="n"/>
      <c r="H122" s="1" t="n"/>
      <c r="I122" s="1" t="n"/>
      <c r="J122" s="1" t="n"/>
      <c r="K122" s="1" t="n"/>
      <c r="L122" s="1" t="n"/>
      <c r="N122" s="1" t="n"/>
      <c r="O122" s="1" t="n"/>
      <c r="P122" s="1" t="n"/>
      <c r="Q122" s="1" t="n"/>
      <c r="R122" s="1" t="n"/>
    </row>
    <row r="123" ht="15.75" customHeight="1" s="143">
      <c r="B123" s="1" t="n"/>
      <c r="C123" s="1" t="n"/>
      <c r="D123" s="1" t="n"/>
      <c r="E123" s="1" t="n"/>
      <c r="F123" s="1" t="n"/>
      <c r="H123" s="1" t="n"/>
      <c r="I123" s="1" t="n"/>
      <c r="J123" s="1" t="n"/>
      <c r="K123" s="1" t="n"/>
      <c r="L123" s="1" t="n"/>
      <c r="N123" s="1" t="n"/>
      <c r="O123" s="1" t="n"/>
      <c r="P123" s="1" t="n"/>
      <c r="Q123" s="1" t="n"/>
      <c r="R123" s="1" t="n"/>
    </row>
    <row r="124" ht="15.75" customHeight="1" s="143">
      <c r="B124" s="1" t="n"/>
      <c r="C124" s="1" t="n"/>
      <c r="D124" s="1" t="n"/>
      <c r="E124" s="1" t="n"/>
      <c r="F124" s="1" t="n"/>
      <c r="H124" s="1" t="n"/>
      <c r="I124" s="1" t="n"/>
      <c r="J124" s="1" t="n"/>
      <c r="K124" s="1" t="n"/>
      <c r="L124" s="1" t="n"/>
      <c r="N124" s="1" t="n"/>
      <c r="O124" s="1" t="n"/>
      <c r="P124" s="1" t="n"/>
      <c r="Q124" s="1" t="n"/>
      <c r="R124" s="1" t="n"/>
    </row>
    <row r="125" ht="15.75" customHeight="1" s="143">
      <c r="B125" s="1" t="n"/>
      <c r="C125" s="1" t="n"/>
      <c r="D125" s="1" t="n"/>
      <c r="E125" s="1" t="n"/>
      <c r="F125" s="1" t="n"/>
      <c r="H125" s="1" t="n"/>
      <c r="I125" s="1" t="n"/>
      <c r="J125" s="1" t="n"/>
      <c r="K125" s="1" t="n"/>
      <c r="L125" s="1" t="n"/>
      <c r="N125" s="1" t="n"/>
      <c r="O125" s="1" t="n"/>
      <c r="P125" s="1" t="n"/>
      <c r="Q125" s="1" t="n"/>
      <c r="R125" s="1" t="n"/>
    </row>
    <row r="126" ht="15.75" customHeight="1" s="143">
      <c r="B126" s="1" t="n"/>
      <c r="C126" s="1" t="n"/>
      <c r="D126" s="1" t="n"/>
      <c r="E126" s="1" t="n"/>
      <c r="F126" s="1" t="n"/>
      <c r="H126" s="1" t="n"/>
      <c r="I126" s="1" t="n"/>
      <c r="J126" s="1" t="n"/>
      <c r="K126" s="1" t="n"/>
      <c r="L126" s="1" t="n"/>
      <c r="N126" s="1" t="n"/>
      <c r="O126" s="1" t="n"/>
      <c r="P126" s="1" t="n"/>
      <c r="Q126" s="1" t="n"/>
      <c r="R126" s="1" t="n"/>
    </row>
    <row r="127" ht="15.75" customHeight="1" s="143">
      <c r="B127" s="1" t="n"/>
      <c r="C127" s="1" t="n"/>
      <c r="D127" s="1" t="n"/>
      <c r="E127" s="1" t="n"/>
      <c r="F127" s="1" t="n"/>
      <c r="H127" s="1" t="n"/>
      <c r="I127" s="1" t="n"/>
      <c r="J127" s="1" t="n"/>
      <c r="K127" s="1" t="n"/>
      <c r="L127" s="1" t="n"/>
      <c r="N127" s="1" t="n"/>
      <c r="O127" s="1" t="n"/>
      <c r="P127" s="1" t="n"/>
      <c r="Q127" s="1" t="n"/>
      <c r="R127" s="1" t="n"/>
    </row>
    <row r="128" ht="15.75" customHeight="1" s="143">
      <c r="B128" s="1" t="n"/>
      <c r="C128" s="1" t="n"/>
      <c r="D128" s="1" t="n"/>
      <c r="E128" s="1" t="n"/>
      <c r="F128" s="1" t="n"/>
      <c r="H128" s="1" t="n"/>
      <c r="I128" s="1" t="n"/>
      <c r="J128" s="1" t="n"/>
      <c r="K128" s="1" t="n"/>
      <c r="L128" s="1" t="n"/>
      <c r="N128" s="1" t="n"/>
      <c r="O128" s="1" t="n"/>
      <c r="P128" s="1" t="n"/>
      <c r="Q128" s="1" t="n"/>
      <c r="R128" s="1" t="n"/>
    </row>
    <row r="129" ht="15.75" customHeight="1" s="143">
      <c r="B129" s="1" t="n"/>
      <c r="C129" s="1" t="n"/>
      <c r="D129" s="1" t="n"/>
      <c r="E129" s="1" t="n"/>
      <c r="F129" s="1" t="n"/>
      <c r="H129" s="1" t="n"/>
      <c r="I129" s="1" t="n"/>
      <c r="J129" s="1" t="n"/>
      <c r="K129" s="1" t="n"/>
      <c r="L129" s="1" t="n"/>
      <c r="N129" s="1" t="n"/>
      <c r="O129" s="1" t="n"/>
      <c r="P129" s="1" t="n"/>
      <c r="Q129" s="1" t="n"/>
      <c r="R129" s="1" t="n"/>
    </row>
    <row r="130" ht="15.75" customHeight="1" s="143">
      <c r="B130" s="1" t="n"/>
      <c r="C130" s="1" t="n"/>
      <c r="D130" s="1" t="n"/>
      <c r="E130" s="1" t="n"/>
      <c r="F130" s="1" t="n"/>
      <c r="H130" s="1" t="n"/>
      <c r="I130" s="1" t="n"/>
      <c r="J130" s="1" t="n"/>
      <c r="K130" s="1" t="n"/>
      <c r="L130" s="1" t="n"/>
      <c r="N130" s="1" t="n"/>
      <c r="O130" s="1" t="n"/>
      <c r="P130" s="1" t="n"/>
      <c r="Q130" s="1" t="n"/>
      <c r="R130" s="1" t="n"/>
    </row>
    <row r="131" ht="15.75" customHeight="1" s="143">
      <c r="B131" s="1" t="n"/>
      <c r="C131" s="1" t="n"/>
      <c r="D131" s="1" t="n"/>
      <c r="E131" s="1" t="n"/>
      <c r="F131" s="1" t="n"/>
      <c r="H131" s="1" t="n"/>
      <c r="I131" s="1" t="n"/>
      <c r="J131" s="1" t="n"/>
      <c r="K131" s="1" t="n"/>
      <c r="L131" s="1" t="n"/>
      <c r="N131" s="1" t="n"/>
      <c r="O131" s="1" t="n"/>
      <c r="P131" s="1" t="n"/>
      <c r="Q131" s="1" t="n"/>
      <c r="R131" s="1" t="n"/>
    </row>
    <row r="132" ht="15.75" customHeight="1" s="143">
      <c r="B132" s="1" t="n"/>
      <c r="C132" s="1" t="n"/>
      <c r="D132" s="1" t="n"/>
      <c r="E132" s="1" t="n"/>
      <c r="F132" s="1" t="n"/>
      <c r="H132" s="1" t="n"/>
      <c r="I132" s="1" t="n"/>
      <c r="J132" s="1" t="n"/>
      <c r="K132" s="1" t="n"/>
      <c r="L132" s="1" t="n"/>
      <c r="N132" s="1" t="n"/>
      <c r="O132" s="1" t="n"/>
      <c r="P132" s="1" t="n"/>
      <c r="Q132" s="1" t="n"/>
      <c r="R132" s="1" t="n"/>
    </row>
    <row r="133" ht="15.75" customHeight="1" s="143">
      <c r="B133" s="1" t="n"/>
      <c r="C133" s="1" t="n"/>
      <c r="D133" s="1" t="n"/>
      <c r="E133" s="1" t="n"/>
      <c r="F133" s="1" t="n"/>
      <c r="H133" s="1" t="n"/>
      <c r="I133" s="1" t="n"/>
      <c r="J133" s="1" t="n"/>
      <c r="K133" s="1" t="n"/>
      <c r="L133" s="1" t="n"/>
      <c r="N133" s="1" t="n"/>
      <c r="O133" s="1" t="n"/>
      <c r="P133" s="1" t="n"/>
      <c r="Q133" s="1" t="n"/>
      <c r="R133" s="1" t="n"/>
    </row>
    <row r="134" ht="15.75" customHeight="1" s="143">
      <c r="B134" s="1" t="n"/>
      <c r="C134" s="1" t="n"/>
      <c r="D134" s="1" t="n"/>
      <c r="E134" s="1" t="n"/>
      <c r="F134" s="1" t="n"/>
      <c r="H134" s="1" t="n"/>
      <c r="I134" s="1" t="n"/>
      <c r="J134" s="1" t="n"/>
      <c r="K134" s="1" t="n"/>
      <c r="L134" s="1" t="n"/>
      <c r="N134" s="1" t="n"/>
      <c r="O134" s="1" t="n"/>
      <c r="P134" s="1" t="n"/>
      <c r="Q134" s="1" t="n"/>
      <c r="R134" s="1" t="n"/>
    </row>
    <row r="135" ht="15.75" customHeight="1" s="143">
      <c r="B135" s="1" t="n"/>
      <c r="C135" s="1" t="n"/>
      <c r="D135" s="1" t="n"/>
      <c r="E135" s="1" t="n"/>
      <c r="F135" s="1" t="n"/>
      <c r="H135" s="1" t="n"/>
      <c r="I135" s="1" t="n"/>
      <c r="J135" s="1" t="n"/>
      <c r="K135" s="1" t="n"/>
      <c r="L135" s="1" t="n"/>
      <c r="N135" s="1" t="n"/>
      <c r="O135" s="1" t="n"/>
      <c r="P135" s="1" t="n"/>
      <c r="Q135" s="1" t="n"/>
      <c r="R135" s="1" t="n"/>
    </row>
    <row r="136" ht="15.75" customHeight="1" s="143">
      <c r="B136" s="1" t="n"/>
      <c r="C136" s="1" t="n"/>
      <c r="D136" s="1" t="n"/>
      <c r="E136" s="1" t="n"/>
      <c r="F136" s="1" t="n"/>
      <c r="H136" s="1" t="n"/>
      <c r="I136" s="1" t="n"/>
      <c r="J136" s="1" t="n"/>
      <c r="K136" s="1" t="n"/>
      <c r="L136" s="1" t="n"/>
      <c r="N136" s="1" t="n"/>
      <c r="O136" s="1" t="n"/>
      <c r="P136" s="1" t="n"/>
      <c r="Q136" s="1" t="n"/>
      <c r="R136" s="1" t="n"/>
    </row>
    <row r="137" ht="15.75" customHeight="1" s="143">
      <c r="B137" s="1" t="n"/>
      <c r="C137" s="1" t="n"/>
      <c r="D137" s="1" t="n"/>
      <c r="E137" s="1" t="n"/>
      <c r="F137" s="1" t="n"/>
      <c r="H137" s="1" t="n"/>
      <c r="I137" s="1" t="n"/>
      <c r="J137" s="1" t="n"/>
      <c r="K137" s="1" t="n"/>
      <c r="L137" s="1" t="n"/>
      <c r="N137" s="1" t="n"/>
      <c r="O137" s="1" t="n"/>
      <c r="P137" s="1" t="n"/>
      <c r="Q137" s="1" t="n"/>
      <c r="R137" s="1" t="n"/>
    </row>
    <row r="138" ht="15.75" customHeight="1" s="143">
      <c r="B138" s="1" t="n"/>
      <c r="C138" s="1" t="n"/>
      <c r="D138" s="1" t="n"/>
      <c r="E138" s="1" t="n"/>
      <c r="F138" s="1" t="n"/>
      <c r="H138" s="1" t="n"/>
      <c r="I138" s="1" t="n"/>
      <c r="J138" s="1" t="n"/>
      <c r="K138" s="1" t="n"/>
      <c r="L138" s="1" t="n"/>
      <c r="N138" s="1" t="n"/>
      <c r="O138" s="1" t="n"/>
      <c r="P138" s="1" t="n"/>
      <c r="Q138" s="1" t="n"/>
      <c r="R138" s="1" t="n"/>
    </row>
    <row r="139" ht="15.75" customHeight="1" s="143">
      <c r="B139" s="1" t="n"/>
      <c r="C139" s="1" t="n"/>
      <c r="D139" s="1" t="n"/>
      <c r="E139" s="1" t="n"/>
      <c r="F139" s="1" t="n"/>
      <c r="H139" s="1" t="n"/>
      <c r="I139" s="1" t="n"/>
      <c r="J139" s="1" t="n"/>
      <c r="K139" s="1" t="n"/>
      <c r="L139" s="1" t="n"/>
      <c r="N139" s="1" t="n"/>
      <c r="O139" s="1" t="n"/>
      <c r="P139" s="1" t="n"/>
      <c r="Q139" s="1" t="n"/>
      <c r="R139" s="1" t="n"/>
    </row>
    <row r="140" ht="15.75" customHeight="1" s="143">
      <c r="B140" s="1" t="n"/>
      <c r="C140" s="1" t="n"/>
      <c r="D140" s="1" t="n"/>
      <c r="E140" s="1" t="n"/>
      <c r="F140" s="1" t="n"/>
      <c r="H140" s="1" t="n"/>
      <c r="I140" s="1" t="n"/>
      <c r="J140" s="1" t="n"/>
      <c r="K140" s="1" t="n"/>
      <c r="L140" s="1" t="n"/>
      <c r="N140" s="1" t="n"/>
      <c r="O140" s="1" t="n"/>
      <c r="P140" s="1" t="n"/>
      <c r="Q140" s="1" t="n"/>
      <c r="R140" s="1" t="n"/>
    </row>
    <row r="141" ht="15.75" customHeight="1" s="143">
      <c r="B141" s="1" t="n"/>
      <c r="C141" s="1" t="n"/>
      <c r="D141" s="1" t="n"/>
      <c r="E141" s="1" t="n"/>
      <c r="F141" s="1" t="n"/>
      <c r="H141" s="1" t="n"/>
      <c r="I141" s="1" t="n"/>
      <c r="J141" s="1" t="n"/>
      <c r="K141" s="1" t="n"/>
      <c r="L141" s="1" t="n"/>
      <c r="N141" s="1" t="n"/>
      <c r="O141" s="1" t="n"/>
      <c r="P141" s="1" t="n"/>
      <c r="Q141" s="1" t="n"/>
      <c r="R141" s="1" t="n"/>
    </row>
    <row r="142" ht="15.75" customHeight="1" s="143">
      <c r="B142" s="1" t="n"/>
      <c r="C142" s="1" t="n"/>
      <c r="D142" s="1" t="n"/>
      <c r="E142" s="1" t="n"/>
      <c r="F142" s="1" t="n"/>
      <c r="H142" s="1" t="n"/>
      <c r="I142" s="1" t="n"/>
      <c r="J142" s="1" t="n"/>
      <c r="K142" s="1" t="n"/>
      <c r="L142" s="1" t="n"/>
      <c r="N142" s="1" t="n"/>
      <c r="O142" s="1" t="n"/>
      <c r="P142" s="1" t="n"/>
      <c r="Q142" s="1" t="n"/>
      <c r="R142" s="1" t="n"/>
    </row>
    <row r="143" ht="15.75" customHeight="1" s="143">
      <c r="B143" s="1" t="n"/>
      <c r="C143" s="1" t="n"/>
      <c r="D143" s="1" t="n"/>
      <c r="E143" s="1" t="n"/>
      <c r="F143" s="1" t="n"/>
      <c r="H143" s="1" t="n"/>
      <c r="I143" s="1" t="n"/>
      <c r="J143" s="1" t="n"/>
      <c r="K143" s="1" t="n"/>
      <c r="L143" s="1" t="n"/>
      <c r="N143" s="1" t="n"/>
      <c r="O143" s="1" t="n"/>
      <c r="P143" s="1" t="n"/>
      <c r="Q143" s="1" t="n"/>
      <c r="R143" s="1" t="n"/>
    </row>
    <row r="144" ht="15.75" customHeight="1" s="143">
      <c r="B144" s="1" t="n"/>
      <c r="C144" s="1" t="n"/>
      <c r="D144" s="1" t="n"/>
      <c r="E144" s="1" t="n"/>
      <c r="F144" s="1" t="n"/>
      <c r="H144" s="1" t="n"/>
      <c r="I144" s="1" t="n"/>
      <c r="J144" s="1" t="n"/>
      <c r="K144" s="1" t="n"/>
      <c r="L144" s="1" t="n"/>
      <c r="N144" s="1" t="n"/>
      <c r="O144" s="1" t="n"/>
      <c r="P144" s="1" t="n"/>
      <c r="Q144" s="1" t="n"/>
      <c r="R144" s="1" t="n"/>
    </row>
    <row r="145" ht="15.75" customHeight="1" s="143">
      <c r="B145" s="1" t="n"/>
      <c r="C145" s="1" t="n"/>
      <c r="D145" s="1" t="n"/>
      <c r="E145" s="1" t="n"/>
      <c r="F145" s="1" t="n"/>
      <c r="H145" s="1" t="n"/>
      <c r="I145" s="1" t="n"/>
      <c r="J145" s="1" t="n"/>
      <c r="K145" s="1" t="n"/>
      <c r="L145" s="1" t="n"/>
      <c r="N145" s="1" t="n"/>
      <c r="O145" s="1" t="n"/>
      <c r="P145" s="1" t="n"/>
      <c r="Q145" s="1" t="n"/>
      <c r="R145" s="1" t="n"/>
    </row>
    <row r="146" ht="15.75" customHeight="1" s="143">
      <c r="B146" s="1" t="n"/>
      <c r="C146" s="1" t="n"/>
      <c r="D146" s="1" t="n"/>
      <c r="E146" s="1" t="n"/>
      <c r="F146" s="1" t="n"/>
      <c r="H146" s="1" t="n"/>
      <c r="I146" s="1" t="n"/>
      <c r="J146" s="1" t="n"/>
      <c r="K146" s="1" t="n"/>
      <c r="L146" s="1" t="n"/>
      <c r="N146" s="1" t="n"/>
      <c r="O146" s="1" t="n"/>
      <c r="P146" s="1" t="n"/>
      <c r="Q146" s="1" t="n"/>
      <c r="R146" s="1" t="n"/>
    </row>
    <row r="147" ht="15.75" customHeight="1" s="143">
      <c r="B147" s="1" t="n"/>
      <c r="C147" s="1" t="n"/>
      <c r="D147" s="1" t="n"/>
      <c r="E147" s="1" t="n"/>
      <c r="F147" s="1" t="n"/>
      <c r="H147" s="1" t="n"/>
      <c r="I147" s="1" t="n"/>
      <c r="J147" s="1" t="n"/>
      <c r="K147" s="1" t="n"/>
      <c r="L147" s="1" t="n"/>
      <c r="N147" s="1" t="n"/>
      <c r="O147" s="1" t="n"/>
      <c r="P147" s="1" t="n"/>
      <c r="Q147" s="1" t="n"/>
      <c r="R147" s="1" t="n"/>
    </row>
    <row r="148" ht="15.75" customHeight="1" s="143">
      <c r="B148" s="1" t="n"/>
      <c r="C148" s="1" t="n"/>
      <c r="D148" s="1" t="n"/>
      <c r="E148" s="1" t="n"/>
      <c r="F148" s="1" t="n"/>
      <c r="H148" s="1" t="n"/>
      <c r="I148" s="1" t="n"/>
      <c r="J148" s="1" t="n"/>
      <c r="K148" s="1" t="n"/>
      <c r="L148" s="1" t="n"/>
      <c r="N148" s="1" t="n"/>
      <c r="O148" s="1" t="n"/>
      <c r="P148" s="1" t="n"/>
      <c r="Q148" s="1" t="n"/>
      <c r="R148" s="1" t="n"/>
    </row>
    <row r="149" ht="15.75" customHeight="1" s="143">
      <c r="B149" s="1" t="n"/>
      <c r="C149" s="1" t="n"/>
      <c r="D149" s="1" t="n"/>
      <c r="E149" s="1" t="n"/>
      <c r="F149" s="1" t="n"/>
      <c r="H149" s="1" t="n"/>
      <c r="I149" s="1" t="n"/>
      <c r="J149" s="1" t="n"/>
      <c r="K149" s="1" t="n"/>
      <c r="L149" s="1" t="n"/>
      <c r="N149" s="1" t="n"/>
      <c r="O149" s="1" t="n"/>
      <c r="P149" s="1" t="n"/>
      <c r="Q149" s="1" t="n"/>
      <c r="R149" s="1" t="n"/>
    </row>
    <row r="150" ht="15.75" customHeight="1" s="143">
      <c r="B150" s="1" t="n"/>
      <c r="C150" s="1" t="n"/>
      <c r="D150" s="1" t="n"/>
      <c r="E150" s="1" t="n"/>
      <c r="F150" s="1" t="n"/>
      <c r="H150" s="1" t="n"/>
      <c r="I150" s="1" t="n"/>
      <c r="J150" s="1" t="n"/>
      <c r="K150" s="1" t="n"/>
      <c r="L150" s="1" t="n"/>
      <c r="N150" s="1" t="n"/>
      <c r="O150" s="1" t="n"/>
      <c r="P150" s="1" t="n"/>
      <c r="Q150" s="1" t="n"/>
      <c r="R150" s="1" t="n"/>
    </row>
    <row r="151" ht="15.75" customHeight="1" s="143">
      <c r="B151" s="1" t="n"/>
      <c r="C151" s="1" t="n"/>
      <c r="D151" s="1" t="n"/>
      <c r="E151" s="1" t="n"/>
      <c r="F151" s="1" t="n"/>
      <c r="H151" s="1" t="n"/>
      <c r="I151" s="1" t="n"/>
      <c r="J151" s="1" t="n"/>
      <c r="K151" s="1" t="n"/>
      <c r="L151" s="1" t="n"/>
      <c r="N151" s="1" t="n"/>
      <c r="O151" s="1" t="n"/>
      <c r="P151" s="1" t="n"/>
      <c r="Q151" s="1" t="n"/>
      <c r="R151" s="1" t="n"/>
    </row>
    <row r="152" ht="15.75" customHeight="1" s="143">
      <c r="B152" s="1" t="n"/>
      <c r="C152" s="1" t="n"/>
      <c r="D152" s="1" t="n"/>
      <c r="E152" s="1" t="n"/>
      <c r="F152" s="1" t="n"/>
      <c r="H152" s="1" t="n"/>
      <c r="I152" s="1" t="n"/>
      <c r="J152" s="1" t="n"/>
      <c r="K152" s="1" t="n"/>
      <c r="L152" s="1" t="n"/>
      <c r="N152" s="1" t="n"/>
      <c r="O152" s="1" t="n"/>
      <c r="P152" s="1" t="n"/>
      <c r="Q152" s="1" t="n"/>
      <c r="R152" s="1" t="n"/>
    </row>
    <row r="153" ht="15.75" customHeight="1" s="143">
      <c r="B153" s="1" t="n"/>
      <c r="C153" s="1" t="n"/>
      <c r="D153" s="1" t="n"/>
      <c r="E153" s="1" t="n"/>
      <c r="F153" s="1" t="n"/>
      <c r="H153" s="1" t="n"/>
      <c r="I153" s="1" t="n"/>
      <c r="J153" s="1" t="n"/>
      <c r="K153" s="1" t="n"/>
      <c r="L153" s="1" t="n"/>
      <c r="N153" s="1" t="n"/>
      <c r="O153" s="1" t="n"/>
      <c r="P153" s="1" t="n"/>
      <c r="Q153" s="1" t="n"/>
      <c r="R153" s="1" t="n"/>
    </row>
    <row r="154" ht="15.75" customHeight="1" s="143">
      <c r="B154" s="1" t="n"/>
      <c r="C154" s="1" t="n"/>
      <c r="D154" s="1" t="n"/>
      <c r="E154" s="1" t="n"/>
      <c r="F154" s="1" t="n"/>
      <c r="H154" s="1" t="n"/>
      <c r="I154" s="1" t="n"/>
      <c r="J154" s="1" t="n"/>
      <c r="K154" s="1" t="n"/>
      <c r="L154" s="1" t="n"/>
      <c r="N154" s="1" t="n"/>
      <c r="O154" s="1" t="n"/>
      <c r="P154" s="1" t="n"/>
      <c r="Q154" s="1" t="n"/>
      <c r="R154" s="1" t="n"/>
    </row>
    <row r="155" ht="15.75" customHeight="1" s="143">
      <c r="B155" s="1" t="n"/>
      <c r="C155" s="1" t="n"/>
      <c r="D155" s="1" t="n"/>
      <c r="E155" s="1" t="n"/>
      <c r="F155" s="1" t="n"/>
      <c r="H155" s="1" t="n"/>
      <c r="I155" s="1" t="n"/>
      <c r="J155" s="1" t="n"/>
      <c r="K155" s="1" t="n"/>
      <c r="L155" s="1" t="n"/>
      <c r="N155" s="1" t="n"/>
      <c r="O155" s="1" t="n"/>
      <c r="P155" s="1" t="n"/>
      <c r="Q155" s="1" t="n"/>
      <c r="R155" s="1" t="n"/>
    </row>
    <row r="156" ht="15.75" customHeight="1" s="143">
      <c r="B156" s="1" t="n"/>
      <c r="C156" s="1" t="n"/>
      <c r="D156" s="1" t="n"/>
      <c r="E156" s="1" t="n"/>
      <c r="F156" s="1" t="n"/>
      <c r="H156" s="1" t="n"/>
      <c r="I156" s="1" t="n"/>
      <c r="J156" s="1" t="n"/>
      <c r="K156" s="1" t="n"/>
      <c r="L156" s="1" t="n"/>
      <c r="N156" s="1" t="n"/>
      <c r="O156" s="1" t="n"/>
      <c r="P156" s="1" t="n"/>
      <c r="Q156" s="1" t="n"/>
      <c r="R156" s="1" t="n"/>
    </row>
    <row r="157" ht="15.75" customHeight="1" s="143">
      <c r="B157" s="1" t="n"/>
      <c r="C157" s="1" t="n"/>
      <c r="D157" s="1" t="n"/>
      <c r="E157" s="1" t="n"/>
      <c r="F157" s="1" t="n"/>
      <c r="H157" s="1" t="n"/>
      <c r="I157" s="1" t="n"/>
      <c r="J157" s="1" t="n"/>
      <c r="K157" s="1" t="n"/>
      <c r="L157" s="1" t="n"/>
      <c r="N157" s="1" t="n"/>
      <c r="O157" s="1" t="n"/>
      <c r="P157" s="1" t="n"/>
      <c r="Q157" s="1" t="n"/>
      <c r="R157" s="1" t="n"/>
    </row>
    <row r="158" ht="15.75" customHeight="1" s="143">
      <c r="B158" s="1" t="n"/>
      <c r="C158" s="1" t="n"/>
      <c r="D158" s="1" t="n"/>
      <c r="E158" s="1" t="n"/>
      <c r="F158" s="1" t="n"/>
      <c r="H158" s="1" t="n"/>
      <c r="I158" s="1" t="n"/>
      <c r="J158" s="1" t="n"/>
      <c r="K158" s="1" t="n"/>
      <c r="L158" s="1" t="n"/>
      <c r="N158" s="1" t="n"/>
      <c r="O158" s="1" t="n"/>
      <c r="P158" s="1" t="n"/>
      <c r="Q158" s="1" t="n"/>
      <c r="R158" s="1" t="n"/>
    </row>
    <row r="159" ht="15.75" customHeight="1" s="143">
      <c r="B159" s="1" t="n"/>
      <c r="C159" s="1" t="n"/>
      <c r="D159" s="1" t="n"/>
      <c r="E159" s="1" t="n"/>
      <c r="F159" s="1" t="n"/>
      <c r="H159" s="1" t="n"/>
      <c r="I159" s="1" t="n"/>
      <c r="J159" s="1" t="n"/>
      <c r="K159" s="1" t="n"/>
      <c r="L159" s="1" t="n"/>
      <c r="N159" s="1" t="n"/>
      <c r="O159" s="1" t="n"/>
      <c r="P159" s="1" t="n"/>
      <c r="Q159" s="1" t="n"/>
      <c r="R159" s="1" t="n"/>
    </row>
    <row r="160" ht="15.75" customHeight="1" s="143">
      <c r="B160" s="1" t="n"/>
      <c r="C160" s="1" t="n"/>
      <c r="D160" s="1" t="n"/>
      <c r="E160" s="1" t="n"/>
      <c r="F160" s="1" t="n"/>
      <c r="H160" s="1" t="n"/>
      <c r="I160" s="1" t="n"/>
      <c r="J160" s="1" t="n"/>
      <c r="K160" s="1" t="n"/>
      <c r="L160" s="1" t="n"/>
      <c r="N160" s="1" t="n"/>
      <c r="O160" s="1" t="n"/>
      <c r="P160" s="1" t="n"/>
      <c r="Q160" s="1" t="n"/>
      <c r="R160" s="1" t="n"/>
    </row>
    <row r="161" ht="15.75" customHeight="1" s="143">
      <c r="B161" s="1" t="n"/>
      <c r="C161" s="1" t="n"/>
      <c r="D161" s="1" t="n"/>
      <c r="E161" s="1" t="n"/>
      <c r="F161" s="1" t="n"/>
      <c r="H161" s="1" t="n"/>
      <c r="I161" s="1" t="n"/>
      <c r="J161" s="1" t="n"/>
      <c r="K161" s="1" t="n"/>
      <c r="L161" s="1" t="n"/>
      <c r="N161" s="1" t="n"/>
      <c r="O161" s="1" t="n"/>
      <c r="P161" s="1" t="n"/>
      <c r="Q161" s="1" t="n"/>
      <c r="R161" s="1" t="n"/>
    </row>
    <row r="162" ht="15.75" customHeight="1" s="143">
      <c r="B162" s="1" t="n"/>
      <c r="C162" s="1" t="n"/>
      <c r="D162" s="1" t="n"/>
      <c r="E162" s="1" t="n"/>
      <c r="F162" s="1" t="n"/>
      <c r="H162" s="1" t="n"/>
      <c r="I162" s="1" t="n"/>
      <c r="J162" s="1" t="n"/>
      <c r="K162" s="1" t="n"/>
      <c r="L162" s="1" t="n"/>
      <c r="N162" s="1" t="n"/>
      <c r="O162" s="1" t="n"/>
      <c r="P162" s="1" t="n"/>
      <c r="Q162" s="1" t="n"/>
      <c r="R162" s="1" t="n"/>
    </row>
    <row r="163" ht="15.75" customHeight="1" s="143">
      <c r="B163" s="1" t="n"/>
      <c r="C163" s="1" t="n"/>
      <c r="D163" s="1" t="n"/>
      <c r="E163" s="1" t="n"/>
      <c r="F163" s="1" t="n"/>
      <c r="H163" s="1" t="n"/>
      <c r="I163" s="1" t="n"/>
      <c r="J163" s="1" t="n"/>
      <c r="K163" s="1" t="n"/>
      <c r="L163" s="1" t="n"/>
      <c r="N163" s="1" t="n"/>
      <c r="O163" s="1" t="n"/>
      <c r="P163" s="1" t="n"/>
      <c r="Q163" s="1" t="n"/>
      <c r="R163" s="1" t="n"/>
    </row>
    <row r="164" ht="15.75" customHeight="1" s="143">
      <c r="B164" s="1" t="n"/>
      <c r="C164" s="1" t="n"/>
      <c r="D164" s="1" t="n"/>
      <c r="E164" s="1" t="n"/>
      <c r="F164" s="1" t="n"/>
      <c r="H164" s="1" t="n"/>
      <c r="I164" s="1" t="n"/>
      <c r="J164" s="1" t="n"/>
      <c r="K164" s="1" t="n"/>
      <c r="L164" s="1" t="n"/>
      <c r="N164" s="1" t="n"/>
      <c r="O164" s="1" t="n"/>
      <c r="P164" s="1" t="n"/>
      <c r="Q164" s="1" t="n"/>
      <c r="R164" s="1" t="n"/>
    </row>
    <row r="165" ht="15.75" customHeight="1" s="143">
      <c r="B165" s="1" t="n"/>
      <c r="C165" s="1" t="n"/>
      <c r="D165" s="1" t="n"/>
      <c r="E165" s="1" t="n"/>
      <c r="F165" s="1" t="n"/>
      <c r="H165" s="1" t="n"/>
      <c r="I165" s="1" t="n"/>
      <c r="J165" s="1" t="n"/>
      <c r="K165" s="1" t="n"/>
      <c r="L165" s="1" t="n"/>
      <c r="N165" s="1" t="n"/>
      <c r="O165" s="1" t="n"/>
      <c r="P165" s="1" t="n"/>
      <c r="Q165" s="1" t="n"/>
      <c r="R165" s="1" t="n"/>
    </row>
    <row r="166" ht="15.75" customHeight="1" s="143">
      <c r="B166" s="1" t="n"/>
      <c r="C166" s="1" t="n"/>
      <c r="D166" s="1" t="n"/>
      <c r="E166" s="1" t="n"/>
      <c r="F166" s="1" t="n"/>
      <c r="H166" s="1" t="n"/>
      <c r="I166" s="1" t="n"/>
      <c r="J166" s="1" t="n"/>
      <c r="K166" s="1" t="n"/>
      <c r="L166" s="1" t="n"/>
      <c r="N166" s="1" t="n"/>
      <c r="O166" s="1" t="n"/>
      <c r="P166" s="1" t="n"/>
      <c r="Q166" s="1" t="n"/>
      <c r="R166" s="1" t="n"/>
    </row>
    <row r="167" ht="15.75" customHeight="1" s="143">
      <c r="B167" s="1" t="n"/>
      <c r="C167" s="1" t="n"/>
      <c r="D167" s="1" t="n"/>
      <c r="E167" s="1" t="n"/>
      <c r="F167" s="1" t="n"/>
      <c r="H167" s="1" t="n"/>
      <c r="I167" s="1" t="n"/>
      <c r="J167" s="1" t="n"/>
      <c r="K167" s="1" t="n"/>
      <c r="L167" s="1" t="n"/>
      <c r="N167" s="1" t="n"/>
      <c r="O167" s="1" t="n"/>
      <c r="P167" s="1" t="n"/>
      <c r="Q167" s="1" t="n"/>
      <c r="R167" s="1" t="n"/>
    </row>
    <row r="168" ht="15.75" customHeight="1" s="143">
      <c r="B168" s="1" t="n"/>
      <c r="C168" s="1" t="n"/>
      <c r="D168" s="1" t="n"/>
      <c r="E168" s="1" t="n"/>
      <c r="F168" s="1" t="n"/>
      <c r="H168" s="1" t="n"/>
      <c r="I168" s="1" t="n"/>
      <c r="J168" s="1" t="n"/>
      <c r="K168" s="1" t="n"/>
      <c r="L168" s="1" t="n"/>
      <c r="N168" s="1" t="n"/>
      <c r="O168" s="1" t="n"/>
      <c r="P168" s="1" t="n"/>
      <c r="Q168" s="1" t="n"/>
      <c r="R168" s="1" t="n"/>
    </row>
    <row r="169" ht="15.75" customHeight="1" s="143">
      <c r="B169" s="1" t="n"/>
      <c r="C169" s="1" t="n"/>
      <c r="D169" s="1" t="n"/>
      <c r="E169" s="1" t="n"/>
      <c r="F169" s="1" t="n"/>
      <c r="H169" s="1" t="n"/>
      <c r="I169" s="1" t="n"/>
      <c r="J169" s="1" t="n"/>
      <c r="K169" s="1" t="n"/>
      <c r="L169" s="1" t="n"/>
      <c r="N169" s="1" t="n"/>
      <c r="O169" s="1" t="n"/>
      <c r="P169" s="1" t="n"/>
      <c r="Q169" s="1" t="n"/>
      <c r="R169" s="1" t="n"/>
    </row>
    <row r="170" ht="15.75" customHeight="1" s="143">
      <c r="B170" s="1" t="n"/>
      <c r="C170" s="1" t="n"/>
      <c r="D170" s="1" t="n"/>
      <c r="E170" s="1" t="n"/>
      <c r="F170" s="1" t="n"/>
      <c r="H170" s="1" t="n"/>
      <c r="I170" s="1" t="n"/>
      <c r="J170" s="1" t="n"/>
      <c r="K170" s="1" t="n"/>
      <c r="L170" s="1" t="n"/>
      <c r="N170" s="1" t="n"/>
      <c r="O170" s="1" t="n"/>
      <c r="P170" s="1" t="n"/>
      <c r="Q170" s="1" t="n"/>
      <c r="R170" s="1" t="n"/>
    </row>
    <row r="171" ht="15.75" customHeight="1" s="143">
      <c r="B171" s="1" t="n"/>
      <c r="C171" s="1" t="n"/>
      <c r="D171" s="1" t="n"/>
      <c r="E171" s="1" t="n"/>
      <c r="F171" s="1" t="n"/>
      <c r="H171" s="1" t="n"/>
      <c r="I171" s="1" t="n"/>
      <c r="J171" s="1" t="n"/>
      <c r="K171" s="1" t="n"/>
      <c r="L171" s="1" t="n"/>
      <c r="N171" s="1" t="n"/>
      <c r="O171" s="1" t="n"/>
      <c r="P171" s="1" t="n"/>
      <c r="Q171" s="1" t="n"/>
      <c r="R171" s="1" t="n"/>
    </row>
    <row r="172" ht="15.75" customHeight="1" s="143">
      <c r="B172" s="1" t="n"/>
      <c r="C172" s="1" t="n"/>
      <c r="D172" s="1" t="n"/>
      <c r="E172" s="1" t="n"/>
      <c r="F172" s="1" t="n"/>
      <c r="H172" s="1" t="n"/>
      <c r="I172" s="1" t="n"/>
      <c r="J172" s="1" t="n"/>
      <c r="K172" s="1" t="n"/>
      <c r="L172" s="1" t="n"/>
      <c r="N172" s="1" t="n"/>
      <c r="O172" s="1" t="n"/>
      <c r="P172" s="1" t="n"/>
      <c r="Q172" s="1" t="n"/>
      <c r="R172" s="1" t="n"/>
    </row>
    <row r="173" ht="15.75" customHeight="1" s="143">
      <c r="B173" s="1" t="n"/>
      <c r="C173" s="1" t="n"/>
      <c r="D173" s="1" t="n"/>
      <c r="E173" s="1" t="n"/>
      <c r="F173" s="1" t="n"/>
      <c r="H173" s="1" t="n"/>
      <c r="I173" s="1" t="n"/>
      <c r="J173" s="1" t="n"/>
      <c r="K173" s="1" t="n"/>
      <c r="L173" s="1" t="n"/>
      <c r="N173" s="1" t="n"/>
      <c r="O173" s="1" t="n"/>
      <c r="P173" s="1" t="n"/>
      <c r="Q173" s="1" t="n"/>
      <c r="R173" s="1" t="n"/>
    </row>
    <row r="174" ht="15.75" customHeight="1" s="143">
      <c r="B174" s="1" t="n"/>
      <c r="C174" s="1" t="n"/>
      <c r="D174" s="1" t="n"/>
      <c r="E174" s="1" t="n"/>
      <c r="F174" s="1" t="n"/>
      <c r="H174" s="1" t="n"/>
      <c r="I174" s="1" t="n"/>
      <c r="J174" s="1" t="n"/>
      <c r="K174" s="1" t="n"/>
      <c r="L174" s="1" t="n"/>
      <c r="N174" s="1" t="n"/>
      <c r="O174" s="1" t="n"/>
      <c r="P174" s="1" t="n"/>
      <c r="Q174" s="1" t="n"/>
      <c r="R174" s="1" t="n"/>
    </row>
    <row r="175" ht="15.75" customHeight="1" s="143">
      <c r="B175" s="1" t="n"/>
      <c r="C175" s="1" t="n"/>
      <c r="D175" s="1" t="n"/>
      <c r="E175" s="1" t="n"/>
      <c r="F175" s="1" t="n"/>
      <c r="H175" s="1" t="n"/>
      <c r="I175" s="1" t="n"/>
      <c r="J175" s="1" t="n"/>
      <c r="K175" s="1" t="n"/>
      <c r="L175" s="1" t="n"/>
      <c r="N175" s="1" t="n"/>
      <c r="O175" s="1" t="n"/>
      <c r="P175" s="1" t="n"/>
      <c r="Q175" s="1" t="n"/>
      <c r="R175" s="1" t="n"/>
    </row>
    <row r="176" ht="15.75" customHeight="1" s="143">
      <c r="B176" s="1" t="n"/>
      <c r="C176" s="1" t="n"/>
      <c r="D176" s="1" t="n"/>
      <c r="E176" s="1" t="n"/>
      <c r="F176" s="1" t="n"/>
      <c r="H176" s="1" t="n"/>
      <c r="I176" s="1" t="n"/>
      <c r="J176" s="1" t="n"/>
      <c r="K176" s="1" t="n"/>
      <c r="L176" s="1" t="n"/>
      <c r="N176" s="1" t="n"/>
      <c r="O176" s="1" t="n"/>
      <c r="P176" s="1" t="n"/>
      <c r="Q176" s="1" t="n"/>
      <c r="R176" s="1" t="n"/>
    </row>
    <row r="177" ht="15.75" customHeight="1" s="143">
      <c r="B177" s="1" t="n"/>
      <c r="C177" s="1" t="n"/>
      <c r="D177" s="1" t="n"/>
      <c r="E177" s="1" t="n"/>
      <c r="F177" s="1" t="n"/>
      <c r="H177" s="1" t="n"/>
      <c r="I177" s="1" t="n"/>
      <c r="J177" s="1" t="n"/>
      <c r="K177" s="1" t="n"/>
      <c r="L177" s="1" t="n"/>
      <c r="N177" s="1" t="n"/>
      <c r="O177" s="1" t="n"/>
      <c r="P177" s="1" t="n"/>
      <c r="Q177" s="1" t="n"/>
      <c r="R177" s="1" t="n"/>
    </row>
    <row r="178" ht="15.75" customHeight="1" s="143">
      <c r="B178" s="1" t="n"/>
      <c r="C178" s="1" t="n"/>
      <c r="D178" s="1" t="n"/>
      <c r="E178" s="1" t="n"/>
      <c r="F178" s="1" t="n"/>
      <c r="H178" s="1" t="n"/>
      <c r="I178" s="1" t="n"/>
      <c r="J178" s="1" t="n"/>
      <c r="K178" s="1" t="n"/>
      <c r="L178" s="1" t="n"/>
      <c r="N178" s="1" t="n"/>
      <c r="O178" s="1" t="n"/>
      <c r="P178" s="1" t="n"/>
      <c r="Q178" s="1" t="n"/>
      <c r="R178" s="1" t="n"/>
    </row>
    <row r="179" ht="15.75" customHeight="1" s="143">
      <c r="B179" s="1" t="n"/>
      <c r="C179" s="1" t="n"/>
      <c r="D179" s="1" t="n"/>
      <c r="E179" s="1" t="n"/>
      <c r="F179" s="1" t="n"/>
      <c r="H179" s="1" t="n"/>
      <c r="I179" s="1" t="n"/>
      <c r="J179" s="1" t="n"/>
      <c r="K179" s="1" t="n"/>
      <c r="L179" s="1" t="n"/>
      <c r="N179" s="1" t="n"/>
      <c r="O179" s="1" t="n"/>
      <c r="P179" s="1" t="n"/>
      <c r="Q179" s="1" t="n"/>
      <c r="R179" s="1" t="n"/>
    </row>
    <row r="180" ht="15.75" customHeight="1" s="143">
      <c r="B180" s="1" t="n"/>
      <c r="C180" s="1" t="n"/>
      <c r="D180" s="1" t="n"/>
      <c r="E180" s="1" t="n"/>
      <c r="F180" s="1" t="n"/>
      <c r="H180" s="1" t="n"/>
      <c r="I180" s="1" t="n"/>
      <c r="J180" s="1" t="n"/>
      <c r="K180" s="1" t="n"/>
      <c r="L180" s="1" t="n"/>
      <c r="N180" s="1" t="n"/>
      <c r="O180" s="1" t="n"/>
      <c r="P180" s="1" t="n"/>
      <c r="Q180" s="1" t="n"/>
      <c r="R180" s="1" t="n"/>
    </row>
    <row r="181" ht="15.75" customHeight="1" s="143">
      <c r="B181" s="1" t="n"/>
      <c r="C181" s="1" t="n"/>
      <c r="D181" s="1" t="n"/>
      <c r="E181" s="1" t="n"/>
      <c r="F181" s="1" t="n"/>
      <c r="H181" s="1" t="n"/>
      <c r="I181" s="1" t="n"/>
      <c r="J181" s="1" t="n"/>
      <c r="K181" s="1" t="n"/>
      <c r="L181" s="1" t="n"/>
      <c r="N181" s="1" t="n"/>
      <c r="O181" s="1" t="n"/>
      <c r="P181" s="1" t="n"/>
      <c r="Q181" s="1" t="n"/>
      <c r="R181" s="1" t="n"/>
    </row>
    <row r="182" ht="15.75" customHeight="1" s="143">
      <c r="B182" s="1" t="n"/>
      <c r="C182" s="1" t="n"/>
      <c r="D182" s="1" t="n"/>
      <c r="E182" s="1" t="n"/>
      <c r="F182" s="1" t="n"/>
      <c r="H182" s="1" t="n"/>
      <c r="I182" s="1" t="n"/>
      <c r="J182" s="1" t="n"/>
      <c r="K182" s="1" t="n"/>
      <c r="L182" s="1" t="n"/>
      <c r="N182" s="1" t="n"/>
      <c r="O182" s="1" t="n"/>
      <c r="P182" s="1" t="n"/>
      <c r="Q182" s="1" t="n"/>
      <c r="R182" s="1" t="n"/>
    </row>
    <row r="183" ht="15.75" customHeight="1" s="143">
      <c r="B183" s="1" t="n"/>
      <c r="C183" s="1" t="n"/>
      <c r="D183" s="1" t="n"/>
      <c r="E183" s="1" t="n"/>
      <c r="F183" s="1" t="n"/>
      <c r="H183" s="1" t="n"/>
      <c r="I183" s="1" t="n"/>
      <c r="J183" s="1" t="n"/>
      <c r="K183" s="1" t="n"/>
      <c r="L183" s="1" t="n"/>
      <c r="N183" s="1" t="n"/>
      <c r="O183" s="1" t="n"/>
      <c r="P183" s="1" t="n"/>
      <c r="Q183" s="1" t="n"/>
      <c r="R183" s="1" t="n"/>
    </row>
    <row r="184" ht="15.75" customHeight="1" s="143">
      <c r="B184" s="1" t="n"/>
      <c r="C184" s="1" t="n"/>
      <c r="D184" s="1" t="n"/>
      <c r="E184" s="1" t="n"/>
      <c r="F184" s="1" t="n"/>
      <c r="H184" s="1" t="n"/>
      <c r="I184" s="1" t="n"/>
      <c r="J184" s="1" t="n"/>
      <c r="K184" s="1" t="n"/>
      <c r="L184" s="1" t="n"/>
      <c r="N184" s="1" t="n"/>
      <c r="O184" s="1" t="n"/>
      <c r="P184" s="1" t="n"/>
      <c r="Q184" s="1" t="n"/>
      <c r="R184" s="1" t="n"/>
    </row>
    <row r="185" ht="15.75" customHeight="1" s="143">
      <c r="B185" s="1" t="n"/>
      <c r="C185" s="1" t="n"/>
      <c r="D185" s="1" t="n"/>
      <c r="E185" s="1" t="n"/>
      <c r="F185" s="1" t="n"/>
      <c r="H185" s="1" t="n"/>
      <c r="I185" s="1" t="n"/>
      <c r="J185" s="1" t="n"/>
      <c r="K185" s="1" t="n"/>
      <c r="L185" s="1" t="n"/>
      <c r="N185" s="1" t="n"/>
      <c r="O185" s="1" t="n"/>
      <c r="P185" s="1" t="n"/>
      <c r="Q185" s="1" t="n"/>
      <c r="R185" s="1" t="n"/>
    </row>
    <row r="186" ht="15.75" customHeight="1" s="143">
      <c r="B186" s="1" t="n"/>
      <c r="C186" s="1" t="n"/>
      <c r="D186" s="1" t="n"/>
      <c r="E186" s="1" t="n"/>
      <c r="F186" s="1" t="n"/>
      <c r="H186" s="1" t="n"/>
      <c r="I186" s="1" t="n"/>
      <c r="J186" s="1" t="n"/>
      <c r="K186" s="1" t="n"/>
      <c r="L186" s="1" t="n"/>
      <c r="N186" s="1" t="n"/>
      <c r="O186" s="1" t="n"/>
      <c r="P186" s="1" t="n"/>
      <c r="Q186" s="1" t="n"/>
      <c r="R186" s="1" t="n"/>
    </row>
    <row r="187" ht="15.75" customHeight="1" s="143">
      <c r="B187" s="1" t="n"/>
      <c r="C187" s="1" t="n"/>
      <c r="D187" s="1" t="n"/>
      <c r="E187" s="1" t="n"/>
      <c r="F187" s="1" t="n"/>
      <c r="H187" s="1" t="n"/>
      <c r="I187" s="1" t="n"/>
      <c r="J187" s="1" t="n"/>
      <c r="K187" s="1" t="n"/>
      <c r="L187" s="1" t="n"/>
      <c r="N187" s="1" t="n"/>
      <c r="O187" s="1" t="n"/>
      <c r="P187" s="1" t="n"/>
      <c r="Q187" s="1" t="n"/>
      <c r="R187" s="1" t="n"/>
    </row>
    <row r="188" ht="15.75" customHeight="1" s="143">
      <c r="B188" s="1" t="n"/>
      <c r="C188" s="1" t="n"/>
      <c r="D188" s="1" t="n"/>
      <c r="E188" s="1" t="n"/>
      <c r="F188" s="1" t="n"/>
      <c r="H188" s="1" t="n"/>
      <c r="I188" s="1" t="n"/>
      <c r="J188" s="1" t="n"/>
      <c r="K188" s="1" t="n"/>
      <c r="L188" s="1" t="n"/>
      <c r="N188" s="1" t="n"/>
      <c r="O188" s="1" t="n"/>
      <c r="P188" s="1" t="n"/>
      <c r="Q188" s="1" t="n"/>
      <c r="R188" s="1" t="n"/>
    </row>
    <row r="189" ht="15.75" customHeight="1" s="143">
      <c r="B189" s="1" t="n"/>
      <c r="C189" s="1" t="n"/>
      <c r="D189" s="1" t="n"/>
      <c r="E189" s="1" t="n"/>
      <c r="F189" s="1" t="n"/>
      <c r="H189" s="1" t="n"/>
      <c r="I189" s="1" t="n"/>
      <c r="J189" s="1" t="n"/>
      <c r="K189" s="1" t="n"/>
      <c r="L189" s="1" t="n"/>
      <c r="N189" s="1" t="n"/>
      <c r="O189" s="1" t="n"/>
      <c r="P189" s="1" t="n"/>
      <c r="Q189" s="1" t="n"/>
      <c r="R189" s="1" t="n"/>
    </row>
    <row r="190" ht="15.75" customHeight="1" s="143">
      <c r="B190" s="1" t="n"/>
      <c r="C190" s="1" t="n"/>
      <c r="D190" s="1" t="n"/>
      <c r="E190" s="1" t="n"/>
      <c r="F190" s="1" t="n"/>
      <c r="H190" s="1" t="n"/>
      <c r="I190" s="1" t="n"/>
      <c r="J190" s="1" t="n"/>
      <c r="K190" s="1" t="n"/>
      <c r="L190" s="1" t="n"/>
      <c r="N190" s="1" t="n"/>
      <c r="O190" s="1" t="n"/>
      <c r="P190" s="1" t="n"/>
      <c r="Q190" s="1" t="n"/>
      <c r="R190" s="1" t="n"/>
    </row>
    <row r="191" ht="15.75" customHeight="1" s="143">
      <c r="B191" s="1" t="n"/>
      <c r="C191" s="1" t="n"/>
      <c r="D191" s="1" t="n"/>
      <c r="E191" s="1" t="n"/>
      <c r="F191" s="1" t="n"/>
      <c r="H191" s="1" t="n"/>
      <c r="I191" s="1" t="n"/>
      <c r="J191" s="1" t="n"/>
      <c r="K191" s="1" t="n"/>
      <c r="L191" s="1" t="n"/>
      <c r="N191" s="1" t="n"/>
      <c r="O191" s="1" t="n"/>
      <c r="P191" s="1" t="n"/>
      <c r="Q191" s="1" t="n"/>
      <c r="R191" s="1" t="n"/>
    </row>
    <row r="192" ht="15.75" customHeight="1" s="143">
      <c r="B192" s="1" t="n"/>
      <c r="C192" s="1" t="n"/>
      <c r="D192" s="1" t="n"/>
      <c r="E192" s="1" t="n"/>
      <c r="F192" s="1" t="n"/>
      <c r="H192" s="1" t="n"/>
      <c r="I192" s="1" t="n"/>
      <c r="J192" s="1" t="n"/>
      <c r="K192" s="1" t="n"/>
      <c r="L192" s="1" t="n"/>
      <c r="N192" s="1" t="n"/>
      <c r="O192" s="1" t="n"/>
      <c r="P192" s="1" t="n"/>
      <c r="Q192" s="1" t="n"/>
      <c r="R192" s="1" t="n"/>
    </row>
    <row r="193" ht="15.75" customHeight="1" s="143">
      <c r="B193" s="1" t="n"/>
      <c r="C193" s="1" t="n"/>
      <c r="D193" s="1" t="n"/>
      <c r="E193" s="1" t="n"/>
      <c r="F193" s="1" t="n"/>
      <c r="H193" s="1" t="n"/>
      <c r="I193" s="1" t="n"/>
      <c r="J193" s="1" t="n"/>
      <c r="K193" s="1" t="n"/>
      <c r="L193" s="1" t="n"/>
      <c r="N193" s="1" t="n"/>
      <c r="O193" s="1" t="n"/>
      <c r="P193" s="1" t="n"/>
      <c r="Q193" s="1" t="n"/>
      <c r="R193" s="1" t="n"/>
    </row>
    <row r="194" ht="15.75" customHeight="1" s="143">
      <c r="B194" s="1" t="n"/>
      <c r="C194" s="1" t="n"/>
      <c r="D194" s="1" t="n"/>
      <c r="E194" s="1" t="n"/>
      <c r="F194" s="1" t="n"/>
      <c r="H194" s="1" t="n"/>
      <c r="I194" s="1" t="n"/>
      <c r="J194" s="1" t="n"/>
      <c r="K194" s="1" t="n"/>
      <c r="L194" s="1" t="n"/>
      <c r="N194" s="1" t="n"/>
      <c r="O194" s="1" t="n"/>
      <c r="P194" s="1" t="n"/>
      <c r="Q194" s="1" t="n"/>
      <c r="R194" s="1" t="n"/>
    </row>
    <row r="195" ht="15.75" customHeight="1" s="143">
      <c r="B195" s="1" t="n"/>
      <c r="C195" s="1" t="n"/>
      <c r="D195" s="1" t="n"/>
      <c r="E195" s="1" t="n"/>
      <c r="F195" s="1" t="n"/>
      <c r="H195" s="1" t="n"/>
      <c r="I195" s="1" t="n"/>
      <c r="J195" s="1" t="n"/>
      <c r="K195" s="1" t="n"/>
      <c r="L195" s="1" t="n"/>
      <c r="N195" s="1" t="n"/>
      <c r="O195" s="1" t="n"/>
      <c r="P195" s="1" t="n"/>
      <c r="Q195" s="1" t="n"/>
      <c r="R195" s="1" t="n"/>
    </row>
    <row r="196" ht="15.75" customHeight="1" s="143">
      <c r="B196" s="1" t="n"/>
      <c r="C196" s="1" t="n"/>
      <c r="D196" s="1" t="n"/>
      <c r="E196" s="1" t="n"/>
      <c r="F196" s="1" t="n"/>
      <c r="H196" s="1" t="n"/>
      <c r="I196" s="1" t="n"/>
      <c r="J196" s="1" t="n"/>
      <c r="K196" s="1" t="n"/>
      <c r="L196" s="1" t="n"/>
      <c r="N196" s="1" t="n"/>
      <c r="O196" s="1" t="n"/>
      <c r="P196" s="1" t="n"/>
      <c r="Q196" s="1" t="n"/>
      <c r="R196" s="1" t="n"/>
    </row>
    <row r="197" ht="15.75" customHeight="1" s="143">
      <c r="B197" s="1" t="n"/>
      <c r="C197" s="1" t="n"/>
      <c r="D197" s="1" t="n"/>
      <c r="E197" s="1" t="n"/>
      <c r="F197" s="1" t="n"/>
      <c r="H197" s="1" t="n"/>
      <c r="I197" s="1" t="n"/>
      <c r="J197" s="1" t="n"/>
      <c r="K197" s="1" t="n"/>
      <c r="L197" s="1" t="n"/>
      <c r="N197" s="1" t="n"/>
      <c r="O197" s="1" t="n"/>
      <c r="P197" s="1" t="n"/>
      <c r="Q197" s="1" t="n"/>
      <c r="R197" s="1" t="n"/>
    </row>
    <row r="198" ht="15.75" customHeight="1" s="143">
      <c r="B198" s="1" t="n"/>
      <c r="C198" s="1" t="n"/>
      <c r="D198" s="1" t="n"/>
      <c r="E198" s="1" t="n"/>
      <c r="F198" s="1" t="n"/>
      <c r="H198" s="1" t="n"/>
      <c r="I198" s="1" t="n"/>
      <c r="J198" s="1" t="n"/>
      <c r="K198" s="1" t="n"/>
      <c r="L198" s="1" t="n"/>
      <c r="N198" s="1" t="n"/>
      <c r="O198" s="1" t="n"/>
      <c r="P198" s="1" t="n"/>
      <c r="Q198" s="1" t="n"/>
      <c r="R198" s="1" t="n"/>
    </row>
    <row r="199" ht="15.75" customHeight="1" s="143">
      <c r="B199" s="1" t="n"/>
      <c r="C199" s="1" t="n"/>
      <c r="D199" s="1" t="n"/>
      <c r="E199" s="1" t="n"/>
      <c r="F199" s="1" t="n"/>
      <c r="H199" s="1" t="n"/>
      <c r="I199" s="1" t="n"/>
      <c r="J199" s="1" t="n"/>
      <c r="K199" s="1" t="n"/>
      <c r="L199" s="1" t="n"/>
      <c r="N199" s="1" t="n"/>
      <c r="O199" s="1" t="n"/>
      <c r="P199" s="1" t="n"/>
      <c r="Q199" s="1" t="n"/>
      <c r="R199" s="1" t="n"/>
    </row>
    <row r="200" ht="15.75" customHeight="1" s="143">
      <c r="B200" s="1" t="n"/>
      <c r="C200" s="1" t="n"/>
      <c r="D200" s="1" t="n"/>
      <c r="E200" s="1" t="n"/>
      <c r="F200" s="1" t="n"/>
      <c r="H200" s="1" t="n"/>
      <c r="I200" s="1" t="n"/>
      <c r="J200" s="1" t="n"/>
      <c r="K200" s="1" t="n"/>
      <c r="L200" s="1" t="n"/>
      <c r="N200" s="1" t="n"/>
      <c r="O200" s="1" t="n"/>
      <c r="P200" s="1" t="n"/>
      <c r="Q200" s="1" t="n"/>
      <c r="R200" s="1" t="n"/>
    </row>
    <row r="201" ht="15.75" customHeight="1" s="143">
      <c r="B201" s="1" t="n"/>
      <c r="C201" s="1" t="n"/>
      <c r="D201" s="1" t="n"/>
      <c r="E201" s="1" t="n"/>
      <c r="F201" s="1" t="n"/>
      <c r="H201" s="1" t="n"/>
      <c r="I201" s="1" t="n"/>
      <c r="J201" s="1" t="n"/>
      <c r="K201" s="1" t="n"/>
      <c r="L201" s="1" t="n"/>
      <c r="N201" s="1" t="n"/>
      <c r="O201" s="1" t="n"/>
      <c r="P201" s="1" t="n"/>
      <c r="Q201" s="1" t="n"/>
      <c r="R201" s="1" t="n"/>
    </row>
    <row r="202" ht="15.75" customHeight="1" s="143">
      <c r="B202" s="1" t="n"/>
      <c r="C202" s="1" t="n"/>
      <c r="D202" s="1" t="n"/>
      <c r="E202" s="1" t="n"/>
      <c r="F202" s="1" t="n"/>
      <c r="H202" s="1" t="n"/>
      <c r="I202" s="1" t="n"/>
      <c r="J202" s="1" t="n"/>
      <c r="K202" s="1" t="n"/>
      <c r="L202" s="1" t="n"/>
      <c r="N202" s="1" t="n"/>
      <c r="O202" s="1" t="n"/>
      <c r="P202" s="1" t="n"/>
      <c r="Q202" s="1" t="n"/>
      <c r="R202" s="1" t="n"/>
    </row>
    <row r="203" ht="15.75" customHeight="1" s="143">
      <c r="B203" s="1" t="n"/>
      <c r="C203" s="1" t="n"/>
      <c r="D203" s="1" t="n"/>
      <c r="E203" s="1" t="n"/>
      <c r="F203" s="1" t="n"/>
      <c r="H203" s="1" t="n"/>
      <c r="I203" s="1" t="n"/>
      <c r="J203" s="1" t="n"/>
      <c r="K203" s="1" t="n"/>
      <c r="L203" s="1" t="n"/>
      <c r="N203" s="1" t="n"/>
      <c r="O203" s="1" t="n"/>
      <c r="P203" s="1" t="n"/>
      <c r="Q203" s="1" t="n"/>
      <c r="R203" s="1" t="n"/>
    </row>
    <row r="204" ht="15.75" customHeight="1" s="143">
      <c r="B204" s="1" t="n"/>
      <c r="C204" s="1" t="n"/>
      <c r="D204" s="1" t="n"/>
      <c r="E204" s="1" t="n"/>
      <c r="F204" s="1" t="n"/>
      <c r="H204" s="1" t="n"/>
      <c r="I204" s="1" t="n"/>
      <c r="J204" s="1" t="n"/>
      <c r="K204" s="1" t="n"/>
      <c r="L204" s="1" t="n"/>
      <c r="N204" s="1" t="n"/>
      <c r="O204" s="1" t="n"/>
      <c r="P204" s="1" t="n"/>
      <c r="Q204" s="1" t="n"/>
      <c r="R204" s="1" t="n"/>
    </row>
    <row r="205" ht="15.75" customHeight="1" s="143">
      <c r="B205" s="1" t="n"/>
      <c r="C205" s="1" t="n"/>
      <c r="D205" s="1" t="n"/>
      <c r="E205" s="1" t="n"/>
      <c r="F205" s="1" t="n"/>
      <c r="H205" s="1" t="n"/>
      <c r="I205" s="1" t="n"/>
      <c r="J205" s="1" t="n"/>
      <c r="K205" s="1" t="n"/>
      <c r="L205" s="1" t="n"/>
      <c r="N205" s="1" t="n"/>
      <c r="O205" s="1" t="n"/>
      <c r="P205" s="1" t="n"/>
      <c r="Q205" s="1" t="n"/>
      <c r="R205" s="1" t="n"/>
    </row>
    <row r="206" ht="15.75" customHeight="1" s="143">
      <c r="B206" s="1" t="n"/>
      <c r="C206" s="1" t="n"/>
      <c r="D206" s="1" t="n"/>
      <c r="E206" s="1" t="n"/>
      <c r="F206" s="1" t="n"/>
      <c r="H206" s="1" t="n"/>
      <c r="I206" s="1" t="n"/>
      <c r="J206" s="1" t="n"/>
      <c r="K206" s="1" t="n"/>
      <c r="L206" s="1" t="n"/>
      <c r="N206" s="1" t="n"/>
      <c r="O206" s="1" t="n"/>
      <c r="P206" s="1" t="n"/>
      <c r="Q206" s="1" t="n"/>
      <c r="R206" s="1" t="n"/>
    </row>
    <row r="207" ht="15.75" customHeight="1" s="143">
      <c r="B207" s="1" t="n"/>
      <c r="C207" s="1" t="n"/>
      <c r="D207" s="1" t="n"/>
      <c r="E207" s="1" t="n"/>
      <c r="F207" s="1" t="n"/>
      <c r="H207" s="1" t="n"/>
      <c r="I207" s="1" t="n"/>
      <c r="J207" s="1" t="n"/>
      <c r="K207" s="1" t="n"/>
      <c r="L207" s="1" t="n"/>
      <c r="N207" s="1" t="n"/>
      <c r="O207" s="1" t="n"/>
      <c r="P207" s="1" t="n"/>
      <c r="Q207" s="1" t="n"/>
      <c r="R207" s="1" t="n"/>
    </row>
    <row r="208" ht="15.75" customHeight="1" s="143">
      <c r="B208" s="1" t="n"/>
      <c r="C208" s="1" t="n"/>
      <c r="D208" s="1" t="n"/>
      <c r="E208" s="1" t="n"/>
      <c r="F208" s="1" t="n"/>
      <c r="H208" s="1" t="n"/>
      <c r="I208" s="1" t="n"/>
      <c r="J208" s="1" t="n"/>
      <c r="K208" s="1" t="n"/>
      <c r="L208" s="1" t="n"/>
      <c r="N208" s="1" t="n"/>
      <c r="O208" s="1" t="n"/>
      <c r="P208" s="1" t="n"/>
      <c r="Q208" s="1" t="n"/>
      <c r="R208" s="1" t="n"/>
    </row>
    <row r="209" ht="15.75" customHeight="1" s="143">
      <c r="B209" s="1" t="n"/>
      <c r="C209" s="1" t="n"/>
      <c r="D209" s="1" t="n"/>
      <c r="E209" s="1" t="n"/>
      <c r="F209" s="1" t="n"/>
      <c r="H209" s="1" t="n"/>
      <c r="I209" s="1" t="n"/>
      <c r="J209" s="1" t="n"/>
      <c r="K209" s="1" t="n"/>
      <c r="L209" s="1" t="n"/>
      <c r="N209" s="1" t="n"/>
      <c r="O209" s="1" t="n"/>
      <c r="P209" s="1" t="n"/>
      <c r="Q209" s="1" t="n"/>
      <c r="R209" s="1" t="n"/>
    </row>
    <row r="210" ht="15.75" customHeight="1" s="143">
      <c r="B210" s="1" t="n"/>
      <c r="C210" s="1" t="n"/>
      <c r="D210" s="1" t="n"/>
      <c r="E210" s="1" t="n"/>
      <c r="F210" s="1" t="n"/>
      <c r="H210" s="1" t="n"/>
      <c r="I210" s="1" t="n"/>
      <c r="J210" s="1" t="n"/>
      <c r="K210" s="1" t="n"/>
      <c r="L210" s="1" t="n"/>
      <c r="N210" s="1" t="n"/>
      <c r="O210" s="1" t="n"/>
      <c r="P210" s="1" t="n"/>
      <c r="Q210" s="1" t="n"/>
      <c r="R210" s="1" t="n"/>
    </row>
    <row r="211" ht="15.75" customHeight="1" s="143">
      <c r="B211" s="1" t="n"/>
      <c r="C211" s="1" t="n"/>
      <c r="D211" s="1" t="n"/>
      <c r="E211" s="1" t="n"/>
      <c r="F211" s="1" t="n"/>
      <c r="H211" s="1" t="n"/>
      <c r="I211" s="1" t="n"/>
      <c r="J211" s="1" t="n"/>
      <c r="K211" s="1" t="n"/>
      <c r="L211" s="1" t="n"/>
      <c r="N211" s="1" t="n"/>
      <c r="O211" s="1" t="n"/>
      <c r="P211" s="1" t="n"/>
      <c r="Q211" s="1" t="n"/>
      <c r="R211" s="1" t="n"/>
    </row>
    <row r="212" ht="15.75" customHeight="1" s="143">
      <c r="B212" s="1" t="n"/>
      <c r="C212" s="1" t="n"/>
      <c r="D212" s="1" t="n"/>
      <c r="E212" s="1" t="n"/>
      <c r="F212" s="1" t="n"/>
      <c r="H212" s="1" t="n"/>
      <c r="I212" s="1" t="n"/>
      <c r="J212" s="1" t="n"/>
      <c r="K212" s="1" t="n"/>
      <c r="L212" s="1" t="n"/>
      <c r="N212" s="1" t="n"/>
      <c r="O212" s="1" t="n"/>
      <c r="P212" s="1" t="n"/>
      <c r="Q212" s="1" t="n"/>
      <c r="R212" s="1" t="n"/>
    </row>
    <row r="213" ht="15.75" customHeight="1" s="143">
      <c r="B213" s="1" t="n"/>
      <c r="C213" s="1" t="n"/>
      <c r="D213" s="1" t="n"/>
      <c r="E213" s="1" t="n"/>
      <c r="F213" s="1" t="n"/>
      <c r="H213" s="1" t="n"/>
      <c r="I213" s="1" t="n"/>
      <c r="J213" s="1" t="n"/>
      <c r="K213" s="1" t="n"/>
      <c r="L213" s="1" t="n"/>
      <c r="N213" s="1" t="n"/>
      <c r="O213" s="1" t="n"/>
      <c r="P213" s="1" t="n"/>
      <c r="Q213" s="1" t="n"/>
      <c r="R213" s="1" t="n"/>
    </row>
    <row r="214" ht="15.75" customHeight="1" s="143">
      <c r="B214" s="1" t="n"/>
      <c r="C214" s="1" t="n"/>
      <c r="D214" s="1" t="n"/>
      <c r="E214" s="1" t="n"/>
      <c r="F214" s="1" t="n"/>
      <c r="H214" s="1" t="n"/>
      <c r="I214" s="1" t="n"/>
      <c r="J214" s="1" t="n"/>
      <c r="K214" s="1" t="n"/>
      <c r="L214" s="1" t="n"/>
      <c r="N214" s="1" t="n"/>
      <c r="O214" s="1" t="n"/>
      <c r="P214" s="1" t="n"/>
      <c r="Q214" s="1" t="n"/>
      <c r="R214" s="1" t="n"/>
    </row>
    <row r="215" ht="15.75" customHeight="1" s="143">
      <c r="B215" s="1" t="n"/>
      <c r="C215" s="1" t="n"/>
      <c r="D215" s="1" t="n"/>
      <c r="E215" s="1" t="n"/>
      <c r="F215" s="1" t="n"/>
      <c r="H215" s="1" t="n"/>
      <c r="I215" s="1" t="n"/>
      <c r="J215" s="1" t="n"/>
      <c r="K215" s="1" t="n"/>
      <c r="L215" s="1" t="n"/>
      <c r="N215" s="1" t="n"/>
      <c r="O215" s="1" t="n"/>
      <c r="P215" s="1" t="n"/>
      <c r="Q215" s="1" t="n"/>
      <c r="R215" s="1" t="n"/>
    </row>
    <row r="216" ht="15.75" customHeight="1" s="143">
      <c r="B216" s="1" t="n"/>
      <c r="C216" s="1" t="n"/>
      <c r="D216" s="1" t="n"/>
      <c r="E216" s="1" t="n"/>
      <c r="F216" s="1" t="n"/>
      <c r="H216" s="1" t="n"/>
      <c r="I216" s="1" t="n"/>
      <c r="J216" s="1" t="n"/>
      <c r="K216" s="1" t="n"/>
      <c r="L216" s="1" t="n"/>
      <c r="N216" s="1" t="n"/>
      <c r="O216" s="1" t="n"/>
      <c r="P216" s="1" t="n"/>
      <c r="Q216" s="1" t="n"/>
      <c r="R216" s="1" t="n"/>
    </row>
    <row r="217" ht="15.75" customHeight="1" s="143">
      <c r="B217" s="1" t="n"/>
      <c r="C217" s="1" t="n"/>
      <c r="D217" s="1" t="n"/>
      <c r="E217" s="1" t="n"/>
      <c r="F217" s="1" t="n"/>
      <c r="H217" s="1" t="n"/>
      <c r="I217" s="1" t="n"/>
      <c r="J217" s="1" t="n"/>
      <c r="K217" s="1" t="n"/>
      <c r="L217" s="1" t="n"/>
      <c r="N217" s="1" t="n"/>
      <c r="O217" s="1" t="n"/>
      <c r="P217" s="1" t="n"/>
      <c r="Q217" s="1" t="n"/>
      <c r="R217" s="1" t="n"/>
    </row>
    <row r="218" ht="15.75" customHeight="1" s="143">
      <c r="B218" s="1" t="n"/>
      <c r="C218" s="1" t="n"/>
      <c r="D218" s="1" t="n"/>
      <c r="E218" s="1" t="n"/>
      <c r="F218" s="1" t="n"/>
      <c r="H218" s="1" t="n"/>
      <c r="I218" s="1" t="n"/>
      <c r="J218" s="1" t="n"/>
      <c r="K218" s="1" t="n"/>
      <c r="L218" s="1" t="n"/>
      <c r="N218" s="1" t="n"/>
      <c r="O218" s="1" t="n"/>
      <c r="P218" s="1" t="n"/>
      <c r="Q218" s="1" t="n"/>
      <c r="R218" s="1" t="n"/>
    </row>
    <row r="219" ht="15.75" customHeight="1" s="143">
      <c r="B219" s="1" t="n"/>
      <c r="C219" s="1" t="n"/>
      <c r="D219" s="1" t="n"/>
      <c r="E219" s="1" t="n"/>
      <c r="F219" s="1" t="n"/>
      <c r="H219" s="1" t="n"/>
      <c r="I219" s="1" t="n"/>
      <c r="J219" s="1" t="n"/>
      <c r="K219" s="1" t="n"/>
      <c r="L219" s="1" t="n"/>
      <c r="N219" s="1" t="n"/>
      <c r="O219" s="1" t="n"/>
      <c r="P219" s="1" t="n"/>
      <c r="Q219" s="1" t="n"/>
      <c r="R219" s="1" t="n"/>
    </row>
    <row r="220" ht="15.75" customHeight="1" s="143">
      <c r="B220" s="1" t="n"/>
      <c r="C220" s="1" t="n"/>
      <c r="D220" s="1" t="n"/>
      <c r="E220" s="1" t="n"/>
      <c r="F220" s="1" t="n"/>
      <c r="H220" s="1" t="n"/>
      <c r="I220" s="1" t="n"/>
      <c r="J220" s="1" t="n"/>
      <c r="K220" s="1" t="n"/>
      <c r="L220" s="1" t="n"/>
      <c r="N220" s="1" t="n"/>
      <c r="O220" s="1" t="n"/>
      <c r="P220" s="1" t="n"/>
      <c r="Q220" s="1" t="n"/>
      <c r="R220" s="1" t="n"/>
    </row>
    <row r="221" ht="15.75" customHeight="1" s="143">
      <c r="B221" s="1" t="n"/>
      <c r="C221" s="1" t="n"/>
      <c r="D221" s="1" t="n"/>
      <c r="E221" s="1" t="n"/>
      <c r="F221" s="1" t="n"/>
      <c r="H221" s="1" t="n"/>
      <c r="I221" s="1" t="n"/>
      <c r="J221" s="1" t="n"/>
      <c r="K221" s="1" t="n"/>
      <c r="L221" s="1" t="n"/>
      <c r="N221" s="1" t="n"/>
      <c r="O221" s="1" t="n"/>
      <c r="P221" s="1" t="n"/>
      <c r="Q221" s="1" t="n"/>
      <c r="R221" s="1" t="n"/>
    </row>
    <row r="222" ht="15.75" customHeight="1" s="143">
      <c r="B222" s="1" t="n"/>
      <c r="C222" s="1" t="n"/>
      <c r="D222" s="1" t="n"/>
      <c r="E222" s="1" t="n"/>
      <c r="F222" s="1" t="n"/>
      <c r="H222" s="1" t="n"/>
      <c r="I222" s="1" t="n"/>
      <c r="J222" s="1" t="n"/>
      <c r="K222" s="1" t="n"/>
      <c r="L222" s="1" t="n"/>
      <c r="N222" s="1" t="n"/>
      <c r="O222" s="1" t="n"/>
      <c r="P222" s="1" t="n"/>
      <c r="Q222" s="1" t="n"/>
      <c r="R222" s="1" t="n"/>
    </row>
    <row r="223" ht="15.75" customHeight="1" s="143">
      <c r="B223" s="1" t="n"/>
      <c r="C223" s="1" t="n"/>
      <c r="D223" s="1" t="n"/>
      <c r="E223" s="1" t="n"/>
      <c r="F223" s="1" t="n"/>
      <c r="H223" s="1" t="n"/>
      <c r="I223" s="1" t="n"/>
      <c r="J223" s="1" t="n"/>
      <c r="K223" s="1" t="n"/>
      <c r="L223" s="1" t="n"/>
      <c r="N223" s="1" t="n"/>
      <c r="O223" s="1" t="n"/>
      <c r="P223" s="1" t="n"/>
      <c r="Q223" s="1" t="n"/>
      <c r="R223" s="1" t="n"/>
    </row>
    <row r="224" ht="15.75" customHeight="1" s="143">
      <c r="B224" s="1" t="n"/>
      <c r="C224" s="1" t="n"/>
      <c r="D224" s="1" t="n"/>
      <c r="E224" s="1" t="n"/>
      <c r="F224" s="1" t="n"/>
      <c r="H224" s="1" t="n"/>
      <c r="I224" s="1" t="n"/>
      <c r="J224" s="1" t="n"/>
      <c r="K224" s="1" t="n"/>
      <c r="L224" s="1" t="n"/>
      <c r="N224" s="1" t="n"/>
      <c r="O224" s="1" t="n"/>
      <c r="P224" s="1" t="n"/>
      <c r="Q224" s="1" t="n"/>
      <c r="R224" s="1" t="n"/>
    </row>
    <row r="225" ht="15.75" customHeight="1" s="143">
      <c r="B225" s="1" t="n"/>
      <c r="C225" s="1" t="n"/>
      <c r="D225" s="1" t="n"/>
      <c r="E225" s="1" t="n"/>
      <c r="F225" s="1" t="n"/>
      <c r="H225" s="1" t="n"/>
      <c r="I225" s="1" t="n"/>
      <c r="J225" s="1" t="n"/>
      <c r="K225" s="1" t="n"/>
      <c r="L225" s="1" t="n"/>
      <c r="N225" s="1" t="n"/>
      <c r="O225" s="1" t="n"/>
      <c r="P225" s="1" t="n"/>
      <c r="Q225" s="1" t="n"/>
      <c r="R225" s="1" t="n"/>
    </row>
    <row r="226" ht="15.75" customHeight="1" s="143">
      <c r="B226" s="1" t="n"/>
      <c r="C226" s="1" t="n"/>
      <c r="D226" s="1" t="n"/>
      <c r="E226" s="1" t="n"/>
      <c r="F226" s="1" t="n"/>
      <c r="H226" s="1" t="n"/>
      <c r="I226" s="1" t="n"/>
      <c r="J226" s="1" t="n"/>
      <c r="K226" s="1" t="n"/>
      <c r="L226" s="1" t="n"/>
      <c r="N226" s="1" t="n"/>
      <c r="O226" s="1" t="n"/>
      <c r="P226" s="1" t="n"/>
      <c r="Q226" s="1" t="n"/>
      <c r="R226" s="1" t="n"/>
    </row>
    <row r="227" ht="15.75" customHeight="1" s="143">
      <c r="B227" s="1" t="n"/>
      <c r="C227" s="1" t="n"/>
      <c r="D227" s="1" t="n"/>
      <c r="E227" s="1" t="n"/>
      <c r="F227" s="1" t="n"/>
      <c r="H227" s="1" t="n"/>
      <c r="I227" s="1" t="n"/>
      <c r="J227" s="1" t="n"/>
      <c r="K227" s="1" t="n"/>
      <c r="L227" s="1" t="n"/>
      <c r="N227" s="1" t="n"/>
      <c r="O227" s="1" t="n"/>
      <c r="P227" s="1" t="n"/>
      <c r="Q227" s="1" t="n"/>
      <c r="R227" s="1" t="n"/>
    </row>
    <row r="228" ht="15.75" customHeight="1" s="143">
      <c r="B228" s="1" t="n"/>
      <c r="C228" s="1" t="n"/>
      <c r="D228" s="1" t="n"/>
      <c r="E228" s="1" t="n"/>
      <c r="F228" s="1" t="n"/>
      <c r="H228" s="1" t="n"/>
      <c r="I228" s="1" t="n"/>
      <c r="J228" s="1" t="n"/>
      <c r="K228" s="1" t="n"/>
      <c r="L228" s="1" t="n"/>
      <c r="N228" s="1" t="n"/>
      <c r="O228" s="1" t="n"/>
      <c r="P228" s="1" t="n"/>
      <c r="Q228" s="1" t="n"/>
      <c r="R228" s="1" t="n"/>
    </row>
    <row r="229" ht="15.75" customHeight="1" s="143">
      <c r="B229" s="1" t="n"/>
      <c r="C229" s="1" t="n"/>
      <c r="D229" s="1" t="n"/>
      <c r="E229" s="1" t="n"/>
      <c r="F229" s="1" t="n"/>
      <c r="H229" s="1" t="n"/>
      <c r="I229" s="1" t="n"/>
      <c r="J229" s="1" t="n"/>
      <c r="K229" s="1" t="n"/>
      <c r="L229" s="1" t="n"/>
      <c r="N229" s="1" t="n"/>
      <c r="O229" s="1" t="n"/>
      <c r="P229" s="1" t="n"/>
      <c r="Q229" s="1" t="n"/>
      <c r="R229" s="1" t="n"/>
    </row>
    <row r="230" ht="15.75" customHeight="1" s="143">
      <c r="B230" s="1" t="n"/>
      <c r="C230" s="1" t="n"/>
      <c r="D230" s="1" t="n"/>
      <c r="E230" s="1" t="n"/>
      <c r="F230" s="1" t="n"/>
      <c r="H230" s="1" t="n"/>
      <c r="I230" s="1" t="n"/>
      <c r="J230" s="1" t="n"/>
      <c r="K230" s="1" t="n"/>
      <c r="L230" s="1" t="n"/>
      <c r="N230" s="1" t="n"/>
      <c r="O230" s="1" t="n"/>
      <c r="P230" s="1" t="n"/>
      <c r="Q230" s="1" t="n"/>
      <c r="R230" s="1" t="n"/>
    </row>
    <row r="231" ht="15.75" customHeight="1" s="143">
      <c r="B231" s="1" t="n"/>
      <c r="C231" s="1" t="n"/>
      <c r="D231" s="1" t="n"/>
      <c r="E231" s="1" t="n"/>
      <c r="F231" s="1" t="n"/>
      <c r="H231" s="1" t="n"/>
      <c r="I231" s="1" t="n"/>
      <c r="J231" s="1" t="n"/>
      <c r="K231" s="1" t="n"/>
      <c r="L231" s="1" t="n"/>
      <c r="N231" s="1" t="n"/>
      <c r="O231" s="1" t="n"/>
      <c r="P231" s="1" t="n"/>
      <c r="Q231" s="1" t="n"/>
      <c r="R231" s="1" t="n"/>
    </row>
    <row r="232" ht="15.75" customHeight="1" s="143">
      <c r="B232" s="1" t="n"/>
      <c r="C232" s="1" t="n"/>
      <c r="D232" s="1" t="n"/>
      <c r="E232" s="1" t="n"/>
      <c r="F232" s="1" t="n"/>
      <c r="H232" s="1" t="n"/>
      <c r="I232" s="1" t="n"/>
      <c r="J232" s="1" t="n"/>
      <c r="K232" s="1" t="n"/>
      <c r="L232" s="1" t="n"/>
      <c r="N232" s="1" t="n"/>
      <c r="O232" s="1" t="n"/>
      <c r="P232" s="1" t="n"/>
      <c r="Q232" s="1" t="n"/>
      <c r="R232" s="1" t="n"/>
    </row>
    <row r="233" ht="15.75" customHeight="1" s="143">
      <c r="B233" s="1" t="n"/>
      <c r="C233" s="1" t="n"/>
      <c r="D233" s="1" t="n"/>
      <c r="E233" s="1" t="n"/>
      <c r="F233" s="1" t="n"/>
      <c r="H233" s="1" t="n"/>
      <c r="I233" s="1" t="n"/>
      <c r="J233" s="1" t="n"/>
      <c r="K233" s="1" t="n"/>
      <c r="L233" s="1" t="n"/>
      <c r="N233" s="1" t="n"/>
      <c r="O233" s="1" t="n"/>
      <c r="P233" s="1" t="n"/>
      <c r="Q233" s="1" t="n"/>
      <c r="R233" s="1" t="n"/>
    </row>
    <row r="234" ht="15.75" customHeight="1" s="143">
      <c r="B234" s="1" t="n"/>
      <c r="C234" s="1" t="n"/>
      <c r="D234" s="1" t="n"/>
      <c r="E234" s="1" t="n"/>
      <c r="F234" s="1" t="n"/>
      <c r="H234" s="1" t="n"/>
      <c r="I234" s="1" t="n"/>
      <c r="J234" s="1" t="n"/>
      <c r="K234" s="1" t="n"/>
      <c r="L234" s="1" t="n"/>
      <c r="N234" s="1" t="n"/>
      <c r="O234" s="1" t="n"/>
      <c r="P234" s="1" t="n"/>
      <c r="Q234" s="1" t="n"/>
      <c r="R234" s="1" t="n"/>
    </row>
    <row r="235" ht="15.75" customHeight="1" s="143">
      <c r="B235" s="1" t="n"/>
      <c r="C235" s="1" t="n"/>
      <c r="D235" s="1" t="n"/>
      <c r="E235" s="1" t="n"/>
      <c r="F235" s="1" t="n"/>
      <c r="H235" s="1" t="n"/>
      <c r="I235" s="1" t="n"/>
      <c r="J235" s="1" t="n"/>
      <c r="K235" s="1" t="n"/>
      <c r="L235" s="1" t="n"/>
      <c r="N235" s="1" t="n"/>
      <c r="O235" s="1" t="n"/>
      <c r="P235" s="1" t="n"/>
      <c r="Q235" s="1" t="n"/>
      <c r="R235" s="1" t="n"/>
    </row>
    <row r="236" ht="15.75" customHeight="1" s="143">
      <c r="B236" s="1" t="n"/>
      <c r="C236" s="1" t="n"/>
      <c r="D236" s="1" t="n"/>
      <c r="E236" s="1" t="n"/>
      <c r="F236" s="1" t="n"/>
      <c r="H236" s="1" t="n"/>
      <c r="I236" s="1" t="n"/>
      <c r="J236" s="1" t="n"/>
      <c r="K236" s="1" t="n"/>
      <c r="L236" s="1" t="n"/>
      <c r="N236" s="1" t="n"/>
      <c r="O236" s="1" t="n"/>
      <c r="P236" s="1" t="n"/>
      <c r="Q236" s="1" t="n"/>
      <c r="R236" s="1" t="n"/>
    </row>
    <row r="237" ht="15.75" customHeight="1" s="143">
      <c r="B237" s="1" t="n"/>
      <c r="C237" s="1" t="n"/>
      <c r="D237" s="1" t="n"/>
      <c r="E237" s="1" t="n"/>
      <c r="F237" s="1" t="n"/>
      <c r="H237" s="1" t="n"/>
      <c r="I237" s="1" t="n"/>
      <c r="J237" s="1" t="n"/>
      <c r="K237" s="1" t="n"/>
      <c r="L237" s="1" t="n"/>
      <c r="N237" s="1" t="n"/>
      <c r="O237" s="1" t="n"/>
      <c r="P237" s="1" t="n"/>
      <c r="Q237" s="1" t="n"/>
      <c r="R237" s="1" t="n"/>
    </row>
    <row r="238" ht="15.75" customHeight="1" s="143">
      <c r="B238" s="1" t="n"/>
      <c r="C238" s="1" t="n"/>
      <c r="D238" s="1" t="n"/>
      <c r="E238" s="1" t="n"/>
      <c r="F238" s="1" t="n"/>
      <c r="H238" s="1" t="n"/>
      <c r="I238" s="1" t="n"/>
      <c r="J238" s="1" t="n"/>
      <c r="K238" s="1" t="n"/>
      <c r="L238" s="1" t="n"/>
      <c r="N238" s="1" t="n"/>
      <c r="O238" s="1" t="n"/>
      <c r="P238" s="1" t="n"/>
      <c r="Q238" s="1" t="n"/>
      <c r="R238" s="1" t="n"/>
    </row>
    <row r="239" ht="15.75" customHeight="1" s="143">
      <c r="B239" s="1" t="n"/>
      <c r="C239" s="1" t="n"/>
      <c r="D239" s="1" t="n"/>
      <c r="E239" s="1" t="n"/>
      <c r="F239" s="1" t="n"/>
      <c r="H239" s="1" t="n"/>
      <c r="I239" s="1" t="n"/>
      <c r="J239" s="1" t="n"/>
      <c r="K239" s="1" t="n"/>
      <c r="L239" s="1" t="n"/>
      <c r="N239" s="1" t="n"/>
      <c r="O239" s="1" t="n"/>
      <c r="P239" s="1" t="n"/>
      <c r="Q239" s="1" t="n"/>
      <c r="R239" s="1" t="n"/>
    </row>
    <row r="240" ht="15.75" customHeight="1" s="143">
      <c r="B240" s="1" t="n"/>
      <c r="C240" s="1" t="n"/>
      <c r="D240" s="1" t="n"/>
      <c r="E240" s="1" t="n"/>
      <c r="F240" s="1" t="n"/>
      <c r="H240" s="1" t="n"/>
      <c r="I240" s="1" t="n"/>
      <c r="J240" s="1" t="n"/>
      <c r="K240" s="1" t="n"/>
      <c r="L240" s="1" t="n"/>
      <c r="N240" s="1" t="n"/>
      <c r="O240" s="1" t="n"/>
      <c r="P240" s="1" t="n"/>
      <c r="Q240" s="1" t="n"/>
      <c r="R240" s="1" t="n"/>
    </row>
    <row r="241" ht="15.75" customHeight="1" s="143">
      <c r="B241" s="1" t="n"/>
      <c r="C241" s="1" t="n"/>
      <c r="D241" s="1" t="n"/>
      <c r="E241" s="1" t="n"/>
      <c r="F241" s="1" t="n"/>
      <c r="H241" s="1" t="n"/>
      <c r="I241" s="1" t="n"/>
      <c r="J241" s="1" t="n"/>
      <c r="K241" s="1" t="n"/>
      <c r="L241" s="1" t="n"/>
      <c r="N241" s="1" t="n"/>
      <c r="O241" s="1" t="n"/>
      <c r="P241" s="1" t="n"/>
      <c r="Q241" s="1" t="n"/>
      <c r="R241" s="1" t="n"/>
    </row>
    <row r="242" ht="15.75" customHeight="1" s="143">
      <c r="B242" s="1" t="n"/>
      <c r="C242" s="1" t="n"/>
      <c r="D242" s="1" t="n"/>
      <c r="E242" s="1" t="n"/>
      <c r="F242" s="1" t="n"/>
      <c r="H242" s="1" t="n"/>
      <c r="I242" s="1" t="n"/>
      <c r="J242" s="1" t="n"/>
      <c r="K242" s="1" t="n"/>
      <c r="L242" s="1" t="n"/>
      <c r="N242" s="1" t="n"/>
      <c r="O242" s="1" t="n"/>
      <c r="P242" s="1" t="n"/>
      <c r="Q242" s="1" t="n"/>
      <c r="R242" s="1" t="n"/>
    </row>
    <row r="243" ht="15.75" customHeight="1" s="143">
      <c r="B243" s="1" t="n"/>
      <c r="C243" s="1" t="n"/>
      <c r="D243" s="1" t="n"/>
      <c r="E243" s="1" t="n"/>
      <c r="F243" s="1" t="n"/>
      <c r="H243" s="1" t="n"/>
      <c r="I243" s="1" t="n"/>
      <c r="J243" s="1" t="n"/>
      <c r="K243" s="1" t="n"/>
      <c r="L243" s="1" t="n"/>
      <c r="N243" s="1" t="n"/>
      <c r="O243" s="1" t="n"/>
      <c r="P243" s="1" t="n"/>
      <c r="Q243" s="1" t="n"/>
      <c r="R243" s="1" t="n"/>
    </row>
    <row r="244" ht="15.75" customHeight="1" s="143">
      <c r="B244" s="1" t="n"/>
      <c r="C244" s="1" t="n"/>
      <c r="D244" s="1" t="n"/>
      <c r="E244" s="1" t="n"/>
      <c r="F244" s="1" t="n"/>
      <c r="H244" s="1" t="n"/>
      <c r="I244" s="1" t="n"/>
      <c r="J244" s="1" t="n"/>
      <c r="K244" s="1" t="n"/>
      <c r="L244" s="1" t="n"/>
      <c r="N244" s="1" t="n"/>
      <c r="O244" s="1" t="n"/>
      <c r="P244" s="1" t="n"/>
      <c r="Q244" s="1" t="n"/>
      <c r="R244" s="1" t="n"/>
    </row>
    <row r="245" ht="15.75" customHeight="1" s="143">
      <c r="B245" s="1" t="n"/>
      <c r="C245" s="1" t="n"/>
      <c r="D245" s="1" t="n"/>
      <c r="E245" s="1" t="n"/>
      <c r="F245" s="1" t="n"/>
      <c r="H245" s="1" t="n"/>
      <c r="I245" s="1" t="n"/>
      <c r="J245" s="1" t="n"/>
      <c r="K245" s="1" t="n"/>
      <c r="L245" s="1" t="n"/>
      <c r="N245" s="1" t="n"/>
      <c r="O245" s="1" t="n"/>
      <c r="P245" s="1" t="n"/>
      <c r="Q245" s="1" t="n"/>
      <c r="R245" s="1" t="n"/>
    </row>
    <row r="246" ht="15.75" customHeight="1" s="143">
      <c r="B246" s="1" t="n"/>
      <c r="C246" s="1" t="n"/>
      <c r="D246" s="1" t="n"/>
      <c r="E246" s="1" t="n"/>
      <c r="F246" s="1" t="n"/>
      <c r="H246" s="1" t="n"/>
      <c r="I246" s="1" t="n"/>
      <c r="J246" s="1" t="n"/>
      <c r="K246" s="1" t="n"/>
      <c r="L246" s="1" t="n"/>
      <c r="N246" s="1" t="n"/>
      <c r="O246" s="1" t="n"/>
      <c r="P246" s="1" t="n"/>
      <c r="Q246" s="1" t="n"/>
      <c r="R246" s="1" t="n"/>
    </row>
    <row r="247" ht="15.75" customHeight="1" s="143">
      <c r="B247" s="1" t="n"/>
      <c r="C247" s="1" t="n"/>
      <c r="D247" s="1" t="n"/>
      <c r="E247" s="1" t="n"/>
      <c r="F247" s="1" t="n"/>
      <c r="H247" s="1" t="n"/>
      <c r="I247" s="1" t="n"/>
      <c r="J247" s="1" t="n"/>
      <c r="K247" s="1" t="n"/>
      <c r="L247" s="1" t="n"/>
      <c r="N247" s="1" t="n"/>
      <c r="O247" s="1" t="n"/>
      <c r="P247" s="1" t="n"/>
      <c r="Q247" s="1" t="n"/>
      <c r="R247" s="1" t="n"/>
    </row>
    <row r="248" ht="15.75" customHeight="1" s="143">
      <c r="B248" s="1" t="n"/>
      <c r="C248" s="1" t="n"/>
      <c r="D248" s="1" t="n"/>
      <c r="E248" s="1" t="n"/>
      <c r="F248" s="1" t="n"/>
      <c r="H248" s="1" t="n"/>
      <c r="I248" s="1" t="n"/>
      <c r="J248" s="1" t="n"/>
      <c r="K248" s="1" t="n"/>
      <c r="L248" s="1" t="n"/>
      <c r="N248" s="1" t="n"/>
      <c r="O248" s="1" t="n"/>
      <c r="P248" s="1" t="n"/>
      <c r="Q248" s="1" t="n"/>
      <c r="R248" s="1" t="n"/>
    </row>
    <row r="249" ht="15.75" customHeight="1" s="143">
      <c r="B249" s="1" t="n"/>
      <c r="C249" s="1" t="n"/>
      <c r="D249" s="1" t="n"/>
      <c r="E249" s="1" t="n"/>
      <c r="F249" s="1" t="n"/>
      <c r="H249" s="1" t="n"/>
      <c r="I249" s="1" t="n"/>
      <c r="J249" s="1" t="n"/>
      <c r="K249" s="1" t="n"/>
      <c r="L249" s="1" t="n"/>
      <c r="N249" s="1" t="n"/>
      <c r="O249" s="1" t="n"/>
      <c r="P249" s="1" t="n"/>
      <c r="Q249" s="1" t="n"/>
      <c r="R249" s="1" t="n"/>
    </row>
    <row r="250" ht="15.75" customHeight="1" s="143">
      <c r="B250" s="1" t="n"/>
      <c r="C250" s="1" t="n"/>
      <c r="D250" s="1" t="n"/>
      <c r="E250" s="1" t="n"/>
      <c r="F250" s="1" t="n"/>
      <c r="H250" s="1" t="n"/>
      <c r="I250" s="1" t="n"/>
      <c r="J250" s="1" t="n"/>
      <c r="K250" s="1" t="n"/>
      <c r="L250" s="1" t="n"/>
      <c r="N250" s="1" t="n"/>
      <c r="O250" s="1" t="n"/>
      <c r="P250" s="1" t="n"/>
      <c r="Q250" s="1" t="n"/>
      <c r="R250" s="1" t="n"/>
    </row>
    <row r="251" ht="15.75" customHeight="1" s="143">
      <c r="B251" s="1" t="n"/>
      <c r="C251" s="1" t="n"/>
      <c r="D251" s="1" t="n"/>
      <c r="E251" s="1" t="n"/>
      <c r="F251" s="1" t="n"/>
      <c r="H251" s="1" t="n"/>
      <c r="I251" s="1" t="n"/>
      <c r="J251" s="1" t="n"/>
      <c r="K251" s="1" t="n"/>
      <c r="L251" s="1" t="n"/>
      <c r="N251" s="1" t="n"/>
      <c r="O251" s="1" t="n"/>
      <c r="P251" s="1" t="n"/>
      <c r="Q251" s="1" t="n"/>
      <c r="R251" s="1" t="n"/>
    </row>
    <row r="252" ht="15.75" customHeight="1" s="143">
      <c r="B252" s="1" t="n"/>
      <c r="C252" s="1" t="n"/>
      <c r="D252" s="1" t="n"/>
      <c r="E252" s="1" t="n"/>
      <c r="F252" s="1" t="n"/>
      <c r="H252" s="1" t="n"/>
      <c r="I252" s="1" t="n"/>
      <c r="J252" s="1" t="n"/>
      <c r="K252" s="1" t="n"/>
      <c r="L252" s="1" t="n"/>
      <c r="N252" s="1" t="n"/>
      <c r="O252" s="1" t="n"/>
      <c r="P252" s="1" t="n"/>
      <c r="Q252" s="1" t="n"/>
      <c r="R252" s="1" t="n"/>
    </row>
    <row r="253" ht="15.75" customHeight="1" s="143">
      <c r="B253" s="1" t="n"/>
      <c r="C253" s="1" t="n"/>
      <c r="D253" s="1" t="n"/>
      <c r="E253" s="1" t="n"/>
      <c r="F253" s="1" t="n"/>
      <c r="H253" s="1" t="n"/>
      <c r="I253" s="1" t="n"/>
      <c r="J253" s="1" t="n"/>
      <c r="K253" s="1" t="n"/>
      <c r="L253" s="1" t="n"/>
      <c r="N253" s="1" t="n"/>
      <c r="O253" s="1" t="n"/>
      <c r="P253" s="1" t="n"/>
      <c r="Q253" s="1" t="n"/>
      <c r="R253" s="1" t="n"/>
    </row>
    <row r="254" ht="15.75" customHeight="1" s="143">
      <c r="B254" s="1" t="n"/>
      <c r="C254" s="1" t="n"/>
      <c r="D254" s="1" t="n"/>
      <c r="E254" s="1" t="n"/>
      <c r="F254" s="1" t="n"/>
      <c r="H254" s="1" t="n"/>
      <c r="I254" s="1" t="n"/>
      <c r="J254" s="1" t="n"/>
      <c r="K254" s="1" t="n"/>
      <c r="L254" s="1" t="n"/>
      <c r="N254" s="1" t="n"/>
      <c r="O254" s="1" t="n"/>
      <c r="P254" s="1" t="n"/>
      <c r="Q254" s="1" t="n"/>
      <c r="R254" s="1" t="n"/>
    </row>
    <row r="255" ht="15.75" customHeight="1" s="143">
      <c r="B255" s="1" t="n"/>
      <c r="C255" s="1" t="n"/>
      <c r="D255" s="1" t="n"/>
      <c r="E255" s="1" t="n"/>
      <c r="F255" s="1" t="n"/>
      <c r="H255" s="1" t="n"/>
      <c r="I255" s="1" t="n"/>
      <c r="J255" s="1" t="n"/>
      <c r="K255" s="1" t="n"/>
      <c r="L255" s="1" t="n"/>
      <c r="N255" s="1" t="n"/>
      <c r="O255" s="1" t="n"/>
      <c r="P255" s="1" t="n"/>
      <c r="Q255" s="1" t="n"/>
      <c r="R255" s="1" t="n"/>
    </row>
    <row r="256" ht="15.75" customHeight="1" s="143">
      <c r="B256" s="1" t="n"/>
      <c r="C256" s="1" t="n"/>
      <c r="D256" s="1" t="n"/>
      <c r="E256" s="1" t="n"/>
      <c r="F256" s="1" t="n"/>
      <c r="H256" s="1" t="n"/>
      <c r="I256" s="1" t="n"/>
      <c r="J256" s="1" t="n"/>
      <c r="K256" s="1" t="n"/>
      <c r="L256" s="1" t="n"/>
      <c r="N256" s="1" t="n"/>
      <c r="O256" s="1" t="n"/>
      <c r="P256" s="1" t="n"/>
      <c r="Q256" s="1" t="n"/>
      <c r="R256" s="1" t="n"/>
    </row>
    <row r="257" ht="15.75" customHeight="1" s="143">
      <c r="B257" s="1" t="n"/>
      <c r="C257" s="1" t="n"/>
      <c r="D257" s="1" t="n"/>
      <c r="E257" s="1" t="n"/>
      <c r="F257" s="1" t="n"/>
      <c r="H257" s="1" t="n"/>
      <c r="I257" s="1" t="n"/>
      <c r="J257" s="1" t="n"/>
      <c r="K257" s="1" t="n"/>
      <c r="L257" s="1" t="n"/>
      <c r="N257" s="1" t="n"/>
      <c r="O257" s="1" t="n"/>
      <c r="P257" s="1" t="n"/>
      <c r="Q257" s="1" t="n"/>
      <c r="R257" s="1" t="n"/>
    </row>
    <row r="258" ht="15.75" customHeight="1" s="143">
      <c r="B258" s="1" t="n"/>
      <c r="C258" s="1" t="n"/>
      <c r="D258" s="1" t="n"/>
      <c r="E258" s="1" t="n"/>
      <c r="F258" s="1" t="n"/>
      <c r="H258" s="1" t="n"/>
      <c r="I258" s="1" t="n"/>
      <c r="J258" s="1" t="n"/>
      <c r="K258" s="1" t="n"/>
      <c r="L258" s="1" t="n"/>
      <c r="N258" s="1" t="n"/>
      <c r="O258" s="1" t="n"/>
      <c r="P258" s="1" t="n"/>
      <c r="Q258" s="1" t="n"/>
      <c r="R258" s="1" t="n"/>
    </row>
    <row r="259" ht="15.75" customHeight="1" s="143">
      <c r="B259" s="1" t="n"/>
      <c r="C259" s="1" t="n"/>
      <c r="D259" s="1" t="n"/>
      <c r="E259" s="1" t="n"/>
      <c r="F259" s="1" t="n"/>
      <c r="H259" s="1" t="n"/>
      <c r="I259" s="1" t="n"/>
      <c r="J259" s="1" t="n"/>
      <c r="K259" s="1" t="n"/>
      <c r="L259" s="1" t="n"/>
      <c r="N259" s="1" t="n"/>
      <c r="O259" s="1" t="n"/>
      <c r="P259" s="1" t="n"/>
      <c r="Q259" s="1" t="n"/>
      <c r="R259" s="1" t="n"/>
    </row>
    <row r="260" ht="15.75" customHeight="1" s="143">
      <c r="B260" s="1" t="n"/>
      <c r="C260" s="1" t="n"/>
      <c r="D260" s="1" t="n"/>
      <c r="E260" s="1" t="n"/>
      <c r="F260" s="1" t="n"/>
      <c r="H260" s="1" t="n"/>
      <c r="I260" s="1" t="n"/>
      <c r="J260" s="1" t="n"/>
      <c r="K260" s="1" t="n"/>
      <c r="L260" s="1" t="n"/>
      <c r="N260" s="1" t="n"/>
      <c r="O260" s="1" t="n"/>
      <c r="P260" s="1" t="n"/>
      <c r="Q260" s="1" t="n"/>
      <c r="R260" s="1" t="n"/>
    </row>
    <row r="261" ht="15.75" customHeight="1" s="143">
      <c r="B261" s="1" t="n"/>
      <c r="C261" s="1" t="n"/>
      <c r="D261" s="1" t="n"/>
      <c r="E261" s="1" t="n"/>
      <c r="F261" s="1" t="n"/>
      <c r="H261" s="1" t="n"/>
      <c r="I261" s="1" t="n"/>
      <c r="J261" s="1" t="n"/>
      <c r="K261" s="1" t="n"/>
      <c r="L261" s="1" t="n"/>
      <c r="N261" s="1" t="n"/>
      <c r="O261" s="1" t="n"/>
      <c r="P261" s="1" t="n"/>
      <c r="Q261" s="1" t="n"/>
      <c r="R261" s="1" t="n"/>
    </row>
    <row r="262" ht="15.75" customHeight="1" s="143">
      <c r="B262" s="1" t="n"/>
      <c r="C262" s="1" t="n"/>
      <c r="D262" s="1" t="n"/>
      <c r="E262" s="1" t="n"/>
      <c r="F262" s="1" t="n"/>
      <c r="H262" s="1" t="n"/>
      <c r="I262" s="1" t="n"/>
      <c r="J262" s="1" t="n"/>
      <c r="K262" s="1" t="n"/>
      <c r="L262" s="1" t="n"/>
      <c r="N262" s="1" t="n"/>
      <c r="O262" s="1" t="n"/>
      <c r="P262" s="1" t="n"/>
      <c r="Q262" s="1" t="n"/>
      <c r="R262" s="1" t="n"/>
    </row>
    <row r="263" ht="15.75" customHeight="1" s="143">
      <c r="B263" s="1" t="n"/>
      <c r="C263" s="1" t="n"/>
      <c r="D263" s="1" t="n"/>
      <c r="E263" s="1" t="n"/>
      <c r="F263" s="1" t="n"/>
      <c r="H263" s="1" t="n"/>
      <c r="I263" s="1" t="n"/>
      <c r="J263" s="1" t="n"/>
      <c r="K263" s="1" t="n"/>
      <c r="L263" s="1" t="n"/>
      <c r="N263" s="1" t="n"/>
      <c r="O263" s="1" t="n"/>
      <c r="P263" s="1" t="n"/>
      <c r="Q263" s="1" t="n"/>
      <c r="R263" s="1" t="n"/>
    </row>
    <row r="264" ht="15.75" customHeight="1" s="143">
      <c r="B264" s="1" t="n"/>
      <c r="C264" s="1" t="n"/>
      <c r="D264" s="1" t="n"/>
      <c r="E264" s="1" t="n"/>
      <c r="F264" s="1" t="n"/>
      <c r="H264" s="1" t="n"/>
      <c r="I264" s="1" t="n"/>
      <c r="J264" s="1" t="n"/>
      <c r="K264" s="1" t="n"/>
      <c r="L264" s="1" t="n"/>
      <c r="N264" s="1" t="n"/>
      <c r="O264" s="1" t="n"/>
      <c r="P264" s="1" t="n"/>
      <c r="Q264" s="1" t="n"/>
      <c r="R264" s="1" t="n"/>
    </row>
    <row r="265" ht="15.75" customHeight="1" s="143">
      <c r="B265" s="1" t="n"/>
      <c r="C265" s="1" t="n"/>
      <c r="D265" s="1" t="n"/>
      <c r="E265" s="1" t="n"/>
      <c r="F265" s="1" t="n"/>
      <c r="H265" s="1" t="n"/>
      <c r="I265" s="1" t="n"/>
      <c r="J265" s="1" t="n"/>
      <c r="K265" s="1" t="n"/>
      <c r="L265" s="1" t="n"/>
      <c r="N265" s="1" t="n"/>
      <c r="O265" s="1" t="n"/>
      <c r="P265" s="1" t="n"/>
      <c r="Q265" s="1" t="n"/>
      <c r="R265" s="1" t="n"/>
    </row>
    <row r="266" ht="15.75" customHeight="1" s="143">
      <c r="B266" s="1" t="n"/>
      <c r="C266" s="1" t="n"/>
      <c r="D266" s="1" t="n"/>
      <c r="E266" s="1" t="n"/>
      <c r="F266" s="1" t="n"/>
      <c r="H266" s="1" t="n"/>
      <c r="I266" s="1" t="n"/>
      <c r="J266" s="1" t="n"/>
      <c r="K266" s="1" t="n"/>
      <c r="L266" s="1" t="n"/>
      <c r="N266" s="1" t="n"/>
      <c r="O266" s="1" t="n"/>
      <c r="P266" s="1" t="n"/>
      <c r="Q266" s="1" t="n"/>
      <c r="R266" s="1" t="n"/>
    </row>
    <row r="267" ht="15.75" customHeight="1" s="143">
      <c r="B267" s="1" t="n"/>
      <c r="C267" s="1" t="n"/>
      <c r="D267" s="1" t="n"/>
      <c r="E267" s="1" t="n"/>
      <c r="F267" s="1" t="n"/>
      <c r="H267" s="1" t="n"/>
      <c r="I267" s="1" t="n"/>
      <c r="J267" s="1" t="n"/>
      <c r="K267" s="1" t="n"/>
      <c r="L267" s="1" t="n"/>
      <c r="N267" s="1" t="n"/>
      <c r="O267" s="1" t="n"/>
      <c r="P267" s="1" t="n"/>
      <c r="Q267" s="1" t="n"/>
      <c r="R267" s="1" t="n"/>
    </row>
    <row r="268" ht="15.75" customHeight="1" s="143">
      <c r="B268" s="1" t="n"/>
      <c r="C268" s="1" t="n"/>
      <c r="D268" s="1" t="n"/>
      <c r="E268" s="1" t="n"/>
      <c r="F268" s="1" t="n"/>
      <c r="H268" s="1" t="n"/>
      <c r="I268" s="1" t="n"/>
      <c r="J268" s="1" t="n"/>
      <c r="K268" s="1" t="n"/>
      <c r="L268" s="1" t="n"/>
      <c r="N268" s="1" t="n"/>
      <c r="O268" s="1" t="n"/>
      <c r="P268" s="1" t="n"/>
      <c r="Q268" s="1" t="n"/>
      <c r="R268" s="1" t="n"/>
    </row>
    <row r="269" ht="15.75" customHeight="1" s="143">
      <c r="B269" s="1" t="n"/>
      <c r="C269" s="1" t="n"/>
      <c r="D269" s="1" t="n"/>
      <c r="E269" s="1" t="n"/>
      <c r="F269" s="1" t="n"/>
      <c r="H269" s="1" t="n"/>
      <c r="I269" s="1" t="n"/>
      <c r="J269" s="1" t="n"/>
      <c r="K269" s="1" t="n"/>
      <c r="L269" s="1" t="n"/>
      <c r="N269" s="1" t="n"/>
      <c r="O269" s="1" t="n"/>
      <c r="P269" s="1" t="n"/>
      <c r="Q269" s="1" t="n"/>
      <c r="R269" s="1" t="n"/>
    </row>
    <row r="270" ht="15.75" customHeight="1" s="143">
      <c r="B270" s="1" t="n"/>
      <c r="C270" s="1" t="n"/>
      <c r="D270" s="1" t="n"/>
      <c r="E270" s="1" t="n"/>
      <c r="F270" s="1" t="n"/>
      <c r="H270" s="1" t="n"/>
      <c r="I270" s="1" t="n"/>
      <c r="J270" s="1" t="n"/>
      <c r="K270" s="1" t="n"/>
      <c r="L270" s="1" t="n"/>
      <c r="N270" s="1" t="n"/>
      <c r="O270" s="1" t="n"/>
      <c r="P270" s="1" t="n"/>
      <c r="Q270" s="1" t="n"/>
      <c r="R270" s="1" t="n"/>
    </row>
    <row r="271" ht="15.75" customHeight="1" s="143">
      <c r="B271" s="1" t="n"/>
      <c r="C271" s="1" t="n"/>
      <c r="D271" s="1" t="n"/>
      <c r="E271" s="1" t="n"/>
      <c r="F271" s="1" t="n"/>
      <c r="H271" s="1" t="n"/>
      <c r="I271" s="1" t="n"/>
      <c r="J271" s="1" t="n"/>
      <c r="K271" s="1" t="n"/>
      <c r="L271" s="1" t="n"/>
      <c r="N271" s="1" t="n"/>
      <c r="O271" s="1" t="n"/>
      <c r="P271" s="1" t="n"/>
      <c r="Q271" s="1" t="n"/>
      <c r="R271" s="1" t="n"/>
    </row>
    <row r="272" ht="15.75" customHeight="1" s="143">
      <c r="B272" s="1" t="n"/>
      <c r="C272" s="1" t="n"/>
      <c r="D272" s="1" t="n"/>
      <c r="E272" s="1" t="n"/>
      <c r="F272" s="1" t="n"/>
      <c r="H272" s="1" t="n"/>
      <c r="I272" s="1" t="n"/>
      <c r="J272" s="1" t="n"/>
      <c r="K272" s="1" t="n"/>
      <c r="L272" s="1" t="n"/>
      <c r="N272" s="1" t="n"/>
      <c r="O272" s="1" t="n"/>
      <c r="P272" s="1" t="n"/>
      <c r="Q272" s="1" t="n"/>
      <c r="R272" s="1" t="n"/>
    </row>
    <row r="273" ht="15.75" customHeight="1" s="143">
      <c r="B273" s="1" t="n"/>
      <c r="C273" s="1" t="n"/>
      <c r="D273" s="1" t="n"/>
      <c r="E273" s="1" t="n"/>
      <c r="F273" s="1" t="n"/>
      <c r="H273" s="1" t="n"/>
      <c r="I273" s="1" t="n"/>
      <c r="J273" s="1" t="n"/>
      <c r="K273" s="1" t="n"/>
      <c r="L273" s="1" t="n"/>
      <c r="N273" s="1" t="n"/>
      <c r="O273" s="1" t="n"/>
      <c r="P273" s="1" t="n"/>
      <c r="Q273" s="1" t="n"/>
      <c r="R273" s="1" t="n"/>
    </row>
    <row r="274" ht="15.75" customHeight="1" s="143">
      <c r="B274" s="1" t="n"/>
      <c r="C274" s="1" t="n"/>
      <c r="D274" s="1" t="n"/>
      <c r="E274" s="1" t="n"/>
      <c r="F274" s="1" t="n"/>
      <c r="H274" s="1" t="n"/>
      <c r="I274" s="1" t="n"/>
      <c r="J274" s="1" t="n"/>
      <c r="K274" s="1" t="n"/>
      <c r="L274" s="1" t="n"/>
      <c r="N274" s="1" t="n"/>
      <c r="O274" s="1" t="n"/>
      <c r="P274" s="1" t="n"/>
      <c r="Q274" s="1" t="n"/>
      <c r="R274" s="1" t="n"/>
    </row>
    <row r="275" ht="15.75" customHeight="1" s="143">
      <c r="B275" s="1" t="n"/>
      <c r="C275" s="1" t="n"/>
      <c r="D275" s="1" t="n"/>
      <c r="E275" s="1" t="n"/>
      <c r="F275" s="1" t="n"/>
      <c r="H275" s="1" t="n"/>
      <c r="I275" s="1" t="n"/>
      <c r="J275" s="1" t="n"/>
      <c r="K275" s="1" t="n"/>
      <c r="L275" s="1" t="n"/>
      <c r="N275" s="1" t="n"/>
      <c r="O275" s="1" t="n"/>
      <c r="P275" s="1" t="n"/>
      <c r="Q275" s="1" t="n"/>
      <c r="R275" s="1" t="n"/>
    </row>
    <row r="276" ht="15.75" customHeight="1" s="143">
      <c r="B276" s="1" t="n"/>
      <c r="C276" s="1" t="n"/>
      <c r="D276" s="1" t="n"/>
      <c r="E276" s="1" t="n"/>
      <c r="F276" s="1" t="n"/>
      <c r="H276" s="1" t="n"/>
      <c r="I276" s="1" t="n"/>
      <c r="J276" s="1" t="n"/>
      <c r="K276" s="1" t="n"/>
      <c r="L276" s="1" t="n"/>
      <c r="N276" s="1" t="n"/>
      <c r="O276" s="1" t="n"/>
      <c r="P276" s="1" t="n"/>
      <c r="Q276" s="1" t="n"/>
      <c r="R276" s="1" t="n"/>
    </row>
    <row r="277" ht="15.75" customHeight="1" s="143">
      <c r="B277" s="1" t="n"/>
      <c r="C277" s="1" t="n"/>
      <c r="D277" s="1" t="n"/>
      <c r="E277" s="1" t="n"/>
      <c r="F277" s="1" t="n"/>
      <c r="H277" s="1" t="n"/>
      <c r="I277" s="1" t="n"/>
      <c r="J277" s="1" t="n"/>
      <c r="K277" s="1" t="n"/>
      <c r="L277" s="1" t="n"/>
      <c r="N277" s="1" t="n"/>
      <c r="O277" s="1" t="n"/>
      <c r="P277" s="1" t="n"/>
      <c r="Q277" s="1" t="n"/>
      <c r="R277" s="1" t="n"/>
    </row>
    <row r="278" ht="15.75" customHeight="1" s="143">
      <c r="B278" s="1" t="n"/>
      <c r="C278" s="1" t="n"/>
      <c r="D278" s="1" t="n"/>
      <c r="E278" s="1" t="n"/>
      <c r="F278" s="1" t="n"/>
      <c r="H278" s="1" t="n"/>
      <c r="I278" s="1" t="n"/>
      <c r="J278" s="1" t="n"/>
      <c r="K278" s="1" t="n"/>
      <c r="L278" s="1" t="n"/>
      <c r="N278" s="1" t="n"/>
      <c r="O278" s="1" t="n"/>
      <c r="P278" s="1" t="n"/>
      <c r="Q278" s="1" t="n"/>
      <c r="R278" s="1" t="n"/>
    </row>
    <row r="279" ht="15.75" customHeight="1" s="143">
      <c r="B279" s="1" t="n"/>
      <c r="C279" s="1" t="n"/>
      <c r="D279" s="1" t="n"/>
      <c r="E279" s="1" t="n"/>
      <c r="F279" s="1" t="n"/>
      <c r="H279" s="1" t="n"/>
      <c r="I279" s="1" t="n"/>
      <c r="J279" s="1" t="n"/>
      <c r="K279" s="1" t="n"/>
      <c r="L279" s="1" t="n"/>
      <c r="N279" s="1" t="n"/>
      <c r="O279" s="1" t="n"/>
      <c r="P279" s="1" t="n"/>
      <c r="Q279" s="1" t="n"/>
      <c r="R279" s="1" t="n"/>
    </row>
    <row r="280" ht="15.75" customHeight="1" s="143">
      <c r="B280" s="1" t="n"/>
      <c r="C280" s="1" t="n"/>
      <c r="D280" s="1" t="n"/>
      <c r="E280" s="1" t="n"/>
      <c r="F280" s="1" t="n"/>
      <c r="H280" s="1" t="n"/>
      <c r="I280" s="1" t="n"/>
      <c r="J280" s="1" t="n"/>
      <c r="K280" s="1" t="n"/>
      <c r="L280" s="1" t="n"/>
      <c r="N280" s="1" t="n"/>
      <c r="O280" s="1" t="n"/>
      <c r="P280" s="1" t="n"/>
      <c r="Q280" s="1" t="n"/>
      <c r="R280" s="1" t="n"/>
    </row>
    <row r="281" ht="15.75" customHeight="1" s="143">
      <c r="B281" s="1" t="n"/>
      <c r="C281" s="1" t="n"/>
      <c r="D281" s="1" t="n"/>
      <c r="E281" s="1" t="n"/>
      <c r="F281" s="1" t="n"/>
      <c r="H281" s="1" t="n"/>
      <c r="I281" s="1" t="n"/>
      <c r="J281" s="1" t="n"/>
      <c r="K281" s="1" t="n"/>
      <c r="L281" s="1" t="n"/>
      <c r="N281" s="1" t="n"/>
      <c r="O281" s="1" t="n"/>
      <c r="P281" s="1" t="n"/>
      <c r="Q281" s="1" t="n"/>
      <c r="R281" s="1" t="n"/>
    </row>
    <row r="282" ht="15.75" customHeight="1" s="143">
      <c r="B282" s="1" t="n"/>
      <c r="C282" s="1" t="n"/>
      <c r="D282" s="1" t="n"/>
      <c r="E282" s="1" t="n"/>
      <c r="F282" s="1" t="n"/>
      <c r="H282" s="1" t="n"/>
      <c r="I282" s="1" t="n"/>
      <c r="J282" s="1" t="n"/>
      <c r="K282" s="1" t="n"/>
      <c r="L282" s="1" t="n"/>
      <c r="N282" s="1" t="n"/>
      <c r="O282" s="1" t="n"/>
      <c r="P282" s="1" t="n"/>
      <c r="Q282" s="1" t="n"/>
      <c r="R282" s="1" t="n"/>
    </row>
    <row r="283" ht="15.75" customHeight="1" s="143">
      <c r="B283" s="1" t="n"/>
      <c r="C283" s="1" t="n"/>
      <c r="D283" s="1" t="n"/>
      <c r="E283" s="1" t="n"/>
      <c r="F283" s="1" t="n"/>
      <c r="H283" s="1" t="n"/>
      <c r="I283" s="1" t="n"/>
      <c r="J283" s="1" t="n"/>
      <c r="K283" s="1" t="n"/>
      <c r="L283" s="1" t="n"/>
      <c r="N283" s="1" t="n"/>
      <c r="O283" s="1" t="n"/>
      <c r="P283" s="1" t="n"/>
      <c r="Q283" s="1" t="n"/>
      <c r="R283" s="1" t="n"/>
    </row>
    <row r="284" ht="15.75" customHeight="1" s="143">
      <c r="B284" s="1" t="n"/>
      <c r="C284" s="1" t="n"/>
      <c r="D284" s="1" t="n"/>
      <c r="E284" s="1" t="n"/>
      <c r="F284" s="1" t="n"/>
      <c r="H284" s="1" t="n"/>
      <c r="I284" s="1" t="n"/>
      <c r="J284" s="1" t="n"/>
      <c r="K284" s="1" t="n"/>
      <c r="L284" s="1" t="n"/>
      <c r="N284" s="1" t="n"/>
      <c r="O284" s="1" t="n"/>
      <c r="P284" s="1" t="n"/>
      <c r="Q284" s="1" t="n"/>
      <c r="R284" s="1" t="n"/>
    </row>
    <row r="285" ht="15.75" customHeight="1" s="143">
      <c r="B285" s="1" t="n"/>
      <c r="C285" s="1" t="n"/>
      <c r="D285" s="1" t="n"/>
      <c r="E285" s="1" t="n"/>
      <c r="F285" s="1" t="n"/>
      <c r="H285" s="1" t="n"/>
      <c r="I285" s="1" t="n"/>
      <c r="J285" s="1" t="n"/>
      <c r="K285" s="1" t="n"/>
      <c r="L285" s="1" t="n"/>
      <c r="N285" s="1" t="n"/>
      <c r="O285" s="1" t="n"/>
      <c r="P285" s="1" t="n"/>
      <c r="Q285" s="1" t="n"/>
      <c r="R285" s="1" t="n"/>
    </row>
    <row r="286" ht="15.75" customHeight="1" s="143">
      <c r="B286" s="1" t="n"/>
      <c r="C286" s="1" t="n"/>
      <c r="D286" s="1" t="n"/>
      <c r="E286" s="1" t="n"/>
      <c r="F286" s="1" t="n"/>
      <c r="H286" s="1" t="n"/>
      <c r="I286" s="1" t="n"/>
      <c r="J286" s="1" t="n"/>
      <c r="K286" s="1" t="n"/>
      <c r="L286" s="1" t="n"/>
      <c r="N286" s="1" t="n"/>
      <c r="O286" s="1" t="n"/>
      <c r="P286" s="1" t="n"/>
      <c r="Q286" s="1" t="n"/>
      <c r="R286" s="1" t="n"/>
    </row>
    <row r="287" ht="15.75" customHeight="1" s="143">
      <c r="B287" s="1" t="n"/>
      <c r="C287" s="1" t="n"/>
      <c r="D287" s="1" t="n"/>
      <c r="E287" s="1" t="n"/>
      <c r="F287" s="1" t="n"/>
      <c r="H287" s="1" t="n"/>
      <c r="I287" s="1" t="n"/>
      <c r="J287" s="1" t="n"/>
      <c r="K287" s="1" t="n"/>
      <c r="L287" s="1" t="n"/>
      <c r="N287" s="1" t="n"/>
      <c r="O287" s="1" t="n"/>
      <c r="P287" s="1" t="n"/>
      <c r="Q287" s="1" t="n"/>
      <c r="R287" s="1" t="n"/>
    </row>
    <row r="288" ht="15.75" customHeight="1" s="143">
      <c r="B288" s="1" t="n"/>
      <c r="C288" s="1" t="n"/>
      <c r="D288" s="1" t="n"/>
      <c r="E288" s="1" t="n"/>
      <c r="F288" s="1" t="n"/>
      <c r="H288" s="1" t="n"/>
      <c r="I288" s="1" t="n"/>
      <c r="J288" s="1" t="n"/>
      <c r="K288" s="1" t="n"/>
      <c r="L288" s="1" t="n"/>
      <c r="N288" s="1" t="n"/>
      <c r="O288" s="1" t="n"/>
      <c r="P288" s="1" t="n"/>
      <c r="Q288" s="1" t="n"/>
      <c r="R288" s="1" t="n"/>
    </row>
    <row r="289" ht="15.75" customHeight="1" s="143">
      <c r="B289" s="1" t="n"/>
      <c r="C289" s="1" t="n"/>
      <c r="D289" s="1" t="n"/>
      <c r="E289" s="1" t="n"/>
      <c r="F289" s="1" t="n"/>
      <c r="H289" s="1" t="n"/>
      <c r="I289" s="1" t="n"/>
      <c r="J289" s="1" t="n"/>
      <c r="K289" s="1" t="n"/>
      <c r="L289" s="1" t="n"/>
      <c r="N289" s="1" t="n"/>
      <c r="O289" s="1" t="n"/>
      <c r="P289" s="1" t="n"/>
      <c r="Q289" s="1" t="n"/>
      <c r="R289" s="1" t="n"/>
    </row>
    <row r="290" ht="15.75" customHeight="1" s="143">
      <c r="B290" s="1" t="n"/>
      <c r="C290" s="1" t="n"/>
      <c r="D290" s="1" t="n"/>
      <c r="E290" s="1" t="n"/>
      <c r="F290" s="1" t="n"/>
      <c r="H290" s="1" t="n"/>
      <c r="I290" s="1" t="n"/>
      <c r="J290" s="1" t="n"/>
      <c r="K290" s="1" t="n"/>
      <c r="L290" s="1" t="n"/>
      <c r="N290" s="1" t="n"/>
      <c r="O290" s="1" t="n"/>
      <c r="P290" s="1" t="n"/>
      <c r="Q290" s="1" t="n"/>
      <c r="R290" s="1" t="n"/>
    </row>
    <row r="291" ht="15.75" customHeight="1" s="143">
      <c r="B291" s="1" t="n"/>
      <c r="C291" s="1" t="n"/>
      <c r="D291" s="1" t="n"/>
      <c r="E291" s="1" t="n"/>
      <c r="F291" s="1" t="n"/>
      <c r="H291" s="1" t="n"/>
      <c r="I291" s="1" t="n"/>
      <c r="J291" s="1" t="n"/>
      <c r="K291" s="1" t="n"/>
      <c r="L291" s="1" t="n"/>
      <c r="N291" s="1" t="n"/>
      <c r="O291" s="1" t="n"/>
      <c r="P291" s="1" t="n"/>
      <c r="Q291" s="1" t="n"/>
      <c r="R291" s="1" t="n"/>
    </row>
    <row r="292" ht="15.75" customHeight="1" s="143">
      <c r="B292" s="1" t="n"/>
      <c r="C292" s="1" t="n"/>
      <c r="D292" s="1" t="n"/>
      <c r="E292" s="1" t="n"/>
      <c r="F292" s="1" t="n"/>
      <c r="H292" s="1" t="n"/>
      <c r="I292" s="1" t="n"/>
      <c r="J292" s="1" t="n"/>
      <c r="K292" s="1" t="n"/>
      <c r="L292" s="1" t="n"/>
      <c r="N292" s="1" t="n"/>
      <c r="O292" s="1" t="n"/>
      <c r="P292" s="1" t="n"/>
      <c r="Q292" s="1" t="n"/>
      <c r="R292" s="1" t="n"/>
    </row>
    <row r="293" ht="15.75" customHeight="1" s="143">
      <c r="B293" s="1" t="n"/>
      <c r="C293" s="1" t="n"/>
      <c r="D293" s="1" t="n"/>
      <c r="E293" s="1" t="n"/>
      <c r="F293" s="1" t="n"/>
      <c r="H293" s="1" t="n"/>
      <c r="I293" s="1" t="n"/>
      <c r="J293" s="1" t="n"/>
      <c r="K293" s="1" t="n"/>
      <c r="L293" s="1" t="n"/>
      <c r="N293" s="1" t="n"/>
      <c r="O293" s="1" t="n"/>
      <c r="P293" s="1" t="n"/>
      <c r="Q293" s="1" t="n"/>
      <c r="R293" s="1" t="n"/>
    </row>
    <row r="294" ht="15.75" customHeight="1" s="143">
      <c r="B294" s="1" t="n"/>
      <c r="C294" s="1" t="n"/>
      <c r="D294" s="1" t="n"/>
      <c r="E294" s="1" t="n"/>
      <c r="F294" s="1" t="n"/>
      <c r="H294" s="1" t="n"/>
      <c r="I294" s="1" t="n"/>
      <c r="J294" s="1" t="n"/>
      <c r="K294" s="1" t="n"/>
      <c r="L294" s="1" t="n"/>
      <c r="N294" s="1" t="n"/>
      <c r="O294" s="1" t="n"/>
      <c r="P294" s="1" t="n"/>
      <c r="Q294" s="1" t="n"/>
      <c r="R294" s="1" t="n"/>
    </row>
    <row r="295" ht="15.75" customHeight="1" s="143">
      <c r="B295" s="1" t="n"/>
      <c r="C295" s="1" t="n"/>
      <c r="D295" s="1" t="n"/>
      <c r="E295" s="1" t="n"/>
      <c r="F295" s="1" t="n"/>
      <c r="H295" s="1" t="n"/>
      <c r="I295" s="1" t="n"/>
      <c r="J295" s="1" t="n"/>
      <c r="K295" s="1" t="n"/>
      <c r="L295" s="1" t="n"/>
      <c r="N295" s="1" t="n"/>
      <c r="O295" s="1" t="n"/>
      <c r="P295" s="1" t="n"/>
      <c r="Q295" s="1" t="n"/>
      <c r="R295" s="1" t="n"/>
    </row>
    <row r="296" ht="15.75" customHeight="1" s="143">
      <c r="B296" s="1" t="n"/>
      <c r="C296" s="1" t="n"/>
      <c r="D296" s="1" t="n"/>
      <c r="E296" s="1" t="n"/>
      <c r="F296" s="1" t="n"/>
      <c r="H296" s="1" t="n"/>
      <c r="I296" s="1" t="n"/>
      <c r="J296" s="1" t="n"/>
      <c r="K296" s="1" t="n"/>
      <c r="L296" s="1" t="n"/>
      <c r="N296" s="1" t="n"/>
      <c r="O296" s="1" t="n"/>
      <c r="P296" s="1" t="n"/>
      <c r="Q296" s="1" t="n"/>
      <c r="R296" s="1" t="n"/>
    </row>
    <row r="297" ht="15.75" customHeight="1" s="143">
      <c r="B297" s="1" t="n"/>
      <c r="C297" s="1" t="n"/>
      <c r="D297" s="1" t="n"/>
      <c r="E297" s="1" t="n"/>
      <c r="F297" s="1" t="n"/>
      <c r="H297" s="1" t="n"/>
      <c r="I297" s="1" t="n"/>
      <c r="J297" s="1" t="n"/>
      <c r="K297" s="1" t="n"/>
      <c r="L297" s="1" t="n"/>
      <c r="N297" s="1" t="n"/>
      <c r="O297" s="1" t="n"/>
      <c r="P297" s="1" t="n"/>
      <c r="Q297" s="1" t="n"/>
      <c r="R297" s="1" t="n"/>
    </row>
    <row r="298" ht="15.75" customHeight="1" s="143">
      <c r="B298" s="1" t="n"/>
      <c r="C298" s="1" t="n"/>
      <c r="D298" s="1" t="n"/>
      <c r="E298" s="1" t="n"/>
      <c r="F298" s="1" t="n"/>
      <c r="H298" s="1" t="n"/>
      <c r="I298" s="1" t="n"/>
      <c r="J298" s="1" t="n"/>
      <c r="K298" s="1" t="n"/>
      <c r="L298" s="1" t="n"/>
      <c r="N298" s="1" t="n"/>
      <c r="O298" s="1" t="n"/>
      <c r="P298" s="1" t="n"/>
      <c r="Q298" s="1" t="n"/>
      <c r="R298" s="1" t="n"/>
    </row>
    <row r="299" ht="15.75" customHeight="1" s="143">
      <c r="B299" s="1" t="n"/>
      <c r="C299" s="1" t="n"/>
      <c r="D299" s="1" t="n"/>
      <c r="E299" s="1" t="n"/>
      <c r="F299" s="1" t="n"/>
      <c r="H299" s="1" t="n"/>
      <c r="I299" s="1" t="n"/>
      <c r="J299" s="1" t="n"/>
      <c r="K299" s="1" t="n"/>
      <c r="L299" s="1" t="n"/>
      <c r="N299" s="1" t="n"/>
      <c r="O299" s="1" t="n"/>
      <c r="P299" s="1" t="n"/>
      <c r="Q299" s="1" t="n"/>
      <c r="R299" s="1" t="n"/>
    </row>
    <row r="300" ht="15.75" customHeight="1" s="143">
      <c r="B300" s="1" t="n"/>
      <c r="C300" s="1" t="n"/>
      <c r="D300" s="1" t="n"/>
      <c r="E300" s="1" t="n"/>
      <c r="F300" s="1" t="n"/>
      <c r="H300" s="1" t="n"/>
      <c r="I300" s="1" t="n"/>
      <c r="J300" s="1" t="n"/>
      <c r="K300" s="1" t="n"/>
      <c r="L300" s="1" t="n"/>
      <c r="N300" s="1" t="n"/>
      <c r="O300" s="1" t="n"/>
      <c r="P300" s="1" t="n"/>
      <c r="Q300" s="1" t="n"/>
      <c r="R300" s="1" t="n"/>
    </row>
    <row r="301" ht="15.75" customHeight="1" s="143">
      <c r="B301" s="1" t="n"/>
      <c r="C301" s="1" t="n"/>
      <c r="D301" s="1" t="n"/>
      <c r="E301" s="1" t="n"/>
      <c r="F301" s="1" t="n"/>
      <c r="H301" s="1" t="n"/>
      <c r="I301" s="1" t="n"/>
      <c r="J301" s="1" t="n"/>
      <c r="K301" s="1" t="n"/>
      <c r="L301" s="1" t="n"/>
      <c r="N301" s="1" t="n"/>
      <c r="O301" s="1" t="n"/>
      <c r="P301" s="1" t="n"/>
      <c r="Q301" s="1" t="n"/>
      <c r="R301" s="1" t="n"/>
    </row>
    <row r="302" ht="15.75" customHeight="1" s="143">
      <c r="B302" s="1" t="n"/>
      <c r="C302" s="1" t="n"/>
      <c r="D302" s="1" t="n"/>
      <c r="E302" s="1" t="n"/>
      <c r="F302" s="1" t="n"/>
      <c r="H302" s="1" t="n"/>
      <c r="I302" s="1" t="n"/>
      <c r="J302" s="1" t="n"/>
      <c r="K302" s="1" t="n"/>
      <c r="L302" s="1" t="n"/>
      <c r="N302" s="1" t="n"/>
      <c r="O302" s="1" t="n"/>
      <c r="P302" s="1" t="n"/>
      <c r="Q302" s="1" t="n"/>
      <c r="R302" s="1" t="n"/>
    </row>
    <row r="303" ht="15.75" customHeight="1" s="143">
      <c r="B303" s="1" t="n"/>
      <c r="C303" s="1" t="n"/>
      <c r="D303" s="1" t="n"/>
      <c r="E303" s="1" t="n"/>
      <c r="F303" s="1" t="n"/>
      <c r="H303" s="1" t="n"/>
      <c r="I303" s="1" t="n"/>
      <c r="J303" s="1" t="n"/>
      <c r="K303" s="1" t="n"/>
      <c r="L303" s="1" t="n"/>
      <c r="N303" s="1" t="n"/>
      <c r="O303" s="1" t="n"/>
      <c r="P303" s="1" t="n"/>
      <c r="Q303" s="1" t="n"/>
      <c r="R303" s="1" t="n"/>
    </row>
    <row r="304" ht="15.75" customHeight="1" s="143">
      <c r="B304" s="1" t="n"/>
      <c r="C304" s="1" t="n"/>
      <c r="D304" s="1" t="n"/>
      <c r="E304" s="1" t="n"/>
      <c r="F304" s="1" t="n"/>
      <c r="H304" s="1" t="n"/>
      <c r="I304" s="1" t="n"/>
      <c r="J304" s="1" t="n"/>
      <c r="K304" s="1" t="n"/>
      <c r="L304" s="1" t="n"/>
      <c r="N304" s="1" t="n"/>
      <c r="O304" s="1" t="n"/>
      <c r="P304" s="1" t="n"/>
      <c r="Q304" s="1" t="n"/>
      <c r="R304" s="1" t="n"/>
    </row>
    <row r="305" ht="15.75" customHeight="1" s="143">
      <c r="B305" s="1" t="n"/>
      <c r="C305" s="1" t="n"/>
      <c r="D305" s="1" t="n"/>
      <c r="E305" s="1" t="n"/>
      <c r="F305" s="1" t="n"/>
      <c r="H305" s="1" t="n"/>
      <c r="I305" s="1" t="n"/>
      <c r="J305" s="1" t="n"/>
      <c r="K305" s="1" t="n"/>
      <c r="L305" s="1" t="n"/>
      <c r="N305" s="1" t="n"/>
      <c r="O305" s="1" t="n"/>
      <c r="P305" s="1" t="n"/>
      <c r="Q305" s="1" t="n"/>
      <c r="R305" s="1" t="n"/>
    </row>
    <row r="306" ht="15.75" customHeight="1" s="143">
      <c r="B306" s="1" t="n"/>
      <c r="C306" s="1" t="n"/>
      <c r="D306" s="1" t="n"/>
      <c r="E306" s="1" t="n"/>
      <c r="F306" s="1" t="n"/>
      <c r="H306" s="1" t="n"/>
      <c r="I306" s="1" t="n"/>
      <c r="J306" s="1" t="n"/>
      <c r="K306" s="1" t="n"/>
      <c r="L306" s="1" t="n"/>
      <c r="N306" s="1" t="n"/>
      <c r="O306" s="1" t="n"/>
      <c r="P306" s="1" t="n"/>
      <c r="Q306" s="1" t="n"/>
      <c r="R306" s="1" t="n"/>
    </row>
    <row r="307" ht="15.75" customHeight="1" s="143">
      <c r="B307" s="1" t="n"/>
      <c r="C307" s="1" t="n"/>
      <c r="D307" s="1" t="n"/>
      <c r="E307" s="1" t="n"/>
      <c r="F307" s="1" t="n"/>
      <c r="H307" s="1" t="n"/>
      <c r="I307" s="1" t="n"/>
      <c r="J307" s="1" t="n"/>
      <c r="K307" s="1" t="n"/>
      <c r="L307" s="1" t="n"/>
      <c r="N307" s="1" t="n"/>
      <c r="O307" s="1" t="n"/>
      <c r="P307" s="1" t="n"/>
      <c r="Q307" s="1" t="n"/>
      <c r="R307" s="1" t="n"/>
    </row>
    <row r="308" ht="15.75" customHeight="1" s="143">
      <c r="B308" s="1" t="n"/>
      <c r="C308" s="1" t="n"/>
      <c r="D308" s="1" t="n"/>
      <c r="E308" s="1" t="n"/>
      <c r="F308" s="1" t="n"/>
      <c r="H308" s="1" t="n"/>
      <c r="I308" s="1" t="n"/>
      <c r="J308" s="1" t="n"/>
      <c r="K308" s="1" t="n"/>
      <c r="L308" s="1" t="n"/>
      <c r="N308" s="1" t="n"/>
      <c r="O308" s="1" t="n"/>
      <c r="P308" s="1" t="n"/>
      <c r="Q308" s="1" t="n"/>
      <c r="R308" s="1" t="n"/>
    </row>
    <row r="309" ht="15.75" customHeight="1" s="143">
      <c r="B309" s="1" t="n"/>
      <c r="C309" s="1" t="n"/>
      <c r="D309" s="1" t="n"/>
      <c r="E309" s="1" t="n"/>
      <c r="F309" s="1" t="n"/>
      <c r="H309" s="1" t="n"/>
      <c r="I309" s="1" t="n"/>
      <c r="J309" s="1" t="n"/>
      <c r="K309" s="1" t="n"/>
      <c r="L309" s="1" t="n"/>
      <c r="N309" s="1" t="n"/>
      <c r="O309" s="1" t="n"/>
      <c r="P309" s="1" t="n"/>
      <c r="Q309" s="1" t="n"/>
      <c r="R309" s="1" t="n"/>
    </row>
    <row r="310" ht="15.75" customHeight="1" s="143">
      <c r="B310" s="1" t="n"/>
      <c r="C310" s="1" t="n"/>
      <c r="D310" s="1" t="n"/>
      <c r="E310" s="1" t="n"/>
      <c r="F310" s="1" t="n"/>
      <c r="H310" s="1" t="n"/>
      <c r="I310" s="1" t="n"/>
      <c r="J310" s="1" t="n"/>
      <c r="K310" s="1" t="n"/>
      <c r="L310" s="1" t="n"/>
      <c r="N310" s="1" t="n"/>
      <c r="O310" s="1" t="n"/>
      <c r="P310" s="1" t="n"/>
      <c r="Q310" s="1" t="n"/>
      <c r="R310" s="1" t="n"/>
    </row>
    <row r="311" ht="15.75" customHeight="1" s="143">
      <c r="B311" s="1" t="n"/>
      <c r="C311" s="1" t="n"/>
      <c r="D311" s="1" t="n"/>
      <c r="E311" s="1" t="n"/>
      <c r="F311" s="1" t="n"/>
      <c r="H311" s="1" t="n"/>
      <c r="I311" s="1" t="n"/>
      <c r="J311" s="1" t="n"/>
      <c r="K311" s="1" t="n"/>
      <c r="L311" s="1" t="n"/>
      <c r="N311" s="1" t="n"/>
      <c r="O311" s="1" t="n"/>
      <c r="P311" s="1" t="n"/>
      <c r="Q311" s="1" t="n"/>
      <c r="R311" s="1" t="n"/>
    </row>
    <row r="312" ht="15.75" customHeight="1" s="143">
      <c r="B312" s="1" t="n"/>
      <c r="C312" s="1" t="n"/>
      <c r="D312" s="1" t="n"/>
      <c r="E312" s="1" t="n"/>
      <c r="F312" s="1" t="n"/>
      <c r="H312" s="1" t="n"/>
      <c r="I312" s="1" t="n"/>
      <c r="J312" s="1" t="n"/>
      <c r="K312" s="1" t="n"/>
      <c r="L312" s="1" t="n"/>
      <c r="N312" s="1" t="n"/>
      <c r="O312" s="1" t="n"/>
      <c r="P312" s="1" t="n"/>
      <c r="Q312" s="1" t="n"/>
      <c r="R312" s="1" t="n"/>
    </row>
    <row r="313" ht="15.75" customHeight="1" s="143">
      <c r="B313" s="1" t="n"/>
      <c r="C313" s="1" t="n"/>
      <c r="D313" s="1" t="n"/>
      <c r="E313" s="1" t="n"/>
      <c r="F313" s="1" t="n"/>
      <c r="H313" s="1" t="n"/>
      <c r="I313" s="1" t="n"/>
      <c r="J313" s="1" t="n"/>
      <c r="K313" s="1" t="n"/>
      <c r="L313" s="1" t="n"/>
      <c r="N313" s="1" t="n"/>
      <c r="O313" s="1" t="n"/>
      <c r="P313" s="1" t="n"/>
      <c r="Q313" s="1" t="n"/>
      <c r="R313" s="1" t="n"/>
    </row>
    <row r="314" ht="15.75" customHeight="1" s="143">
      <c r="B314" s="1" t="n"/>
      <c r="C314" s="1" t="n"/>
      <c r="D314" s="1" t="n"/>
      <c r="E314" s="1" t="n"/>
      <c r="F314" s="1" t="n"/>
      <c r="H314" s="1" t="n"/>
      <c r="I314" s="1" t="n"/>
      <c r="J314" s="1" t="n"/>
      <c r="K314" s="1" t="n"/>
      <c r="L314" s="1" t="n"/>
      <c r="N314" s="1" t="n"/>
      <c r="O314" s="1" t="n"/>
      <c r="P314" s="1" t="n"/>
      <c r="Q314" s="1" t="n"/>
      <c r="R314" s="1" t="n"/>
    </row>
    <row r="315" ht="15.75" customHeight="1" s="143">
      <c r="B315" s="1" t="n"/>
      <c r="C315" s="1" t="n"/>
      <c r="D315" s="1" t="n"/>
      <c r="E315" s="1" t="n"/>
      <c r="F315" s="1" t="n"/>
      <c r="H315" s="1" t="n"/>
      <c r="I315" s="1" t="n"/>
      <c r="J315" s="1" t="n"/>
      <c r="K315" s="1" t="n"/>
      <c r="L315" s="1" t="n"/>
      <c r="N315" s="1" t="n"/>
      <c r="O315" s="1" t="n"/>
      <c r="P315" s="1" t="n"/>
      <c r="Q315" s="1" t="n"/>
      <c r="R315" s="1" t="n"/>
    </row>
    <row r="316" ht="15.75" customHeight="1" s="143">
      <c r="B316" s="1" t="n"/>
      <c r="C316" s="1" t="n"/>
      <c r="D316" s="1" t="n"/>
      <c r="E316" s="1" t="n"/>
      <c r="F316" s="1" t="n"/>
      <c r="H316" s="1" t="n"/>
      <c r="I316" s="1" t="n"/>
      <c r="J316" s="1" t="n"/>
      <c r="K316" s="1" t="n"/>
      <c r="L316" s="1" t="n"/>
      <c r="N316" s="1" t="n"/>
      <c r="O316" s="1" t="n"/>
      <c r="P316" s="1" t="n"/>
      <c r="Q316" s="1" t="n"/>
      <c r="R316" s="1" t="n"/>
    </row>
    <row r="317" ht="15.75" customHeight="1" s="143">
      <c r="B317" s="1" t="n"/>
      <c r="C317" s="1" t="n"/>
      <c r="D317" s="1" t="n"/>
      <c r="E317" s="1" t="n"/>
      <c r="F317" s="1" t="n"/>
      <c r="H317" s="1" t="n"/>
      <c r="I317" s="1" t="n"/>
      <c r="J317" s="1" t="n"/>
      <c r="K317" s="1" t="n"/>
      <c r="L317" s="1" t="n"/>
      <c r="N317" s="1" t="n"/>
      <c r="O317" s="1" t="n"/>
      <c r="P317" s="1" t="n"/>
      <c r="Q317" s="1" t="n"/>
      <c r="R317" s="1" t="n"/>
    </row>
    <row r="318" ht="15.75" customHeight="1" s="143">
      <c r="B318" s="1" t="n"/>
      <c r="C318" s="1" t="n"/>
      <c r="D318" s="1" t="n"/>
      <c r="E318" s="1" t="n"/>
      <c r="F318" s="1" t="n"/>
      <c r="H318" s="1" t="n"/>
      <c r="I318" s="1" t="n"/>
      <c r="J318" s="1" t="n"/>
      <c r="K318" s="1" t="n"/>
      <c r="L318" s="1" t="n"/>
      <c r="N318" s="1" t="n"/>
      <c r="O318" s="1" t="n"/>
      <c r="P318" s="1" t="n"/>
      <c r="Q318" s="1" t="n"/>
      <c r="R318" s="1" t="n"/>
    </row>
    <row r="319" ht="15.75" customHeight="1" s="143">
      <c r="B319" s="1" t="n"/>
      <c r="C319" s="1" t="n"/>
      <c r="D319" s="1" t="n"/>
      <c r="E319" s="1" t="n"/>
      <c r="F319" s="1" t="n"/>
      <c r="H319" s="1" t="n"/>
      <c r="I319" s="1" t="n"/>
      <c r="J319" s="1" t="n"/>
      <c r="K319" s="1" t="n"/>
      <c r="L319" s="1" t="n"/>
      <c r="N319" s="1" t="n"/>
      <c r="O319" s="1" t="n"/>
      <c r="P319" s="1" t="n"/>
      <c r="Q319" s="1" t="n"/>
      <c r="R319" s="1" t="n"/>
    </row>
    <row r="320" ht="15.75" customHeight="1" s="143">
      <c r="B320" s="1" t="n"/>
      <c r="C320" s="1" t="n"/>
      <c r="D320" s="1" t="n"/>
      <c r="E320" s="1" t="n"/>
      <c r="F320" s="1" t="n"/>
      <c r="H320" s="1" t="n"/>
      <c r="I320" s="1" t="n"/>
      <c r="J320" s="1" t="n"/>
      <c r="K320" s="1" t="n"/>
      <c r="L320" s="1" t="n"/>
      <c r="N320" s="1" t="n"/>
      <c r="O320" s="1" t="n"/>
      <c r="P320" s="1" t="n"/>
      <c r="Q320" s="1" t="n"/>
      <c r="R320" s="1" t="n"/>
    </row>
    <row r="321" ht="15.75" customHeight="1" s="143">
      <c r="B321" s="1" t="n"/>
      <c r="C321" s="1" t="n"/>
      <c r="D321" s="1" t="n"/>
      <c r="E321" s="1" t="n"/>
      <c r="F321" s="1" t="n"/>
      <c r="H321" s="1" t="n"/>
      <c r="I321" s="1" t="n"/>
      <c r="J321" s="1" t="n"/>
      <c r="K321" s="1" t="n"/>
      <c r="L321" s="1" t="n"/>
      <c r="N321" s="1" t="n"/>
      <c r="O321" s="1" t="n"/>
      <c r="P321" s="1" t="n"/>
      <c r="Q321" s="1" t="n"/>
      <c r="R321" s="1" t="n"/>
    </row>
    <row r="322" ht="15.75" customHeight="1" s="143">
      <c r="B322" s="1" t="n"/>
      <c r="C322" s="1" t="n"/>
      <c r="D322" s="1" t="n"/>
      <c r="E322" s="1" t="n"/>
      <c r="F322" s="1" t="n"/>
      <c r="H322" s="1" t="n"/>
      <c r="I322" s="1" t="n"/>
      <c r="J322" s="1" t="n"/>
      <c r="K322" s="1" t="n"/>
      <c r="L322" s="1" t="n"/>
      <c r="N322" s="1" t="n"/>
      <c r="O322" s="1" t="n"/>
      <c r="P322" s="1" t="n"/>
      <c r="Q322" s="1" t="n"/>
      <c r="R322" s="1" t="n"/>
    </row>
    <row r="323" ht="15.75" customHeight="1" s="143">
      <c r="B323" s="1" t="n"/>
      <c r="C323" s="1" t="n"/>
      <c r="D323" s="1" t="n"/>
      <c r="E323" s="1" t="n"/>
      <c r="F323" s="1" t="n"/>
      <c r="H323" s="1" t="n"/>
      <c r="I323" s="1" t="n"/>
      <c r="J323" s="1" t="n"/>
      <c r="K323" s="1" t="n"/>
      <c r="L323" s="1" t="n"/>
      <c r="N323" s="1" t="n"/>
      <c r="O323" s="1" t="n"/>
      <c r="P323" s="1" t="n"/>
      <c r="Q323" s="1" t="n"/>
      <c r="R323" s="1" t="n"/>
    </row>
    <row r="324" ht="15.75" customHeight="1" s="143">
      <c r="B324" s="1" t="n"/>
      <c r="C324" s="1" t="n"/>
      <c r="D324" s="1" t="n"/>
      <c r="E324" s="1" t="n"/>
      <c r="F324" s="1" t="n"/>
      <c r="H324" s="1" t="n"/>
      <c r="I324" s="1" t="n"/>
      <c r="J324" s="1" t="n"/>
      <c r="K324" s="1" t="n"/>
      <c r="L324" s="1" t="n"/>
      <c r="N324" s="1" t="n"/>
      <c r="O324" s="1" t="n"/>
      <c r="P324" s="1" t="n"/>
      <c r="Q324" s="1" t="n"/>
      <c r="R324" s="1" t="n"/>
    </row>
    <row r="325" ht="15.75" customHeight="1" s="143">
      <c r="B325" s="1" t="n"/>
      <c r="C325" s="1" t="n"/>
      <c r="D325" s="1" t="n"/>
      <c r="E325" s="1" t="n"/>
      <c r="F325" s="1" t="n"/>
      <c r="H325" s="1" t="n"/>
      <c r="I325" s="1" t="n"/>
      <c r="J325" s="1" t="n"/>
      <c r="K325" s="1" t="n"/>
      <c r="L325" s="1" t="n"/>
      <c r="N325" s="1" t="n"/>
      <c r="O325" s="1" t="n"/>
      <c r="P325" s="1" t="n"/>
      <c r="Q325" s="1" t="n"/>
      <c r="R325" s="1" t="n"/>
    </row>
    <row r="326" ht="15.75" customHeight="1" s="143">
      <c r="B326" s="1" t="n"/>
      <c r="C326" s="1" t="n"/>
      <c r="D326" s="1" t="n"/>
      <c r="E326" s="1" t="n"/>
      <c r="F326" s="1" t="n"/>
      <c r="H326" s="1" t="n"/>
      <c r="I326" s="1" t="n"/>
      <c r="J326" s="1" t="n"/>
      <c r="K326" s="1" t="n"/>
      <c r="L326" s="1" t="n"/>
      <c r="N326" s="1" t="n"/>
      <c r="O326" s="1" t="n"/>
      <c r="P326" s="1" t="n"/>
      <c r="Q326" s="1" t="n"/>
      <c r="R326" s="1" t="n"/>
    </row>
    <row r="327" ht="15.75" customHeight="1" s="143">
      <c r="B327" s="1" t="n"/>
      <c r="C327" s="1" t="n"/>
      <c r="D327" s="1" t="n"/>
      <c r="E327" s="1" t="n"/>
      <c r="F327" s="1" t="n"/>
      <c r="H327" s="1" t="n"/>
      <c r="I327" s="1" t="n"/>
      <c r="J327" s="1" t="n"/>
      <c r="K327" s="1" t="n"/>
      <c r="L327" s="1" t="n"/>
      <c r="N327" s="1" t="n"/>
      <c r="O327" s="1" t="n"/>
      <c r="P327" s="1" t="n"/>
      <c r="Q327" s="1" t="n"/>
      <c r="R327" s="1" t="n"/>
    </row>
    <row r="328" ht="15.75" customHeight="1" s="143">
      <c r="B328" s="1" t="n"/>
      <c r="C328" s="1" t="n"/>
      <c r="D328" s="1" t="n"/>
      <c r="E328" s="1" t="n"/>
      <c r="F328" s="1" t="n"/>
      <c r="H328" s="1" t="n"/>
      <c r="I328" s="1" t="n"/>
      <c r="J328" s="1" t="n"/>
      <c r="K328" s="1" t="n"/>
      <c r="L328" s="1" t="n"/>
      <c r="N328" s="1" t="n"/>
      <c r="O328" s="1" t="n"/>
      <c r="P328" s="1" t="n"/>
      <c r="Q328" s="1" t="n"/>
      <c r="R328" s="1" t="n"/>
    </row>
    <row r="329" ht="15.75" customHeight="1" s="143">
      <c r="B329" s="1" t="n"/>
      <c r="C329" s="1" t="n"/>
      <c r="D329" s="1" t="n"/>
      <c r="E329" s="1" t="n"/>
      <c r="F329" s="1" t="n"/>
      <c r="H329" s="1" t="n"/>
      <c r="I329" s="1" t="n"/>
      <c r="J329" s="1" t="n"/>
      <c r="K329" s="1" t="n"/>
      <c r="L329" s="1" t="n"/>
      <c r="N329" s="1" t="n"/>
      <c r="O329" s="1" t="n"/>
      <c r="P329" s="1" t="n"/>
      <c r="Q329" s="1" t="n"/>
      <c r="R329" s="1" t="n"/>
    </row>
    <row r="330" ht="15.75" customHeight="1" s="143">
      <c r="B330" s="1" t="n"/>
      <c r="C330" s="1" t="n"/>
      <c r="D330" s="1" t="n"/>
      <c r="E330" s="1" t="n"/>
      <c r="F330" s="1" t="n"/>
      <c r="H330" s="1" t="n"/>
      <c r="I330" s="1" t="n"/>
      <c r="J330" s="1" t="n"/>
      <c r="K330" s="1" t="n"/>
      <c r="L330" s="1" t="n"/>
      <c r="N330" s="1" t="n"/>
      <c r="O330" s="1" t="n"/>
      <c r="P330" s="1" t="n"/>
      <c r="Q330" s="1" t="n"/>
      <c r="R330" s="1" t="n"/>
    </row>
    <row r="331" ht="15.75" customHeight="1" s="143">
      <c r="B331" s="1" t="n"/>
      <c r="C331" s="1" t="n"/>
      <c r="D331" s="1" t="n"/>
      <c r="E331" s="1" t="n"/>
      <c r="F331" s="1" t="n"/>
      <c r="H331" s="1" t="n"/>
      <c r="I331" s="1" t="n"/>
      <c r="J331" s="1" t="n"/>
      <c r="K331" s="1" t="n"/>
      <c r="L331" s="1" t="n"/>
      <c r="N331" s="1" t="n"/>
      <c r="O331" s="1" t="n"/>
      <c r="P331" s="1" t="n"/>
      <c r="Q331" s="1" t="n"/>
      <c r="R331" s="1" t="n"/>
    </row>
    <row r="332" ht="15.75" customHeight="1" s="143">
      <c r="B332" s="1" t="n"/>
      <c r="C332" s="1" t="n"/>
      <c r="D332" s="1" t="n"/>
      <c r="E332" s="1" t="n"/>
      <c r="F332" s="1" t="n"/>
      <c r="H332" s="1" t="n"/>
      <c r="I332" s="1" t="n"/>
      <c r="J332" s="1" t="n"/>
      <c r="K332" s="1" t="n"/>
      <c r="L332" s="1" t="n"/>
      <c r="N332" s="1" t="n"/>
      <c r="O332" s="1" t="n"/>
      <c r="P332" s="1" t="n"/>
      <c r="Q332" s="1" t="n"/>
      <c r="R332" s="1" t="n"/>
    </row>
    <row r="333" ht="15.75" customHeight="1" s="143">
      <c r="B333" s="1" t="n"/>
      <c r="C333" s="1" t="n"/>
      <c r="D333" s="1" t="n"/>
      <c r="E333" s="1" t="n"/>
      <c r="F333" s="1" t="n"/>
      <c r="H333" s="1" t="n"/>
      <c r="I333" s="1" t="n"/>
      <c r="J333" s="1" t="n"/>
      <c r="K333" s="1" t="n"/>
      <c r="L333" s="1" t="n"/>
      <c r="N333" s="1" t="n"/>
      <c r="O333" s="1" t="n"/>
      <c r="P333" s="1" t="n"/>
      <c r="Q333" s="1" t="n"/>
      <c r="R333" s="1" t="n"/>
    </row>
    <row r="334" ht="15.75" customHeight="1" s="143">
      <c r="B334" s="1" t="n"/>
      <c r="C334" s="1" t="n"/>
      <c r="D334" s="1" t="n"/>
      <c r="E334" s="1" t="n"/>
      <c r="F334" s="1" t="n"/>
      <c r="H334" s="1" t="n"/>
      <c r="I334" s="1" t="n"/>
      <c r="J334" s="1" t="n"/>
      <c r="K334" s="1" t="n"/>
      <c r="L334" s="1" t="n"/>
      <c r="N334" s="1" t="n"/>
      <c r="O334" s="1" t="n"/>
      <c r="P334" s="1" t="n"/>
      <c r="Q334" s="1" t="n"/>
      <c r="R334" s="1" t="n"/>
    </row>
    <row r="335" ht="15.75" customHeight="1" s="143">
      <c r="B335" s="1" t="n"/>
      <c r="C335" s="1" t="n"/>
      <c r="D335" s="1" t="n"/>
      <c r="E335" s="1" t="n"/>
      <c r="F335" s="1" t="n"/>
      <c r="H335" s="1" t="n"/>
      <c r="I335" s="1" t="n"/>
      <c r="J335" s="1" t="n"/>
      <c r="K335" s="1" t="n"/>
      <c r="L335" s="1" t="n"/>
      <c r="N335" s="1" t="n"/>
      <c r="O335" s="1" t="n"/>
      <c r="P335" s="1" t="n"/>
      <c r="Q335" s="1" t="n"/>
      <c r="R335" s="1" t="n"/>
    </row>
    <row r="336" ht="15.75" customHeight="1" s="143">
      <c r="B336" s="1" t="n"/>
      <c r="C336" s="1" t="n"/>
      <c r="D336" s="1" t="n"/>
      <c r="E336" s="1" t="n"/>
      <c r="F336" s="1" t="n"/>
      <c r="H336" s="1" t="n"/>
      <c r="I336" s="1" t="n"/>
      <c r="J336" s="1" t="n"/>
      <c r="K336" s="1" t="n"/>
      <c r="L336" s="1" t="n"/>
      <c r="N336" s="1" t="n"/>
      <c r="O336" s="1" t="n"/>
      <c r="P336" s="1" t="n"/>
      <c r="Q336" s="1" t="n"/>
      <c r="R336" s="1" t="n"/>
    </row>
    <row r="337" ht="15.75" customHeight="1" s="143">
      <c r="B337" s="1" t="n"/>
      <c r="C337" s="1" t="n"/>
      <c r="D337" s="1" t="n"/>
      <c r="E337" s="1" t="n"/>
      <c r="F337" s="1" t="n"/>
      <c r="H337" s="1" t="n"/>
      <c r="I337" s="1" t="n"/>
      <c r="J337" s="1" t="n"/>
      <c r="K337" s="1" t="n"/>
      <c r="L337" s="1" t="n"/>
      <c r="N337" s="1" t="n"/>
      <c r="O337" s="1" t="n"/>
      <c r="P337" s="1" t="n"/>
      <c r="Q337" s="1" t="n"/>
      <c r="R337" s="1" t="n"/>
    </row>
    <row r="338" ht="15.75" customHeight="1" s="143">
      <c r="B338" s="1" t="n"/>
      <c r="C338" s="1" t="n"/>
      <c r="D338" s="1" t="n"/>
      <c r="E338" s="1" t="n"/>
      <c r="F338" s="1" t="n"/>
      <c r="H338" s="1" t="n"/>
      <c r="I338" s="1" t="n"/>
      <c r="J338" s="1" t="n"/>
      <c r="K338" s="1" t="n"/>
      <c r="L338" s="1" t="n"/>
      <c r="N338" s="1" t="n"/>
      <c r="O338" s="1" t="n"/>
      <c r="P338" s="1" t="n"/>
      <c r="Q338" s="1" t="n"/>
      <c r="R338" s="1" t="n"/>
    </row>
    <row r="339" ht="15.75" customHeight="1" s="143">
      <c r="B339" s="1" t="n"/>
      <c r="C339" s="1" t="n"/>
      <c r="D339" s="1" t="n"/>
      <c r="E339" s="1" t="n"/>
      <c r="F339" s="1" t="n"/>
      <c r="H339" s="1" t="n"/>
      <c r="I339" s="1" t="n"/>
      <c r="J339" s="1" t="n"/>
      <c r="K339" s="1" t="n"/>
      <c r="L339" s="1" t="n"/>
      <c r="N339" s="1" t="n"/>
      <c r="O339" s="1" t="n"/>
      <c r="P339" s="1" t="n"/>
      <c r="Q339" s="1" t="n"/>
      <c r="R339" s="1" t="n"/>
    </row>
    <row r="340" ht="15.75" customHeight="1" s="143">
      <c r="B340" s="1" t="n"/>
      <c r="C340" s="1" t="n"/>
      <c r="D340" s="1" t="n"/>
      <c r="E340" s="1" t="n"/>
      <c r="F340" s="1" t="n"/>
      <c r="H340" s="1" t="n"/>
      <c r="I340" s="1" t="n"/>
      <c r="J340" s="1" t="n"/>
      <c r="K340" s="1" t="n"/>
      <c r="L340" s="1" t="n"/>
      <c r="N340" s="1" t="n"/>
      <c r="O340" s="1" t="n"/>
      <c r="P340" s="1" t="n"/>
      <c r="Q340" s="1" t="n"/>
      <c r="R340" s="1" t="n"/>
    </row>
    <row r="341" ht="15.75" customHeight="1" s="143">
      <c r="B341" s="1" t="n"/>
      <c r="C341" s="1" t="n"/>
      <c r="D341" s="1" t="n"/>
      <c r="E341" s="1" t="n"/>
      <c r="F341" s="1" t="n"/>
      <c r="H341" s="1" t="n"/>
      <c r="I341" s="1" t="n"/>
      <c r="J341" s="1" t="n"/>
      <c r="K341" s="1" t="n"/>
      <c r="L341" s="1" t="n"/>
      <c r="N341" s="1" t="n"/>
      <c r="O341" s="1" t="n"/>
      <c r="P341" s="1" t="n"/>
      <c r="Q341" s="1" t="n"/>
      <c r="R341" s="1" t="n"/>
    </row>
    <row r="342" ht="15.75" customHeight="1" s="143">
      <c r="B342" s="1" t="n"/>
      <c r="C342" s="1" t="n"/>
      <c r="D342" s="1" t="n"/>
      <c r="E342" s="1" t="n"/>
      <c r="F342" s="1" t="n"/>
      <c r="H342" s="1" t="n"/>
      <c r="I342" s="1" t="n"/>
      <c r="J342" s="1" t="n"/>
      <c r="K342" s="1" t="n"/>
      <c r="L342" s="1" t="n"/>
      <c r="N342" s="1" t="n"/>
      <c r="O342" s="1" t="n"/>
      <c r="P342" s="1" t="n"/>
      <c r="Q342" s="1" t="n"/>
      <c r="R342" s="1" t="n"/>
    </row>
    <row r="343" ht="15.75" customHeight="1" s="143">
      <c r="B343" s="1" t="n"/>
      <c r="C343" s="1" t="n"/>
      <c r="D343" s="1" t="n"/>
      <c r="E343" s="1" t="n"/>
      <c r="F343" s="1" t="n"/>
      <c r="H343" s="1" t="n"/>
      <c r="I343" s="1" t="n"/>
      <c r="J343" s="1" t="n"/>
      <c r="K343" s="1" t="n"/>
      <c r="L343" s="1" t="n"/>
      <c r="N343" s="1" t="n"/>
      <c r="O343" s="1" t="n"/>
      <c r="P343" s="1" t="n"/>
      <c r="Q343" s="1" t="n"/>
      <c r="R343" s="1" t="n"/>
    </row>
    <row r="344" ht="15.75" customHeight="1" s="143">
      <c r="B344" s="1" t="n"/>
      <c r="C344" s="1" t="n"/>
      <c r="D344" s="1" t="n"/>
      <c r="E344" s="1" t="n"/>
      <c r="F344" s="1" t="n"/>
      <c r="H344" s="1" t="n"/>
      <c r="I344" s="1" t="n"/>
      <c r="J344" s="1" t="n"/>
      <c r="K344" s="1" t="n"/>
      <c r="L344" s="1" t="n"/>
      <c r="N344" s="1" t="n"/>
      <c r="O344" s="1" t="n"/>
      <c r="P344" s="1" t="n"/>
      <c r="Q344" s="1" t="n"/>
      <c r="R344" s="1" t="n"/>
    </row>
    <row r="345" ht="15.75" customHeight="1" s="143">
      <c r="B345" s="1" t="n"/>
      <c r="C345" s="1" t="n"/>
      <c r="D345" s="1" t="n"/>
      <c r="E345" s="1" t="n"/>
      <c r="F345" s="1" t="n"/>
      <c r="H345" s="1" t="n"/>
      <c r="I345" s="1" t="n"/>
      <c r="J345" s="1" t="n"/>
      <c r="K345" s="1" t="n"/>
      <c r="L345" s="1" t="n"/>
      <c r="N345" s="1" t="n"/>
      <c r="O345" s="1" t="n"/>
      <c r="P345" s="1" t="n"/>
      <c r="Q345" s="1" t="n"/>
      <c r="R345" s="1" t="n"/>
    </row>
    <row r="346" ht="15.75" customHeight="1" s="143">
      <c r="B346" s="1" t="n"/>
      <c r="C346" s="1" t="n"/>
      <c r="D346" s="1" t="n"/>
      <c r="E346" s="1" t="n"/>
      <c r="F346" s="1" t="n"/>
      <c r="H346" s="1" t="n"/>
      <c r="I346" s="1" t="n"/>
      <c r="J346" s="1" t="n"/>
      <c r="K346" s="1" t="n"/>
      <c r="L346" s="1" t="n"/>
      <c r="N346" s="1" t="n"/>
      <c r="O346" s="1" t="n"/>
      <c r="P346" s="1" t="n"/>
      <c r="Q346" s="1" t="n"/>
      <c r="R346" s="1" t="n"/>
    </row>
    <row r="347" ht="15.75" customHeight="1" s="143">
      <c r="B347" s="1" t="n"/>
      <c r="C347" s="1" t="n"/>
      <c r="D347" s="1" t="n"/>
      <c r="E347" s="1" t="n"/>
      <c r="F347" s="1" t="n"/>
      <c r="H347" s="1" t="n"/>
      <c r="I347" s="1" t="n"/>
      <c r="J347" s="1" t="n"/>
      <c r="K347" s="1" t="n"/>
      <c r="L347" s="1" t="n"/>
      <c r="N347" s="1" t="n"/>
      <c r="O347" s="1" t="n"/>
      <c r="P347" s="1" t="n"/>
      <c r="Q347" s="1" t="n"/>
      <c r="R347" s="1" t="n"/>
    </row>
    <row r="348" ht="15.75" customHeight="1" s="143">
      <c r="B348" s="1" t="n"/>
      <c r="C348" s="1" t="n"/>
      <c r="D348" s="1" t="n"/>
      <c r="E348" s="1" t="n"/>
      <c r="F348" s="1" t="n"/>
      <c r="H348" s="1" t="n"/>
      <c r="I348" s="1" t="n"/>
      <c r="J348" s="1" t="n"/>
      <c r="K348" s="1" t="n"/>
      <c r="L348" s="1" t="n"/>
      <c r="N348" s="1" t="n"/>
      <c r="O348" s="1" t="n"/>
      <c r="P348" s="1" t="n"/>
      <c r="Q348" s="1" t="n"/>
      <c r="R348" s="1" t="n"/>
    </row>
    <row r="349" ht="15.75" customHeight="1" s="143">
      <c r="B349" s="1" t="n"/>
      <c r="C349" s="1" t="n"/>
      <c r="D349" s="1" t="n"/>
      <c r="E349" s="1" t="n"/>
      <c r="F349" s="1" t="n"/>
      <c r="H349" s="1" t="n"/>
      <c r="I349" s="1" t="n"/>
      <c r="J349" s="1" t="n"/>
      <c r="K349" s="1" t="n"/>
      <c r="L349" s="1" t="n"/>
      <c r="N349" s="1" t="n"/>
      <c r="O349" s="1" t="n"/>
      <c r="P349" s="1" t="n"/>
      <c r="Q349" s="1" t="n"/>
      <c r="R349" s="1" t="n"/>
    </row>
    <row r="350" ht="15.75" customHeight="1" s="143">
      <c r="B350" s="1" t="n"/>
      <c r="C350" s="1" t="n"/>
      <c r="D350" s="1" t="n"/>
      <c r="E350" s="1" t="n"/>
      <c r="F350" s="1" t="n"/>
      <c r="H350" s="1" t="n"/>
      <c r="I350" s="1" t="n"/>
      <c r="J350" s="1" t="n"/>
      <c r="K350" s="1" t="n"/>
      <c r="L350" s="1" t="n"/>
      <c r="N350" s="1" t="n"/>
      <c r="O350" s="1" t="n"/>
      <c r="P350" s="1" t="n"/>
      <c r="Q350" s="1" t="n"/>
      <c r="R350" s="1" t="n"/>
    </row>
    <row r="351" ht="15.75" customHeight="1" s="143">
      <c r="B351" s="1" t="n"/>
      <c r="C351" s="1" t="n"/>
      <c r="D351" s="1" t="n"/>
      <c r="E351" s="1" t="n"/>
      <c r="F351" s="1" t="n"/>
      <c r="H351" s="1" t="n"/>
      <c r="I351" s="1" t="n"/>
      <c r="J351" s="1" t="n"/>
      <c r="K351" s="1" t="n"/>
      <c r="L351" s="1" t="n"/>
      <c r="N351" s="1" t="n"/>
      <c r="O351" s="1" t="n"/>
      <c r="P351" s="1" t="n"/>
      <c r="Q351" s="1" t="n"/>
      <c r="R351" s="1" t="n"/>
    </row>
    <row r="352" ht="15.75" customHeight="1" s="143">
      <c r="B352" s="1" t="n"/>
      <c r="C352" s="1" t="n"/>
      <c r="D352" s="1" t="n"/>
      <c r="E352" s="1" t="n"/>
      <c r="F352" s="1" t="n"/>
      <c r="H352" s="1" t="n"/>
      <c r="I352" s="1" t="n"/>
      <c r="J352" s="1" t="n"/>
      <c r="K352" s="1" t="n"/>
      <c r="L352" s="1" t="n"/>
      <c r="N352" s="1" t="n"/>
      <c r="O352" s="1" t="n"/>
      <c r="P352" s="1" t="n"/>
      <c r="Q352" s="1" t="n"/>
      <c r="R352" s="1" t="n"/>
    </row>
    <row r="353" ht="15.75" customHeight="1" s="143">
      <c r="B353" s="1" t="n"/>
      <c r="C353" s="1" t="n"/>
      <c r="D353" s="1" t="n"/>
      <c r="E353" s="1" t="n"/>
      <c r="F353" s="1" t="n"/>
      <c r="H353" s="1" t="n"/>
      <c r="I353" s="1" t="n"/>
      <c r="J353" s="1" t="n"/>
      <c r="K353" s="1" t="n"/>
      <c r="L353" s="1" t="n"/>
      <c r="N353" s="1" t="n"/>
      <c r="O353" s="1" t="n"/>
      <c r="P353" s="1" t="n"/>
      <c r="Q353" s="1" t="n"/>
      <c r="R353" s="1" t="n"/>
    </row>
    <row r="354" ht="15.75" customHeight="1" s="143">
      <c r="B354" s="1" t="n"/>
      <c r="C354" s="1" t="n"/>
      <c r="D354" s="1" t="n"/>
      <c r="E354" s="1" t="n"/>
      <c r="F354" s="1" t="n"/>
      <c r="H354" s="1" t="n"/>
      <c r="I354" s="1" t="n"/>
      <c r="J354" s="1" t="n"/>
      <c r="K354" s="1" t="n"/>
      <c r="L354" s="1" t="n"/>
      <c r="N354" s="1" t="n"/>
      <c r="O354" s="1" t="n"/>
      <c r="P354" s="1" t="n"/>
      <c r="Q354" s="1" t="n"/>
      <c r="R354" s="1" t="n"/>
    </row>
    <row r="355" ht="15.75" customHeight="1" s="143">
      <c r="B355" s="1" t="n"/>
      <c r="C355" s="1" t="n"/>
      <c r="D355" s="1" t="n"/>
      <c r="E355" s="1" t="n"/>
      <c r="F355" s="1" t="n"/>
      <c r="H355" s="1" t="n"/>
      <c r="I355" s="1" t="n"/>
      <c r="J355" s="1" t="n"/>
      <c r="K355" s="1" t="n"/>
      <c r="L355" s="1" t="n"/>
      <c r="N355" s="1" t="n"/>
      <c r="O355" s="1" t="n"/>
      <c r="P355" s="1" t="n"/>
      <c r="Q355" s="1" t="n"/>
      <c r="R355" s="1" t="n"/>
    </row>
    <row r="356" ht="15.75" customHeight="1" s="143">
      <c r="B356" s="1" t="n"/>
      <c r="C356" s="1" t="n"/>
      <c r="D356" s="1" t="n"/>
      <c r="E356" s="1" t="n"/>
      <c r="F356" s="1" t="n"/>
      <c r="H356" s="1" t="n"/>
      <c r="I356" s="1" t="n"/>
      <c r="J356" s="1" t="n"/>
      <c r="K356" s="1" t="n"/>
      <c r="L356" s="1" t="n"/>
      <c r="N356" s="1" t="n"/>
      <c r="O356" s="1" t="n"/>
      <c r="P356" s="1" t="n"/>
      <c r="Q356" s="1" t="n"/>
      <c r="R356" s="1" t="n"/>
    </row>
    <row r="357" ht="15.75" customHeight="1" s="143">
      <c r="B357" s="1" t="n"/>
      <c r="C357" s="1" t="n"/>
      <c r="D357" s="1" t="n"/>
      <c r="E357" s="1" t="n"/>
      <c r="F357" s="1" t="n"/>
      <c r="H357" s="1" t="n"/>
      <c r="I357" s="1" t="n"/>
      <c r="J357" s="1" t="n"/>
      <c r="K357" s="1" t="n"/>
      <c r="L357" s="1" t="n"/>
      <c r="N357" s="1" t="n"/>
      <c r="O357" s="1" t="n"/>
      <c r="P357" s="1" t="n"/>
      <c r="Q357" s="1" t="n"/>
      <c r="R357" s="1" t="n"/>
    </row>
    <row r="358" ht="15.75" customHeight="1" s="143">
      <c r="B358" s="1" t="n"/>
      <c r="C358" s="1" t="n"/>
      <c r="D358" s="1" t="n"/>
      <c r="E358" s="1" t="n"/>
      <c r="F358" s="1" t="n"/>
      <c r="H358" s="1" t="n"/>
      <c r="I358" s="1" t="n"/>
      <c r="J358" s="1" t="n"/>
      <c r="K358" s="1" t="n"/>
      <c r="L358" s="1" t="n"/>
      <c r="N358" s="1" t="n"/>
      <c r="O358" s="1" t="n"/>
      <c r="P358" s="1" t="n"/>
      <c r="Q358" s="1" t="n"/>
      <c r="R358" s="1" t="n"/>
    </row>
    <row r="359" ht="15.75" customHeight="1" s="143">
      <c r="B359" s="1" t="n"/>
      <c r="C359" s="1" t="n"/>
      <c r="D359" s="1" t="n"/>
      <c r="E359" s="1" t="n"/>
      <c r="F359" s="1" t="n"/>
      <c r="H359" s="1" t="n"/>
      <c r="I359" s="1" t="n"/>
      <c r="J359" s="1" t="n"/>
      <c r="K359" s="1" t="n"/>
      <c r="L359" s="1" t="n"/>
      <c r="N359" s="1" t="n"/>
      <c r="O359" s="1" t="n"/>
      <c r="P359" s="1" t="n"/>
      <c r="Q359" s="1" t="n"/>
      <c r="R359" s="1" t="n"/>
    </row>
    <row r="360" ht="15.75" customHeight="1" s="143">
      <c r="B360" s="1" t="n"/>
      <c r="C360" s="1" t="n"/>
      <c r="D360" s="1" t="n"/>
      <c r="E360" s="1" t="n"/>
      <c r="F360" s="1" t="n"/>
      <c r="H360" s="1" t="n"/>
      <c r="I360" s="1" t="n"/>
      <c r="J360" s="1" t="n"/>
      <c r="K360" s="1" t="n"/>
      <c r="L360" s="1" t="n"/>
      <c r="N360" s="1" t="n"/>
      <c r="O360" s="1" t="n"/>
      <c r="P360" s="1" t="n"/>
      <c r="Q360" s="1" t="n"/>
      <c r="R360" s="1" t="n"/>
    </row>
    <row r="361" ht="15.75" customHeight="1" s="143">
      <c r="B361" s="1" t="n"/>
      <c r="C361" s="1" t="n"/>
      <c r="D361" s="1" t="n"/>
      <c r="E361" s="1" t="n"/>
      <c r="F361" s="1" t="n"/>
      <c r="H361" s="1" t="n"/>
      <c r="I361" s="1" t="n"/>
      <c r="J361" s="1" t="n"/>
      <c r="K361" s="1" t="n"/>
      <c r="L361" s="1" t="n"/>
      <c r="N361" s="1" t="n"/>
      <c r="O361" s="1" t="n"/>
      <c r="P361" s="1" t="n"/>
      <c r="Q361" s="1" t="n"/>
      <c r="R361" s="1" t="n"/>
    </row>
    <row r="362" ht="15.75" customHeight="1" s="143">
      <c r="B362" s="1" t="n"/>
      <c r="C362" s="1" t="n"/>
      <c r="D362" s="1" t="n"/>
      <c r="E362" s="1" t="n"/>
      <c r="F362" s="1" t="n"/>
      <c r="H362" s="1" t="n"/>
      <c r="I362" s="1" t="n"/>
      <c r="J362" s="1" t="n"/>
      <c r="K362" s="1" t="n"/>
      <c r="L362" s="1" t="n"/>
      <c r="N362" s="1" t="n"/>
      <c r="O362" s="1" t="n"/>
      <c r="P362" s="1" t="n"/>
      <c r="Q362" s="1" t="n"/>
      <c r="R362" s="1" t="n"/>
    </row>
    <row r="363" ht="15.75" customHeight="1" s="143">
      <c r="B363" s="1" t="n"/>
      <c r="C363" s="1" t="n"/>
      <c r="D363" s="1" t="n"/>
      <c r="E363" s="1" t="n"/>
      <c r="F363" s="1" t="n"/>
      <c r="H363" s="1" t="n"/>
      <c r="I363" s="1" t="n"/>
      <c r="J363" s="1" t="n"/>
      <c r="K363" s="1" t="n"/>
      <c r="L363" s="1" t="n"/>
      <c r="N363" s="1" t="n"/>
      <c r="O363" s="1" t="n"/>
      <c r="P363" s="1" t="n"/>
      <c r="Q363" s="1" t="n"/>
      <c r="R363" s="1" t="n"/>
    </row>
    <row r="364" ht="15.75" customHeight="1" s="143">
      <c r="B364" s="1" t="n"/>
      <c r="C364" s="1" t="n"/>
      <c r="D364" s="1" t="n"/>
      <c r="E364" s="1" t="n"/>
      <c r="F364" s="1" t="n"/>
      <c r="H364" s="1" t="n"/>
      <c r="I364" s="1" t="n"/>
      <c r="J364" s="1" t="n"/>
      <c r="K364" s="1" t="n"/>
      <c r="L364" s="1" t="n"/>
      <c r="N364" s="1" t="n"/>
      <c r="O364" s="1" t="n"/>
      <c r="P364" s="1" t="n"/>
      <c r="Q364" s="1" t="n"/>
      <c r="R364" s="1" t="n"/>
    </row>
    <row r="365" ht="15.75" customHeight="1" s="143">
      <c r="B365" s="1" t="n"/>
      <c r="C365" s="1" t="n"/>
      <c r="D365" s="1" t="n"/>
      <c r="E365" s="1" t="n"/>
      <c r="F365" s="1" t="n"/>
      <c r="H365" s="1" t="n"/>
      <c r="I365" s="1" t="n"/>
      <c r="J365" s="1" t="n"/>
      <c r="K365" s="1" t="n"/>
      <c r="L365" s="1" t="n"/>
      <c r="N365" s="1" t="n"/>
      <c r="O365" s="1" t="n"/>
      <c r="P365" s="1" t="n"/>
      <c r="Q365" s="1" t="n"/>
      <c r="R365" s="1" t="n"/>
    </row>
    <row r="366" ht="15.75" customHeight="1" s="143">
      <c r="B366" s="1" t="n"/>
      <c r="C366" s="1" t="n"/>
      <c r="D366" s="1" t="n"/>
      <c r="E366" s="1" t="n"/>
      <c r="F366" s="1" t="n"/>
      <c r="H366" s="1" t="n"/>
      <c r="I366" s="1" t="n"/>
      <c r="J366" s="1" t="n"/>
      <c r="K366" s="1" t="n"/>
      <c r="L366" s="1" t="n"/>
      <c r="N366" s="1" t="n"/>
      <c r="O366" s="1" t="n"/>
      <c r="P366" s="1" t="n"/>
      <c r="Q366" s="1" t="n"/>
      <c r="R366" s="1" t="n"/>
    </row>
    <row r="367" ht="15.75" customHeight="1" s="143">
      <c r="B367" s="1" t="n"/>
      <c r="C367" s="1" t="n"/>
      <c r="D367" s="1" t="n"/>
      <c r="E367" s="1" t="n"/>
      <c r="F367" s="1" t="n"/>
      <c r="H367" s="1" t="n"/>
      <c r="I367" s="1" t="n"/>
      <c r="J367" s="1" t="n"/>
      <c r="K367" s="1" t="n"/>
      <c r="L367" s="1" t="n"/>
      <c r="N367" s="1" t="n"/>
      <c r="O367" s="1" t="n"/>
      <c r="P367" s="1" t="n"/>
      <c r="Q367" s="1" t="n"/>
      <c r="R367" s="1" t="n"/>
    </row>
    <row r="368" ht="15.75" customHeight="1" s="143">
      <c r="B368" s="1" t="n"/>
      <c r="C368" s="1" t="n"/>
      <c r="D368" s="1" t="n"/>
      <c r="E368" s="1" t="n"/>
      <c r="F368" s="1" t="n"/>
      <c r="H368" s="1" t="n"/>
      <c r="I368" s="1" t="n"/>
      <c r="J368" s="1" t="n"/>
      <c r="K368" s="1" t="n"/>
      <c r="L368" s="1" t="n"/>
      <c r="N368" s="1" t="n"/>
      <c r="O368" s="1" t="n"/>
      <c r="P368" s="1" t="n"/>
      <c r="Q368" s="1" t="n"/>
      <c r="R368" s="1" t="n"/>
    </row>
    <row r="369" ht="15.75" customHeight="1" s="143">
      <c r="B369" s="1" t="n"/>
      <c r="C369" s="1" t="n"/>
      <c r="D369" s="1" t="n"/>
      <c r="E369" s="1" t="n"/>
      <c r="F369" s="1" t="n"/>
      <c r="H369" s="1" t="n"/>
      <c r="I369" s="1" t="n"/>
      <c r="J369" s="1" t="n"/>
      <c r="K369" s="1" t="n"/>
      <c r="L369" s="1" t="n"/>
      <c r="N369" s="1" t="n"/>
      <c r="O369" s="1" t="n"/>
      <c r="P369" s="1" t="n"/>
      <c r="Q369" s="1" t="n"/>
      <c r="R369" s="1" t="n"/>
    </row>
    <row r="370" ht="15.75" customHeight="1" s="143">
      <c r="B370" s="1" t="n"/>
      <c r="C370" s="1" t="n"/>
      <c r="D370" s="1" t="n"/>
      <c r="E370" s="1" t="n"/>
      <c r="F370" s="1" t="n"/>
      <c r="H370" s="1" t="n"/>
      <c r="I370" s="1" t="n"/>
      <c r="J370" s="1" t="n"/>
      <c r="K370" s="1" t="n"/>
      <c r="L370" s="1" t="n"/>
      <c r="N370" s="1" t="n"/>
      <c r="O370" s="1" t="n"/>
      <c r="P370" s="1" t="n"/>
      <c r="Q370" s="1" t="n"/>
      <c r="R370" s="1" t="n"/>
    </row>
    <row r="371" ht="15.75" customHeight="1" s="143">
      <c r="B371" s="1" t="n"/>
      <c r="C371" s="1" t="n"/>
      <c r="D371" s="1" t="n"/>
      <c r="E371" s="1" t="n"/>
      <c r="F371" s="1" t="n"/>
      <c r="H371" s="1" t="n"/>
      <c r="I371" s="1" t="n"/>
      <c r="J371" s="1" t="n"/>
      <c r="K371" s="1" t="n"/>
      <c r="L371" s="1" t="n"/>
      <c r="N371" s="1" t="n"/>
      <c r="O371" s="1" t="n"/>
      <c r="P371" s="1" t="n"/>
      <c r="Q371" s="1" t="n"/>
      <c r="R371" s="1" t="n"/>
    </row>
    <row r="372" ht="15.75" customHeight="1" s="143">
      <c r="B372" s="1" t="n"/>
      <c r="C372" s="1" t="n"/>
      <c r="D372" s="1" t="n"/>
      <c r="E372" s="1" t="n"/>
      <c r="F372" s="1" t="n"/>
      <c r="H372" s="1" t="n"/>
      <c r="I372" s="1" t="n"/>
      <c r="J372" s="1" t="n"/>
      <c r="K372" s="1" t="n"/>
      <c r="L372" s="1" t="n"/>
      <c r="N372" s="1" t="n"/>
      <c r="O372" s="1" t="n"/>
      <c r="P372" s="1" t="n"/>
      <c r="Q372" s="1" t="n"/>
      <c r="R372" s="1" t="n"/>
    </row>
    <row r="373" ht="15.75" customHeight="1" s="143">
      <c r="B373" s="1" t="n"/>
      <c r="C373" s="1" t="n"/>
      <c r="D373" s="1" t="n"/>
      <c r="E373" s="1" t="n"/>
      <c r="F373" s="1" t="n"/>
      <c r="H373" s="1" t="n"/>
      <c r="I373" s="1" t="n"/>
      <c r="J373" s="1" t="n"/>
      <c r="K373" s="1" t="n"/>
      <c r="L373" s="1" t="n"/>
      <c r="N373" s="1" t="n"/>
      <c r="O373" s="1" t="n"/>
      <c r="P373" s="1" t="n"/>
      <c r="Q373" s="1" t="n"/>
      <c r="R373" s="1" t="n"/>
    </row>
    <row r="374" ht="15.75" customHeight="1" s="143">
      <c r="B374" s="1" t="n"/>
      <c r="C374" s="1" t="n"/>
      <c r="D374" s="1" t="n"/>
      <c r="E374" s="1" t="n"/>
      <c r="F374" s="1" t="n"/>
      <c r="H374" s="1" t="n"/>
      <c r="I374" s="1" t="n"/>
      <c r="J374" s="1" t="n"/>
      <c r="K374" s="1" t="n"/>
      <c r="L374" s="1" t="n"/>
      <c r="N374" s="1" t="n"/>
      <c r="O374" s="1" t="n"/>
      <c r="P374" s="1" t="n"/>
      <c r="Q374" s="1" t="n"/>
      <c r="R374" s="1" t="n"/>
    </row>
    <row r="375" ht="15.75" customHeight="1" s="143">
      <c r="B375" s="1" t="n"/>
      <c r="C375" s="1" t="n"/>
      <c r="D375" s="1" t="n"/>
      <c r="E375" s="1" t="n"/>
      <c r="F375" s="1" t="n"/>
      <c r="H375" s="1" t="n"/>
      <c r="I375" s="1" t="n"/>
      <c r="J375" s="1" t="n"/>
      <c r="K375" s="1" t="n"/>
      <c r="L375" s="1" t="n"/>
      <c r="N375" s="1" t="n"/>
      <c r="O375" s="1" t="n"/>
      <c r="P375" s="1" t="n"/>
      <c r="Q375" s="1" t="n"/>
      <c r="R375" s="1" t="n"/>
    </row>
    <row r="376" ht="15.75" customHeight="1" s="143">
      <c r="B376" s="1" t="n"/>
      <c r="C376" s="1" t="n"/>
      <c r="D376" s="1" t="n"/>
      <c r="E376" s="1" t="n"/>
      <c r="F376" s="1" t="n"/>
      <c r="H376" s="1" t="n"/>
      <c r="I376" s="1" t="n"/>
      <c r="J376" s="1" t="n"/>
      <c r="K376" s="1" t="n"/>
      <c r="L376" s="1" t="n"/>
      <c r="N376" s="1" t="n"/>
      <c r="O376" s="1" t="n"/>
      <c r="P376" s="1" t="n"/>
      <c r="Q376" s="1" t="n"/>
      <c r="R376" s="1" t="n"/>
    </row>
    <row r="377" ht="15.75" customHeight="1" s="143">
      <c r="B377" s="1" t="n"/>
      <c r="C377" s="1" t="n"/>
      <c r="D377" s="1" t="n"/>
      <c r="E377" s="1" t="n"/>
      <c r="F377" s="1" t="n"/>
      <c r="H377" s="1" t="n"/>
      <c r="I377" s="1" t="n"/>
      <c r="J377" s="1" t="n"/>
      <c r="K377" s="1" t="n"/>
      <c r="L377" s="1" t="n"/>
      <c r="N377" s="1" t="n"/>
      <c r="O377" s="1" t="n"/>
      <c r="P377" s="1" t="n"/>
      <c r="Q377" s="1" t="n"/>
      <c r="R377" s="1" t="n"/>
    </row>
    <row r="378" ht="15.75" customHeight="1" s="143">
      <c r="B378" s="1" t="n"/>
      <c r="C378" s="1" t="n"/>
      <c r="D378" s="1" t="n"/>
      <c r="E378" s="1" t="n"/>
      <c r="F378" s="1" t="n"/>
      <c r="H378" s="1" t="n"/>
      <c r="I378" s="1" t="n"/>
      <c r="J378" s="1" t="n"/>
      <c r="K378" s="1" t="n"/>
      <c r="L378" s="1" t="n"/>
      <c r="N378" s="1" t="n"/>
      <c r="O378" s="1" t="n"/>
      <c r="P378" s="1" t="n"/>
      <c r="Q378" s="1" t="n"/>
      <c r="R378" s="1" t="n"/>
    </row>
    <row r="379" ht="15.75" customHeight="1" s="143">
      <c r="B379" s="1" t="n"/>
      <c r="C379" s="1" t="n"/>
      <c r="D379" s="1" t="n"/>
      <c r="E379" s="1" t="n"/>
      <c r="F379" s="1" t="n"/>
      <c r="H379" s="1" t="n"/>
      <c r="I379" s="1" t="n"/>
      <c r="J379" s="1" t="n"/>
      <c r="K379" s="1" t="n"/>
      <c r="L379" s="1" t="n"/>
      <c r="N379" s="1" t="n"/>
      <c r="O379" s="1" t="n"/>
      <c r="P379" s="1" t="n"/>
      <c r="Q379" s="1" t="n"/>
      <c r="R379" s="1" t="n"/>
    </row>
    <row r="380" ht="15.75" customHeight="1" s="143">
      <c r="B380" s="1" t="n"/>
      <c r="C380" s="1" t="n"/>
      <c r="D380" s="1" t="n"/>
      <c r="E380" s="1" t="n"/>
      <c r="F380" s="1" t="n"/>
      <c r="H380" s="1" t="n"/>
      <c r="I380" s="1" t="n"/>
      <c r="J380" s="1" t="n"/>
      <c r="K380" s="1" t="n"/>
      <c r="L380" s="1" t="n"/>
      <c r="N380" s="1" t="n"/>
      <c r="O380" s="1" t="n"/>
      <c r="P380" s="1" t="n"/>
      <c r="Q380" s="1" t="n"/>
      <c r="R380" s="1" t="n"/>
    </row>
    <row r="381" ht="15.75" customHeight="1" s="143">
      <c r="B381" s="1" t="n"/>
      <c r="C381" s="1" t="n"/>
      <c r="D381" s="1" t="n"/>
      <c r="E381" s="1" t="n"/>
      <c r="F381" s="1" t="n"/>
      <c r="H381" s="1" t="n"/>
      <c r="I381" s="1" t="n"/>
      <c r="J381" s="1" t="n"/>
      <c r="K381" s="1" t="n"/>
      <c r="L381" s="1" t="n"/>
      <c r="N381" s="1" t="n"/>
      <c r="O381" s="1" t="n"/>
      <c r="P381" s="1" t="n"/>
      <c r="Q381" s="1" t="n"/>
      <c r="R381" s="1" t="n"/>
    </row>
    <row r="382" ht="15.75" customHeight="1" s="143">
      <c r="B382" s="1" t="n"/>
      <c r="C382" s="1" t="n"/>
      <c r="D382" s="1" t="n"/>
      <c r="E382" s="1" t="n"/>
      <c r="F382" s="1" t="n"/>
      <c r="H382" s="1" t="n"/>
      <c r="I382" s="1" t="n"/>
      <c r="J382" s="1" t="n"/>
      <c r="K382" s="1" t="n"/>
      <c r="L382" s="1" t="n"/>
      <c r="N382" s="1" t="n"/>
      <c r="O382" s="1" t="n"/>
      <c r="P382" s="1" t="n"/>
      <c r="Q382" s="1" t="n"/>
      <c r="R382" s="1" t="n"/>
    </row>
    <row r="383" ht="15.75" customHeight="1" s="143">
      <c r="B383" s="1" t="n"/>
      <c r="C383" s="1" t="n"/>
      <c r="D383" s="1" t="n"/>
      <c r="E383" s="1" t="n"/>
      <c r="F383" s="1" t="n"/>
      <c r="H383" s="1" t="n"/>
      <c r="I383" s="1" t="n"/>
      <c r="J383" s="1" t="n"/>
      <c r="K383" s="1" t="n"/>
      <c r="L383" s="1" t="n"/>
      <c r="N383" s="1" t="n"/>
      <c r="O383" s="1" t="n"/>
      <c r="P383" s="1" t="n"/>
      <c r="Q383" s="1" t="n"/>
      <c r="R383" s="1" t="n"/>
    </row>
    <row r="384" ht="15.75" customHeight="1" s="143">
      <c r="B384" s="1" t="n"/>
      <c r="C384" s="1" t="n"/>
      <c r="D384" s="1" t="n"/>
      <c r="E384" s="1" t="n"/>
      <c r="F384" s="1" t="n"/>
      <c r="H384" s="1" t="n"/>
      <c r="I384" s="1" t="n"/>
      <c r="J384" s="1" t="n"/>
      <c r="K384" s="1" t="n"/>
      <c r="L384" s="1" t="n"/>
      <c r="N384" s="1" t="n"/>
      <c r="O384" s="1" t="n"/>
      <c r="P384" s="1" t="n"/>
      <c r="Q384" s="1" t="n"/>
      <c r="R384" s="1" t="n"/>
    </row>
    <row r="385" ht="15.75" customHeight="1" s="143">
      <c r="B385" s="1" t="n"/>
      <c r="C385" s="1" t="n"/>
      <c r="D385" s="1" t="n"/>
      <c r="E385" s="1" t="n"/>
      <c r="F385" s="1" t="n"/>
      <c r="H385" s="1" t="n"/>
      <c r="I385" s="1" t="n"/>
      <c r="J385" s="1" t="n"/>
      <c r="K385" s="1" t="n"/>
      <c r="L385" s="1" t="n"/>
      <c r="N385" s="1" t="n"/>
      <c r="O385" s="1" t="n"/>
      <c r="P385" s="1" t="n"/>
      <c r="Q385" s="1" t="n"/>
      <c r="R385" s="1" t="n"/>
    </row>
    <row r="386" ht="15.75" customHeight="1" s="143">
      <c r="B386" s="1" t="n"/>
      <c r="C386" s="1" t="n"/>
      <c r="D386" s="1" t="n"/>
      <c r="E386" s="1" t="n"/>
      <c r="F386" s="1" t="n"/>
      <c r="H386" s="1" t="n"/>
      <c r="I386" s="1" t="n"/>
      <c r="J386" s="1" t="n"/>
      <c r="K386" s="1" t="n"/>
      <c r="L386" s="1" t="n"/>
      <c r="N386" s="1" t="n"/>
      <c r="O386" s="1" t="n"/>
      <c r="P386" s="1" t="n"/>
      <c r="Q386" s="1" t="n"/>
      <c r="R386" s="1" t="n"/>
    </row>
    <row r="387" ht="15.75" customHeight="1" s="143">
      <c r="B387" s="1" t="n"/>
      <c r="C387" s="1" t="n"/>
      <c r="D387" s="1" t="n"/>
      <c r="E387" s="1" t="n"/>
      <c r="F387" s="1" t="n"/>
      <c r="H387" s="1" t="n"/>
      <c r="I387" s="1" t="n"/>
      <c r="J387" s="1" t="n"/>
      <c r="K387" s="1" t="n"/>
      <c r="L387" s="1" t="n"/>
      <c r="N387" s="1" t="n"/>
      <c r="O387" s="1" t="n"/>
      <c r="P387" s="1" t="n"/>
      <c r="Q387" s="1" t="n"/>
      <c r="R387" s="1" t="n"/>
    </row>
    <row r="388" ht="15.75" customHeight="1" s="143">
      <c r="B388" s="1" t="n"/>
      <c r="C388" s="1" t="n"/>
      <c r="D388" s="1" t="n"/>
      <c r="E388" s="1" t="n"/>
      <c r="F388" s="1" t="n"/>
      <c r="H388" s="1" t="n"/>
      <c r="I388" s="1" t="n"/>
      <c r="J388" s="1" t="n"/>
      <c r="K388" s="1" t="n"/>
      <c r="L388" s="1" t="n"/>
      <c r="N388" s="1" t="n"/>
      <c r="O388" s="1" t="n"/>
      <c r="P388" s="1" t="n"/>
      <c r="Q388" s="1" t="n"/>
      <c r="R388" s="1" t="n"/>
    </row>
    <row r="389" ht="15.75" customHeight="1" s="143">
      <c r="B389" s="1" t="n"/>
      <c r="C389" s="1" t="n"/>
      <c r="D389" s="1" t="n"/>
      <c r="E389" s="1" t="n"/>
      <c r="F389" s="1" t="n"/>
      <c r="H389" s="1" t="n"/>
      <c r="I389" s="1" t="n"/>
      <c r="J389" s="1" t="n"/>
      <c r="K389" s="1" t="n"/>
      <c r="L389" s="1" t="n"/>
      <c r="N389" s="1" t="n"/>
      <c r="O389" s="1" t="n"/>
      <c r="P389" s="1" t="n"/>
      <c r="Q389" s="1" t="n"/>
      <c r="R389" s="1" t="n"/>
    </row>
    <row r="390" ht="15.75" customHeight="1" s="143">
      <c r="B390" s="1" t="n"/>
      <c r="C390" s="1" t="n"/>
      <c r="D390" s="1" t="n"/>
      <c r="E390" s="1" t="n"/>
      <c r="F390" s="1" t="n"/>
      <c r="H390" s="1" t="n"/>
      <c r="I390" s="1" t="n"/>
      <c r="J390" s="1" t="n"/>
      <c r="K390" s="1" t="n"/>
      <c r="L390" s="1" t="n"/>
      <c r="N390" s="1" t="n"/>
      <c r="O390" s="1" t="n"/>
      <c r="P390" s="1" t="n"/>
      <c r="Q390" s="1" t="n"/>
      <c r="R390" s="1" t="n"/>
    </row>
    <row r="391" ht="15.75" customHeight="1" s="143">
      <c r="B391" s="1" t="n"/>
      <c r="C391" s="1" t="n"/>
      <c r="D391" s="1" t="n"/>
      <c r="E391" s="1" t="n"/>
      <c r="F391" s="1" t="n"/>
      <c r="H391" s="1" t="n"/>
      <c r="I391" s="1" t="n"/>
      <c r="J391" s="1" t="n"/>
      <c r="K391" s="1" t="n"/>
      <c r="L391" s="1" t="n"/>
      <c r="N391" s="1" t="n"/>
      <c r="O391" s="1" t="n"/>
      <c r="P391" s="1" t="n"/>
      <c r="Q391" s="1" t="n"/>
      <c r="R391" s="1" t="n"/>
    </row>
    <row r="392" ht="15.75" customHeight="1" s="143">
      <c r="B392" s="1" t="n"/>
      <c r="C392" s="1" t="n"/>
      <c r="D392" s="1" t="n"/>
      <c r="E392" s="1" t="n"/>
      <c r="F392" s="1" t="n"/>
      <c r="H392" s="1" t="n"/>
      <c r="I392" s="1" t="n"/>
      <c r="J392" s="1" t="n"/>
      <c r="K392" s="1" t="n"/>
      <c r="L392" s="1" t="n"/>
      <c r="N392" s="1" t="n"/>
      <c r="O392" s="1" t="n"/>
      <c r="P392" s="1" t="n"/>
      <c r="Q392" s="1" t="n"/>
      <c r="R392" s="1" t="n"/>
    </row>
    <row r="393" ht="15.75" customHeight="1" s="143">
      <c r="B393" s="1" t="n"/>
      <c r="C393" s="1" t="n"/>
      <c r="D393" s="1" t="n"/>
      <c r="E393" s="1" t="n"/>
      <c r="F393" s="1" t="n"/>
      <c r="H393" s="1" t="n"/>
      <c r="I393" s="1" t="n"/>
      <c r="J393" s="1" t="n"/>
      <c r="K393" s="1" t="n"/>
      <c r="L393" s="1" t="n"/>
      <c r="N393" s="1" t="n"/>
      <c r="O393" s="1" t="n"/>
      <c r="P393" s="1" t="n"/>
      <c r="Q393" s="1" t="n"/>
      <c r="R393" s="1" t="n"/>
    </row>
    <row r="394" ht="15.75" customHeight="1" s="143">
      <c r="B394" s="1" t="n"/>
      <c r="C394" s="1" t="n"/>
      <c r="D394" s="1" t="n"/>
      <c r="E394" s="1" t="n"/>
      <c r="F394" s="1" t="n"/>
      <c r="H394" s="1" t="n"/>
      <c r="I394" s="1" t="n"/>
      <c r="J394" s="1" t="n"/>
      <c r="K394" s="1" t="n"/>
      <c r="L394" s="1" t="n"/>
      <c r="N394" s="1" t="n"/>
      <c r="O394" s="1" t="n"/>
      <c r="P394" s="1" t="n"/>
      <c r="Q394" s="1" t="n"/>
      <c r="R394" s="1" t="n"/>
    </row>
    <row r="395" ht="15.75" customHeight="1" s="143">
      <c r="B395" s="1" t="n"/>
      <c r="C395" s="1" t="n"/>
      <c r="D395" s="1" t="n"/>
      <c r="E395" s="1" t="n"/>
      <c r="F395" s="1" t="n"/>
      <c r="H395" s="1" t="n"/>
      <c r="I395" s="1" t="n"/>
      <c r="J395" s="1" t="n"/>
      <c r="K395" s="1" t="n"/>
      <c r="L395" s="1" t="n"/>
      <c r="N395" s="1" t="n"/>
      <c r="O395" s="1" t="n"/>
      <c r="P395" s="1" t="n"/>
      <c r="Q395" s="1" t="n"/>
      <c r="R395" s="1" t="n"/>
    </row>
    <row r="396" ht="15.75" customHeight="1" s="143">
      <c r="B396" s="1" t="n"/>
      <c r="C396" s="1" t="n"/>
      <c r="D396" s="1" t="n"/>
      <c r="E396" s="1" t="n"/>
      <c r="F396" s="1" t="n"/>
      <c r="H396" s="1" t="n"/>
      <c r="I396" s="1" t="n"/>
      <c r="J396" s="1" t="n"/>
      <c r="K396" s="1" t="n"/>
      <c r="L396" s="1" t="n"/>
      <c r="N396" s="1" t="n"/>
      <c r="O396" s="1" t="n"/>
      <c r="P396" s="1" t="n"/>
      <c r="Q396" s="1" t="n"/>
      <c r="R396" s="1" t="n"/>
    </row>
    <row r="397" ht="15.75" customHeight="1" s="143">
      <c r="B397" s="1" t="n"/>
      <c r="C397" s="1" t="n"/>
      <c r="D397" s="1" t="n"/>
      <c r="E397" s="1" t="n"/>
      <c r="F397" s="1" t="n"/>
      <c r="H397" s="1" t="n"/>
      <c r="I397" s="1" t="n"/>
      <c r="J397" s="1" t="n"/>
      <c r="K397" s="1" t="n"/>
      <c r="L397" s="1" t="n"/>
      <c r="N397" s="1" t="n"/>
      <c r="O397" s="1" t="n"/>
      <c r="P397" s="1" t="n"/>
      <c r="Q397" s="1" t="n"/>
      <c r="R397" s="1" t="n"/>
    </row>
    <row r="398" ht="15.75" customHeight="1" s="143">
      <c r="B398" s="1" t="n"/>
      <c r="C398" s="1" t="n"/>
      <c r="D398" s="1" t="n"/>
      <c r="E398" s="1" t="n"/>
      <c r="F398" s="1" t="n"/>
      <c r="H398" s="1" t="n"/>
      <c r="I398" s="1" t="n"/>
      <c r="J398" s="1" t="n"/>
      <c r="K398" s="1" t="n"/>
      <c r="L398" s="1" t="n"/>
      <c r="N398" s="1" t="n"/>
      <c r="O398" s="1" t="n"/>
      <c r="P398" s="1" t="n"/>
      <c r="Q398" s="1" t="n"/>
      <c r="R398" s="1" t="n"/>
    </row>
    <row r="399" ht="15.75" customHeight="1" s="143">
      <c r="B399" s="1" t="n"/>
      <c r="C399" s="1" t="n"/>
      <c r="D399" s="1" t="n"/>
      <c r="E399" s="1" t="n"/>
      <c r="F399" s="1" t="n"/>
      <c r="H399" s="1" t="n"/>
      <c r="I399" s="1" t="n"/>
      <c r="J399" s="1" t="n"/>
      <c r="K399" s="1" t="n"/>
      <c r="L399" s="1" t="n"/>
      <c r="N399" s="1" t="n"/>
      <c r="O399" s="1" t="n"/>
      <c r="P399" s="1" t="n"/>
      <c r="Q399" s="1" t="n"/>
      <c r="R399" s="1" t="n"/>
    </row>
    <row r="400" ht="15.75" customHeight="1" s="143">
      <c r="B400" s="1" t="n"/>
      <c r="C400" s="1" t="n"/>
      <c r="D400" s="1" t="n"/>
      <c r="E400" s="1" t="n"/>
      <c r="F400" s="1" t="n"/>
      <c r="H400" s="1" t="n"/>
      <c r="I400" s="1" t="n"/>
      <c r="J400" s="1" t="n"/>
      <c r="K400" s="1" t="n"/>
      <c r="L400" s="1" t="n"/>
      <c r="N400" s="1" t="n"/>
      <c r="O400" s="1" t="n"/>
      <c r="P400" s="1" t="n"/>
      <c r="Q400" s="1" t="n"/>
      <c r="R400" s="1" t="n"/>
    </row>
    <row r="401" ht="15.75" customHeight="1" s="143">
      <c r="B401" s="1" t="n"/>
      <c r="C401" s="1" t="n"/>
      <c r="D401" s="1" t="n"/>
      <c r="E401" s="1" t="n"/>
      <c r="F401" s="1" t="n"/>
      <c r="H401" s="1" t="n"/>
      <c r="I401" s="1" t="n"/>
      <c r="J401" s="1" t="n"/>
      <c r="K401" s="1" t="n"/>
      <c r="L401" s="1" t="n"/>
      <c r="N401" s="1" t="n"/>
      <c r="O401" s="1" t="n"/>
      <c r="P401" s="1" t="n"/>
      <c r="Q401" s="1" t="n"/>
      <c r="R401" s="1" t="n"/>
    </row>
    <row r="402" ht="15.75" customHeight="1" s="143">
      <c r="B402" s="1" t="n"/>
      <c r="C402" s="1" t="n"/>
      <c r="D402" s="1" t="n"/>
      <c r="E402" s="1" t="n"/>
      <c r="F402" s="1" t="n"/>
      <c r="H402" s="1" t="n"/>
      <c r="I402" s="1" t="n"/>
      <c r="J402" s="1" t="n"/>
      <c r="K402" s="1" t="n"/>
      <c r="L402" s="1" t="n"/>
      <c r="N402" s="1" t="n"/>
      <c r="O402" s="1" t="n"/>
      <c r="P402" s="1" t="n"/>
      <c r="Q402" s="1" t="n"/>
      <c r="R402" s="1" t="n"/>
    </row>
    <row r="403" ht="15.75" customHeight="1" s="143">
      <c r="B403" s="1" t="n"/>
      <c r="C403" s="1" t="n"/>
      <c r="D403" s="1" t="n"/>
      <c r="E403" s="1" t="n"/>
      <c r="F403" s="1" t="n"/>
      <c r="H403" s="1" t="n"/>
      <c r="I403" s="1" t="n"/>
      <c r="J403" s="1" t="n"/>
      <c r="K403" s="1" t="n"/>
      <c r="L403" s="1" t="n"/>
      <c r="N403" s="1" t="n"/>
      <c r="O403" s="1" t="n"/>
      <c r="P403" s="1" t="n"/>
      <c r="Q403" s="1" t="n"/>
      <c r="R403" s="1" t="n"/>
    </row>
    <row r="404" ht="15.75" customHeight="1" s="143">
      <c r="B404" s="1" t="n"/>
      <c r="C404" s="1" t="n"/>
      <c r="D404" s="1" t="n"/>
      <c r="E404" s="1" t="n"/>
      <c r="F404" s="1" t="n"/>
      <c r="H404" s="1" t="n"/>
      <c r="I404" s="1" t="n"/>
      <c r="J404" s="1" t="n"/>
      <c r="K404" s="1" t="n"/>
      <c r="L404" s="1" t="n"/>
      <c r="N404" s="1" t="n"/>
      <c r="O404" s="1" t="n"/>
      <c r="P404" s="1" t="n"/>
      <c r="Q404" s="1" t="n"/>
      <c r="R404" s="1" t="n"/>
    </row>
    <row r="405" ht="15.75" customHeight="1" s="143">
      <c r="B405" s="1" t="n"/>
      <c r="C405" s="1" t="n"/>
      <c r="D405" s="1" t="n"/>
      <c r="E405" s="1" t="n"/>
      <c r="F405" s="1" t="n"/>
      <c r="H405" s="1" t="n"/>
      <c r="I405" s="1" t="n"/>
      <c r="J405" s="1" t="n"/>
      <c r="K405" s="1" t="n"/>
      <c r="L405" s="1" t="n"/>
      <c r="N405" s="1" t="n"/>
      <c r="O405" s="1" t="n"/>
      <c r="P405" s="1" t="n"/>
      <c r="Q405" s="1" t="n"/>
      <c r="R405" s="1" t="n"/>
    </row>
    <row r="406" ht="15.75" customHeight="1" s="143">
      <c r="B406" s="1" t="n"/>
      <c r="C406" s="1" t="n"/>
      <c r="D406" s="1" t="n"/>
      <c r="E406" s="1" t="n"/>
      <c r="F406" s="1" t="n"/>
      <c r="H406" s="1" t="n"/>
      <c r="I406" s="1" t="n"/>
      <c r="J406" s="1" t="n"/>
      <c r="K406" s="1" t="n"/>
      <c r="L406" s="1" t="n"/>
      <c r="N406" s="1" t="n"/>
      <c r="O406" s="1" t="n"/>
      <c r="P406" s="1" t="n"/>
      <c r="Q406" s="1" t="n"/>
      <c r="R406" s="1" t="n"/>
    </row>
    <row r="407" ht="15.75" customHeight="1" s="143">
      <c r="B407" s="1" t="n"/>
      <c r="C407" s="1" t="n"/>
      <c r="D407" s="1" t="n"/>
      <c r="E407" s="1" t="n"/>
      <c r="F407" s="1" t="n"/>
      <c r="H407" s="1" t="n"/>
      <c r="I407" s="1" t="n"/>
      <c r="J407" s="1" t="n"/>
      <c r="K407" s="1" t="n"/>
      <c r="L407" s="1" t="n"/>
      <c r="N407" s="1" t="n"/>
      <c r="O407" s="1" t="n"/>
      <c r="P407" s="1" t="n"/>
      <c r="Q407" s="1" t="n"/>
      <c r="R407" s="1" t="n"/>
    </row>
    <row r="408" ht="15.75" customHeight="1" s="143">
      <c r="B408" s="1" t="n"/>
      <c r="C408" s="1" t="n"/>
      <c r="D408" s="1" t="n"/>
      <c r="E408" s="1" t="n"/>
      <c r="F408" s="1" t="n"/>
      <c r="H408" s="1" t="n"/>
      <c r="I408" s="1" t="n"/>
      <c r="J408" s="1" t="n"/>
      <c r="K408" s="1" t="n"/>
      <c r="L408" s="1" t="n"/>
      <c r="N408" s="1" t="n"/>
      <c r="O408" s="1" t="n"/>
      <c r="P408" s="1" t="n"/>
      <c r="Q408" s="1" t="n"/>
      <c r="R408" s="1" t="n"/>
    </row>
    <row r="409" ht="15.75" customHeight="1" s="143">
      <c r="B409" s="1" t="n"/>
      <c r="C409" s="1" t="n"/>
      <c r="D409" s="1" t="n"/>
      <c r="E409" s="1" t="n"/>
      <c r="F409" s="1" t="n"/>
      <c r="H409" s="1" t="n"/>
      <c r="I409" s="1" t="n"/>
      <c r="J409" s="1" t="n"/>
      <c r="K409" s="1" t="n"/>
      <c r="L409" s="1" t="n"/>
      <c r="N409" s="1" t="n"/>
      <c r="O409" s="1" t="n"/>
      <c r="P409" s="1" t="n"/>
      <c r="Q409" s="1" t="n"/>
      <c r="R409" s="1" t="n"/>
    </row>
    <row r="410" ht="15.75" customHeight="1" s="143">
      <c r="B410" s="1" t="n"/>
      <c r="C410" s="1" t="n"/>
      <c r="D410" s="1" t="n"/>
      <c r="E410" s="1" t="n"/>
      <c r="F410" s="1" t="n"/>
      <c r="H410" s="1" t="n"/>
      <c r="I410" s="1" t="n"/>
      <c r="J410" s="1" t="n"/>
      <c r="K410" s="1" t="n"/>
      <c r="L410" s="1" t="n"/>
      <c r="N410" s="1" t="n"/>
      <c r="O410" s="1" t="n"/>
      <c r="P410" s="1" t="n"/>
      <c r="Q410" s="1" t="n"/>
      <c r="R410" s="1" t="n"/>
    </row>
    <row r="411" ht="15.75" customHeight="1" s="143">
      <c r="B411" s="1" t="n"/>
      <c r="C411" s="1" t="n"/>
      <c r="D411" s="1" t="n"/>
      <c r="E411" s="1" t="n"/>
      <c r="F411" s="1" t="n"/>
      <c r="H411" s="1" t="n"/>
      <c r="I411" s="1" t="n"/>
      <c r="J411" s="1" t="n"/>
      <c r="K411" s="1" t="n"/>
      <c r="L411" s="1" t="n"/>
      <c r="N411" s="1" t="n"/>
      <c r="O411" s="1" t="n"/>
      <c r="P411" s="1" t="n"/>
      <c r="Q411" s="1" t="n"/>
      <c r="R411" s="1" t="n"/>
    </row>
    <row r="412" ht="15.75" customHeight="1" s="143">
      <c r="B412" s="1" t="n"/>
      <c r="C412" s="1" t="n"/>
      <c r="D412" s="1" t="n"/>
      <c r="E412" s="1" t="n"/>
      <c r="F412" s="1" t="n"/>
      <c r="H412" s="1" t="n"/>
      <c r="I412" s="1" t="n"/>
      <c r="J412" s="1" t="n"/>
      <c r="K412" s="1" t="n"/>
      <c r="L412" s="1" t="n"/>
      <c r="N412" s="1" t="n"/>
      <c r="O412" s="1" t="n"/>
      <c r="P412" s="1" t="n"/>
      <c r="Q412" s="1" t="n"/>
      <c r="R412" s="1" t="n"/>
    </row>
    <row r="413" ht="15.75" customHeight="1" s="143">
      <c r="B413" s="1" t="n"/>
      <c r="C413" s="1" t="n"/>
      <c r="D413" s="1" t="n"/>
      <c r="E413" s="1" t="n"/>
      <c r="F413" s="1" t="n"/>
      <c r="H413" s="1" t="n"/>
      <c r="I413" s="1" t="n"/>
      <c r="J413" s="1" t="n"/>
      <c r="K413" s="1" t="n"/>
      <c r="L413" s="1" t="n"/>
      <c r="N413" s="1" t="n"/>
      <c r="O413" s="1" t="n"/>
      <c r="P413" s="1" t="n"/>
      <c r="Q413" s="1" t="n"/>
      <c r="R413" s="1" t="n"/>
    </row>
    <row r="414" ht="15.75" customHeight="1" s="143">
      <c r="B414" s="1" t="n"/>
      <c r="C414" s="1" t="n"/>
      <c r="D414" s="1" t="n"/>
      <c r="E414" s="1" t="n"/>
      <c r="F414" s="1" t="n"/>
      <c r="H414" s="1" t="n"/>
      <c r="I414" s="1" t="n"/>
      <c r="J414" s="1" t="n"/>
      <c r="K414" s="1" t="n"/>
      <c r="L414" s="1" t="n"/>
      <c r="N414" s="1" t="n"/>
      <c r="O414" s="1" t="n"/>
      <c r="P414" s="1" t="n"/>
      <c r="Q414" s="1" t="n"/>
      <c r="R414" s="1" t="n"/>
    </row>
    <row r="415" ht="15.75" customHeight="1" s="143">
      <c r="B415" s="1" t="n"/>
      <c r="C415" s="1" t="n"/>
      <c r="D415" s="1" t="n"/>
      <c r="E415" s="1" t="n"/>
      <c r="F415" s="1" t="n"/>
      <c r="H415" s="1" t="n"/>
      <c r="I415" s="1" t="n"/>
      <c r="J415" s="1" t="n"/>
      <c r="K415" s="1" t="n"/>
      <c r="L415" s="1" t="n"/>
      <c r="N415" s="1" t="n"/>
      <c r="O415" s="1" t="n"/>
      <c r="P415" s="1" t="n"/>
      <c r="Q415" s="1" t="n"/>
      <c r="R415" s="1" t="n"/>
    </row>
    <row r="416" ht="15.75" customHeight="1" s="143">
      <c r="B416" s="1" t="n"/>
      <c r="C416" s="1" t="n"/>
      <c r="D416" s="1" t="n"/>
      <c r="E416" s="1" t="n"/>
      <c r="F416" s="1" t="n"/>
      <c r="H416" s="1" t="n"/>
      <c r="I416" s="1" t="n"/>
      <c r="J416" s="1" t="n"/>
      <c r="K416" s="1" t="n"/>
      <c r="L416" s="1" t="n"/>
      <c r="N416" s="1" t="n"/>
      <c r="O416" s="1" t="n"/>
      <c r="P416" s="1" t="n"/>
      <c r="Q416" s="1" t="n"/>
      <c r="R416" s="1" t="n"/>
    </row>
    <row r="417" ht="15.75" customHeight="1" s="143">
      <c r="B417" s="1" t="n"/>
      <c r="C417" s="1" t="n"/>
      <c r="D417" s="1" t="n"/>
      <c r="E417" s="1" t="n"/>
      <c r="F417" s="1" t="n"/>
      <c r="H417" s="1" t="n"/>
      <c r="I417" s="1" t="n"/>
      <c r="J417" s="1" t="n"/>
      <c r="K417" s="1" t="n"/>
      <c r="L417" s="1" t="n"/>
      <c r="N417" s="1" t="n"/>
      <c r="O417" s="1" t="n"/>
      <c r="P417" s="1" t="n"/>
      <c r="Q417" s="1" t="n"/>
      <c r="R417" s="1" t="n"/>
    </row>
    <row r="418" ht="15.75" customHeight="1" s="143">
      <c r="B418" s="1" t="n"/>
      <c r="C418" s="1" t="n"/>
      <c r="D418" s="1" t="n"/>
      <c r="E418" s="1" t="n"/>
      <c r="F418" s="1" t="n"/>
      <c r="H418" s="1" t="n"/>
      <c r="I418" s="1" t="n"/>
      <c r="J418" s="1" t="n"/>
      <c r="K418" s="1" t="n"/>
      <c r="L418" s="1" t="n"/>
      <c r="N418" s="1" t="n"/>
      <c r="O418" s="1" t="n"/>
      <c r="P418" s="1" t="n"/>
      <c r="Q418" s="1" t="n"/>
      <c r="R418" s="1" t="n"/>
    </row>
    <row r="419" ht="15.75" customHeight="1" s="143">
      <c r="B419" s="1" t="n"/>
      <c r="C419" s="1" t="n"/>
      <c r="D419" s="1" t="n"/>
      <c r="E419" s="1" t="n"/>
      <c r="F419" s="1" t="n"/>
      <c r="H419" s="1" t="n"/>
      <c r="I419" s="1" t="n"/>
      <c r="J419" s="1" t="n"/>
      <c r="K419" s="1" t="n"/>
      <c r="L419" s="1" t="n"/>
      <c r="N419" s="1" t="n"/>
      <c r="O419" s="1" t="n"/>
      <c r="P419" s="1" t="n"/>
      <c r="Q419" s="1" t="n"/>
      <c r="R419" s="1" t="n"/>
    </row>
    <row r="420" ht="15.75" customHeight="1" s="143">
      <c r="B420" s="1" t="n"/>
      <c r="C420" s="1" t="n"/>
      <c r="D420" s="1" t="n"/>
      <c r="E420" s="1" t="n"/>
      <c r="F420" s="1" t="n"/>
      <c r="H420" s="1" t="n"/>
      <c r="I420" s="1" t="n"/>
      <c r="J420" s="1" t="n"/>
      <c r="K420" s="1" t="n"/>
      <c r="L420" s="1" t="n"/>
      <c r="N420" s="1" t="n"/>
      <c r="O420" s="1" t="n"/>
      <c r="P420" s="1" t="n"/>
      <c r="Q420" s="1" t="n"/>
      <c r="R420" s="1" t="n"/>
    </row>
    <row r="421" ht="15.75" customHeight="1" s="143">
      <c r="B421" s="1" t="n"/>
      <c r="C421" s="1" t="n"/>
      <c r="D421" s="1" t="n"/>
      <c r="E421" s="1" t="n"/>
      <c r="F421" s="1" t="n"/>
      <c r="H421" s="1" t="n"/>
      <c r="I421" s="1" t="n"/>
      <c r="J421" s="1" t="n"/>
      <c r="K421" s="1" t="n"/>
      <c r="L421" s="1" t="n"/>
      <c r="N421" s="1" t="n"/>
      <c r="O421" s="1" t="n"/>
      <c r="P421" s="1" t="n"/>
      <c r="Q421" s="1" t="n"/>
      <c r="R421" s="1" t="n"/>
    </row>
    <row r="422" ht="15.75" customHeight="1" s="143">
      <c r="B422" s="1" t="n"/>
      <c r="C422" s="1" t="n"/>
      <c r="D422" s="1" t="n"/>
      <c r="E422" s="1" t="n"/>
      <c r="F422" s="1" t="n"/>
      <c r="H422" s="1" t="n"/>
      <c r="I422" s="1" t="n"/>
      <c r="J422" s="1" t="n"/>
      <c r="K422" s="1" t="n"/>
      <c r="L422" s="1" t="n"/>
      <c r="N422" s="1" t="n"/>
      <c r="O422" s="1" t="n"/>
      <c r="P422" s="1" t="n"/>
      <c r="Q422" s="1" t="n"/>
      <c r="R422" s="1" t="n"/>
    </row>
    <row r="423" ht="15.75" customHeight="1" s="143">
      <c r="B423" s="1" t="n"/>
      <c r="C423" s="1" t="n"/>
      <c r="D423" s="1" t="n"/>
      <c r="E423" s="1" t="n"/>
      <c r="F423" s="1" t="n"/>
      <c r="H423" s="1" t="n"/>
      <c r="I423" s="1" t="n"/>
      <c r="J423" s="1" t="n"/>
      <c r="K423" s="1" t="n"/>
      <c r="L423" s="1" t="n"/>
      <c r="N423" s="1" t="n"/>
      <c r="O423" s="1" t="n"/>
      <c r="P423" s="1" t="n"/>
      <c r="Q423" s="1" t="n"/>
      <c r="R423" s="1" t="n"/>
    </row>
    <row r="424" ht="15.75" customHeight="1" s="143">
      <c r="B424" s="1" t="n"/>
      <c r="C424" s="1" t="n"/>
      <c r="D424" s="1" t="n"/>
      <c r="E424" s="1" t="n"/>
      <c r="F424" s="1" t="n"/>
      <c r="H424" s="1" t="n"/>
      <c r="I424" s="1" t="n"/>
      <c r="J424" s="1" t="n"/>
      <c r="K424" s="1" t="n"/>
      <c r="L424" s="1" t="n"/>
      <c r="N424" s="1" t="n"/>
      <c r="O424" s="1" t="n"/>
      <c r="P424" s="1" t="n"/>
      <c r="Q424" s="1" t="n"/>
      <c r="R424" s="1" t="n"/>
    </row>
    <row r="425" ht="15.75" customHeight="1" s="143">
      <c r="B425" s="1" t="n"/>
      <c r="C425" s="1" t="n"/>
      <c r="D425" s="1" t="n"/>
      <c r="E425" s="1" t="n"/>
      <c r="F425" s="1" t="n"/>
      <c r="H425" s="1" t="n"/>
      <c r="I425" s="1" t="n"/>
      <c r="J425" s="1" t="n"/>
      <c r="K425" s="1" t="n"/>
      <c r="L425" s="1" t="n"/>
      <c r="N425" s="1" t="n"/>
      <c r="O425" s="1" t="n"/>
      <c r="P425" s="1" t="n"/>
      <c r="Q425" s="1" t="n"/>
      <c r="R425" s="1" t="n"/>
    </row>
    <row r="426" ht="15.75" customHeight="1" s="143">
      <c r="B426" s="1" t="n"/>
      <c r="C426" s="1" t="n"/>
      <c r="D426" s="1" t="n"/>
      <c r="E426" s="1" t="n"/>
      <c r="F426" s="1" t="n"/>
      <c r="H426" s="1" t="n"/>
      <c r="I426" s="1" t="n"/>
      <c r="J426" s="1" t="n"/>
      <c r="K426" s="1" t="n"/>
      <c r="L426" s="1" t="n"/>
      <c r="N426" s="1" t="n"/>
      <c r="O426" s="1" t="n"/>
      <c r="P426" s="1" t="n"/>
      <c r="Q426" s="1" t="n"/>
      <c r="R426" s="1" t="n"/>
    </row>
    <row r="427" ht="15.75" customHeight="1" s="143">
      <c r="B427" s="1" t="n"/>
      <c r="C427" s="1" t="n"/>
      <c r="D427" s="1" t="n"/>
      <c r="E427" s="1" t="n"/>
      <c r="F427" s="1" t="n"/>
      <c r="H427" s="1" t="n"/>
      <c r="I427" s="1" t="n"/>
      <c r="J427" s="1" t="n"/>
      <c r="K427" s="1" t="n"/>
      <c r="L427" s="1" t="n"/>
      <c r="N427" s="1" t="n"/>
      <c r="O427" s="1" t="n"/>
      <c r="P427" s="1" t="n"/>
      <c r="Q427" s="1" t="n"/>
      <c r="R427" s="1" t="n"/>
    </row>
    <row r="428" ht="15.75" customHeight="1" s="143">
      <c r="B428" s="1" t="n"/>
      <c r="C428" s="1" t="n"/>
      <c r="D428" s="1" t="n"/>
      <c r="E428" s="1" t="n"/>
      <c r="F428" s="1" t="n"/>
      <c r="H428" s="1" t="n"/>
      <c r="I428" s="1" t="n"/>
      <c r="J428" s="1" t="n"/>
      <c r="K428" s="1" t="n"/>
      <c r="L428" s="1" t="n"/>
      <c r="N428" s="1" t="n"/>
      <c r="O428" s="1" t="n"/>
      <c r="P428" s="1" t="n"/>
      <c r="Q428" s="1" t="n"/>
      <c r="R428" s="1" t="n"/>
    </row>
    <row r="429" ht="15.75" customHeight="1" s="143">
      <c r="B429" s="1" t="n"/>
      <c r="C429" s="1" t="n"/>
      <c r="D429" s="1" t="n"/>
      <c r="E429" s="1" t="n"/>
      <c r="F429" s="1" t="n"/>
      <c r="H429" s="1" t="n"/>
      <c r="I429" s="1" t="n"/>
      <c r="J429" s="1" t="n"/>
      <c r="K429" s="1" t="n"/>
      <c r="L429" s="1" t="n"/>
      <c r="N429" s="1" t="n"/>
      <c r="O429" s="1" t="n"/>
      <c r="P429" s="1" t="n"/>
      <c r="Q429" s="1" t="n"/>
      <c r="R429" s="1" t="n"/>
    </row>
    <row r="430" ht="15.75" customHeight="1" s="143">
      <c r="B430" s="1" t="n"/>
      <c r="C430" s="1" t="n"/>
      <c r="D430" s="1" t="n"/>
      <c r="E430" s="1" t="n"/>
      <c r="F430" s="1" t="n"/>
      <c r="H430" s="1" t="n"/>
      <c r="I430" s="1" t="n"/>
      <c r="J430" s="1" t="n"/>
      <c r="K430" s="1" t="n"/>
      <c r="L430" s="1" t="n"/>
      <c r="N430" s="1" t="n"/>
      <c r="O430" s="1" t="n"/>
      <c r="P430" s="1" t="n"/>
      <c r="Q430" s="1" t="n"/>
      <c r="R430" s="1" t="n"/>
    </row>
    <row r="431" ht="15.75" customHeight="1" s="143">
      <c r="B431" s="1" t="n"/>
      <c r="C431" s="1" t="n"/>
      <c r="D431" s="1" t="n"/>
      <c r="E431" s="1" t="n"/>
      <c r="F431" s="1" t="n"/>
      <c r="H431" s="1" t="n"/>
      <c r="I431" s="1" t="n"/>
      <c r="J431" s="1" t="n"/>
      <c r="K431" s="1" t="n"/>
      <c r="L431" s="1" t="n"/>
      <c r="N431" s="1" t="n"/>
      <c r="O431" s="1" t="n"/>
      <c r="P431" s="1" t="n"/>
      <c r="Q431" s="1" t="n"/>
      <c r="R431" s="1" t="n"/>
    </row>
    <row r="432" ht="15.75" customHeight="1" s="143">
      <c r="B432" s="1" t="n"/>
      <c r="C432" s="1" t="n"/>
      <c r="D432" s="1" t="n"/>
      <c r="E432" s="1" t="n"/>
      <c r="F432" s="1" t="n"/>
      <c r="H432" s="1" t="n"/>
      <c r="I432" s="1" t="n"/>
      <c r="J432" s="1" t="n"/>
      <c r="K432" s="1" t="n"/>
      <c r="L432" s="1" t="n"/>
      <c r="N432" s="1" t="n"/>
      <c r="O432" s="1" t="n"/>
      <c r="P432" s="1" t="n"/>
      <c r="Q432" s="1" t="n"/>
      <c r="R432" s="1" t="n"/>
    </row>
    <row r="433" ht="15.75" customHeight="1" s="143">
      <c r="B433" s="1" t="n"/>
      <c r="C433" s="1" t="n"/>
      <c r="D433" s="1" t="n"/>
      <c r="E433" s="1" t="n"/>
      <c r="F433" s="1" t="n"/>
      <c r="H433" s="1" t="n"/>
      <c r="I433" s="1" t="n"/>
      <c r="J433" s="1" t="n"/>
      <c r="K433" s="1" t="n"/>
      <c r="L433" s="1" t="n"/>
      <c r="N433" s="1" t="n"/>
      <c r="O433" s="1" t="n"/>
      <c r="P433" s="1" t="n"/>
      <c r="Q433" s="1" t="n"/>
      <c r="R433" s="1" t="n"/>
    </row>
    <row r="434" ht="15.75" customHeight="1" s="143">
      <c r="B434" s="1" t="n"/>
      <c r="C434" s="1" t="n"/>
      <c r="D434" s="1" t="n"/>
      <c r="E434" s="1" t="n"/>
      <c r="F434" s="1" t="n"/>
      <c r="H434" s="1" t="n"/>
      <c r="I434" s="1" t="n"/>
      <c r="J434" s="1" t="n"/>
      <c r="K434" s="1" t="n"/>
      <c r="L434" s="1" t="n"/>
      <c r="N434" s="1" t="n"/>
      <c r="O434" s="1" t="n"/>
      <c r="P434" s="1" t="n"/>
      <c r="Q434" s="1" t="n"/>
      <c r="R434" s="1" t="n"/>
    </row>
    <row r="435" ht="15.75" customHeight="1" s="143">
      <c r="B435" s="1" t="n"/>
      <c r="C435" s="1" t="n"/>
      <c r="D435" s="1" t="n"/>
      <c r="E435" s="1" t="n"/>
      <c r="F435" s="1" t="n"/>
      <c r="H435" s="1" t="n"/>
      <c r="I435" s="1" t="n"/>
      <c r="J435" s="1" t="n"/>
      <c r="K435" s="1" t="n"/>
      <c r="L435" s="1" t="n"/>
      <c r="N435" s="1" t="n"/>
      <c r="O435" s="1" t="n"/>
      <c r="P435" s="1" t="n"/>
      <c r="Q435" s="1" t="n"/>
      <c r="R435" s="1" t="n"/>
    </row>
    <row r="436" ht="15.75" customHeight="1" s="143">
      <c r="B436" s="1" t="n"/>
      <c r="C436" s="1" t="n"/>
      <c r="D436" s="1" t="n"/>
      <c r="E436" s="1" t="n"/>
      <c r="F436" s="1" t="n"/>
      <c r="H436" s="1" t="n"/>
      <c r="I436" s="1" t="n"/>
      <c r="J436" s="1" t="n"/>
      <c r="K436" s="1" t="n"/>
      <c r="L436" s="1" t="n"/>
      <c r="N436" s="1" t="n"/>
      <c r="O436" s="1" t="n"/>
      <c r="P436" s="1" t="n"/>
      <c r="Q436" s="1" t="n"/>
      <c r="R436" s="1" t="n"/>
    </row>
    <row r="437" ht="15.75" customHeight="1" s="143">
      <c r="B437" s="1" t="n"/>
      <c r="C437" s="1" t="n"/>
      <c r="D437" s="1" t="n"/>
      <c r="E437" s="1" t="n"/>
      <c r="F437" s="1" t="n"/>
      <c r="H437" s="1" t="n"/>
      <c r="I437" s="1" t="n"/>
      <c r="J437" s="1" t="n"/>
      <c r="K437" s="1" t="n"/>
      <c r="L437" s="1" t="n"/>
      <c r="N437" s="1" t="n"/>
      <c r="O437" s="1" t="n"/>
      <c r="P437" s="1" t="n"/>
      <c r="Q437" s="1" t="n"/>
      <c r="R437" s="1" t="n"/>
    </row>
    <row r="438" ht="15.75" customHeight="1" s="143">
      <c r="B438" s="1" t="n"/>
      <c r="C438" s="1" t="n"/>
      <c r="D438" s="1" t="n"/>
      <c r="E438" s="1" t="n"/>
      <c r="F438" s="1" t="n"/>
      <c r="H438" s="1" t="n"/>
      <c r="I438" s="1" t="n"/>
      <c r="J438" s="1" t="n"/>
      <c r="K438" s="1" t="n"/>
      <c r="L438" s="1" t="n"/>
      <c r="N438" s="1" t="n"/>
      <c r="O438" s="1" t="n"/>
      <c r="P438" s="1" t="n"/>
      <c r="Q438" s="1" t="n"/>
      <c r="R438" s="1" t="n"/>
    </row>
    <row r="439" ht="15.75" customHeight="1" s="143">
      <c r="B439" s="1" t="n"/>
      <c r="C439" s="1" t="n"/>
      <c r="D439" s="1" t="n"/>
      <c r="E439" s="1" t="n"/>
      <c r="F439" s="1" t="n"/>
      <c r="H439" s="1" t="n"/>
      <c r="I439" s="1" t="n"/>
      <c r="J439" s="1" t="n"/>
      <c r="K439" s="1" t="n"/>
      <c r="L439" s="1" t="n"/>
      <c r="N439" s="1" t="n"/>
      <c r="O439" s="1" t="n"/>
      <c r="P439" s="1" t="n"/>
      <c r="Q439" s="1" t="n"/>
      <c r="R439" s="1" t="n"/>
    </row>
    <row r="440" ht="15.75" customHeight="1" s="143">
      <c r="B440" s="1" t="n"/>
      <c r="C440" s="1" t="n"/>
      <c r="D440" s="1" t="n"/>
      <c r="E440" s="1" t="n"/>
      <c r="F440" s="1" t="n"/>
      <c r="H440" s="1" t="n"/>
      <c r="I440" s="1" t="n"/>
      <c r="J440" s="1" t="n"/>
      <c r="K440" s="1" t="n"/>
      <c r="L440" s="1" t="n"/>
      <c r="N440" s="1" t="n"/>
      <c r="O440" s="1" t="n"/>
      <c r="P440" s="1" t="n"/>
      <c r="Q440" s="1" t="n"/>
      <c r="R440" s="1" t="n"/>
    </row>
    <row r="441" ht="15.75" customHeight="1" s="143">
      <c r="B441" s="1" t="n"/>
      <c r="C441" s="1" t="n"/>
      <c r="D441" s="1" t="n"/>
      <c r="E441" s="1" t="n"/>
      <c r="F441" s="1" t="n"/>
      <c r="H441" s="1" t="n"/>
      <c r="I441" s="1" t="n"/>
      <c r="J441" s="1" t="n"/>
      <c r="K441" s="1" t="n"/>
      <c r="L441" s="1" t="n"/>
      <c r="N441" s="1" t="n"/>
      <c r="O441" s="1" t="n"/>
      <c r="P441" s="1" t="n"/>
      <c r="Q441" s="1" t="n"/>
      <c r="R441" s="1" t="n"/>
    </row>
    <row r="442" ht="15.75" customHeight="1" s="143">
      <c r="B442" s="1" t="n"/>
      <c r="C442" s="1" t="n"/>
      <c r="D442" s="1" t="n"/>
      <c r="E442" s="1" t="n"/>
      <c r="F442" s="1" t="n"/>
      <c r="H442" s="1" t="n"/>
      <c r="I442" s="1" t="n"/>
      <c r="J442" s="1" t="n"/>
      <c r="K442" s="1" t="n"/>
      <c r="L442" s="1" t="n"/>
      <c r="N442" s="1" t="n"/>
      <c r="O442" s="1" t="n"/>
      <c r="P442" s="1" t="n"/>
      <c r="Q442" s="1" t="n"/>
      <c r="R442" s="1" t="n"/>
    </row>
    <row r="443" ht="15.75" customHeight="1" s="143">
      <c r="B443" s="1" t="n"/>
      <c r="C443" s="1" t="n"/>
      <c r="D443" s="1" t="n"/>
      <c r="E443" s="1" t="n"/>
      <c r="F443" s="1" t="n"/>
      <c r="H443" s="1" t="n"/>
      <c r="I443" s="1" t="n"/>
      <c r="J443" s="1" t="n"/>
      <c r="K443" s="1" t="n"/>
      <c r="L443" s="1" t="n"/>
      <c r="N443" s="1" t="n"/>
      <c r="O443" s="1" t="n"/>
      <c r="P443" s="1" t="n"/>
      <c r="Q443" s="1" t="n"/>
      <c r="R443" s="1" t="n"/>
    </row>
    <row r="444" ht="15.75" customHeight="1" s="143">
      <c r="B444" s="1" t="n"/>
      <c r="C444" s="1" t="n"/>
      <c r="D444" s="1" t="n"/>
      <c r="E444" s="1" t="n"/>
      <c r="F444" s="1" t="n"/>
      <c r="H444" s="1" t="n"/>
      <c r="I444" s="1" t="n"/>
      <c r="J444" s="1" t="n"/>
      <c r="K444" s="1" t="n"/>
      <c r="L444" s="1" t="n"/>
      <c r="N444" s="1" t="n"/>
      <c r="O444" s="1" t="n"/>
      <c r="P444" s="1" t="n"/>
      <c r="Q444" s="1" t="n"/>
      <c r="R444" s="1" t="n"/>
    </row>
    <row r="445" ht="15.75" customHeight="1" s="143">
      <c r="B445" s="1" t="n"/>
      <c r="C445" s="1" t="n"/>
      <c r="D445" s="1" t="n"/>
      <c r="E445" s="1" t="n"/>
      <c r="F445" s="1" t="n"/>
      <c r="H445" s="1" t="n"/>
      <c r="I445" s="1" t="n"/>
      <c r="J445" s="1" t="n"/>
      <c r="K445" s="1" t="n"/>
      <c r="L445" s="1" t="n"/>
      <c r="N445" s="1" t="n"/>
      <c r="O445" s="1" t="n"/>
      <c r="P445" s="1" t="n"/>
      <c r="Q445" s="1" t="n"/>
      <c r="R445" s="1" t="n"/>
    </row>
    <row r="446" ht="15.75" customHeight="1" s="143">
      <c r="B446" s="1" t="n"/>
      <c r="C446" s="1" t="n"/>
      <c r="D446" s="1" t="n"/>
      <c r="E446" s="1" t="n"/>
      <c r="F446" s="1" t="n"/>
      <c r="H446" s="1" t="n"/>
      <c r="I446" s="1" t="n"/>
      <c r="J446" s="1" t="n"/>
      <c r="K446" s="1" t="n"/>
      <c r="L446" s="1" t="n"/>
      <c r="N446" s="1" t="n"/>
      <c r="O446" s="1" t="n"/>
      <c r="P446" s="1" t="n"/>
      <c r="Q446" s="1" t="n"/>
      <c r="R446" s="1" t="n"/>
    </row>
    <row r="447" ht="15.75" customHeight="1" s="143">
      <c r="B447" s="1" t="n"/>
      <c r="C447" s="1" t="n"/>
      <c r="D447" s="1" t="n"/>
      <c r="E447" s="1" t="n"/>
      <c r="F447" s="1" t="n"/>
      <c r="H447" s="1" t="n"/>
      <c r="I447" s="1" t="n"/>
      <c r="J447" s="1" t="n"/>
      <c r="K447" s="1" t="n"/>
      <c r="L447" s="1" t="n"/>
      <c r="N447" s="1" t="n"/>
      <c r="O447" s="1" t="n"/>
      <c r="P447" s="1" t="n"/>
      <c r="Q447" s="1" t="n"/>
      <c r="R447" s="1" t="n"/>
    </row>
    <row r="448" ht="15.75" customHeight="1" s="143">
      <c r="B448" s="1" t="n"/>
      <c r="C448" s="1" t="n"/>
      <c r="D448" s="1" t="n"/>
      <c r="E448" s="1" t="n"/>
      <c r="F448" s="1" t="n"/>
      <c r="H448" s="1" t="n"/>
      <c r="I448" s="1" t="n"/>
      <c r="J448" s="1" t="n"/>
      <c r="K448" s="1" t="n"/>
      <c r="L448" s="1" t="n"/>
      <c r="N448" s="1" t="n"/>
      <c r="O448" s="1" t="n"/>
      <c r="P448" s="1" t="n"/>
      <c r="Q448" s="1" t="n"/>
      <c r="R448" s="1" t="n"/>
    </row>
    <row r="449" ht="15.75" customHeight="1" s="143">
      <c r="B449" s="1" t="n"/>
      <c r="C449" s="1" t="n"/>
      <c r="D449" s="1" t="n"/>
      <c r="E449" s="1" t="n"/>
      <c r="F449" s="1" t="n"/>
      <c r="H449" s="1" t="n"/>
      <c r="I449" s="1" t="n"/>
      <c r="J449" s="1" t="n"/>
      <c r="K449" s="1" t="n"/>
      <c r="L449" s="1" t="n"/>
      <c r="N449" s="1" t="n"/>
      <c r="O449" s="1" t="n"/>
      <c r="P449" s="1" t="n"/>
      <c r="Q449" s="1" t="n"/>
      <c r="R449" s="1" t="n"/>
    </row>
    <row r="450" ht="15.75" customHeight="1" s="143">
      <c r="B450" s="1" t="n"/>
      <c r="C450" s="1" t="n"/>
      <c r="D450" s="1" t="n"/>
      <c r="E450" s="1" t="n"/>
      <c r="F450" s="1" t="n"/>
      <c r="H450" s="1" t="n"/>
      <c r="I450" s="1" t="n"/>
      <c r="J450" s="1" t="n"/>
      <c r="K450" s="1" t="n"/>
      <c r="L450" s="1" t="n"/>
      <c r="N450" s="1" t="n"/>
      <c r="O450" s="1" t="n"/>
      <c r="P450" s="1" t="n"/>
      <c r="Q450" s="1" t="n"/>
      <c r="R450" s="1" t="n"/>
    </row>
    <row r="451" ht="15.75" customHeight="1" s="143">
      <c r="B451" s="1" t="n"/>
      <c r="C451" s="1" t="n"/>
      <c r="D451" s="1" t="n"/>
      <c r="E451" s="1" t="n"/>
      <c r="F451" s="1" t="n"/>
      <c r="H451" s="1" t="n"/>
      <c r="I451" s="1" t="n"/>
      <c r="J451" s="1" t="n"/>
      <c r="K451" s="1" t="n"/>
      <c r="L451" s="1" t="n"/>
      <c r="N451" s="1" t="n"/>
      <c r="O451" s="1" t="n"/>
      <c r="P451" s="1" t="n"/>
      <c r="Q451" s="1" t="n"/>
      <c r="R451" s="1" t="n"/>
    </row>
    <row r="452" ht="15.75" customHeight="1" s="143">
      <c r="B452" s="1" t="n"/>
      <c r="C452" s="1" t="n"/>
      <c r="D452" s="1" t="n"/>
      <c r="E452" s="1" t="n"/>
      <c r="F452" s="1" t="n"/>
      <c r="H452" s="1" t="n"/>
      <c r="I452" s="1" t="n"/>
      <c r="J452" s="1" t="n"/>
      <c r="K452" s="1" t="n"/>
      <c r="L452" s="1" t="n"/>
      <c r="N452" s="1" t="n"/>
      <c r="O452" s="1" t="n"/>
      <c r="P452" s="1" t="n"/>
      <c r="Q452" s="1" t="n"/>
      <c r="R452" s="1" t="n"/>
    </row>
    <row r="453" ht="15.75" customHeight="1" s="143">
      <c r="B453" s="1" t="n"/>
      <c r="C453" s="1" t="n"/>
      <c r="D453" s="1" t="n"/>
      <c r="E453" s="1" t="n"/>
      <c r="F453" s="1" t="n"/>
      <c r="H453" s="1" t="n"/>
      <c r="I453" s="1" t="n"/>
      <c r="J453" s="1" t="n"/>
      <c r="K453" s="1" t="n"/>
      <c r="L453" s="1" t="n"/>
      <c r="N453" s="1" t="n"/>
      <c r="O453" s="1" t="n"/>
      <c r="P453" s="1" t="n"/>
      <c r="Q453" s="1" t="n"/>
      <c r="R453" s="1" t="n"/>
    </row>
    <row r="454" ht="15.75" customHeight="1" s="143">
      <c r="B454" s="1" t="n"/>
      <c r="C454" s="1" t="n"/>
      <c r="D454" s="1" t="n"/>
      <c r="E454" s="1" t="n"/>
      <c r="F454" s="1" t="n"/>
      <c r="H454" s="1" t="n"/>
      <c r="I454" s="1" t="n"/>
      <c r="J454" s="1" t="n"/>
      <c r="K454" s="1" t="n"/>
      <c r="L454" s="1" t="n"/>
      <c r="N454" s="1" t="n"/>
      <c r="O454" s="1" t="n"/>
      <c r="P454" s="1" t="n"/>
      <c r="Q454" s="1" t="n"/>
      <c r="R454" s="1" t="n"/>
    </row>
    <row r="455" ht="15.75" customHeight="1" s="143">
      <c r="B455" s="1" t="n"/>
      <c r="C455" s="1" t="n"/>
      <c r="D455" s="1" t="n"/>
      <c r="E455" s="1" t="n"/>
      <c r="F455" s="1" t="n"/>
      <c r="H455" s="1" t="n"/>
      <c r="I455" s="1" t="n"/>
      <c r="J455" s="1" t="n"/>
      <c r="K455" s="1" t="n"/>
      <c r="L455" s="1" t="n"/>
      <c r="N455" s="1" t="n"/>
      <c r="O455" s="1" t="n"/>
      <c r="P455" s="1" t="n"/>
      <c r="Q455" s="1" t="n"/>
      <c r="R455" s="1" t="n"/>
    </row>
    <row r="456" ht="15.75" customHeight="1" s="143">
      <c r="B456" s="1" t="n"/>
      <c r="C456" s="1" t="n"/>
      <c r="D456" s="1" t="n"/>
      <c r="E456" s="1" t="n"/>
      <c r="F456" s="1" t="n"/>
      <c r="H456" s="1" t="n"/>
      <c r="I456" s="1" t="n"/>
      <c r="J456" s="1" t="n"/>
      <c r="K456" s="1" t="n"/>
      <c r="L456" s="1" t="n"/>
      <c r="N456" s="1" t="n"/>
      <c r="O456" s="1" t="n"/>
      <c r="P456" s="1" t="n"/>
      <c r="Q456" s="1" t="n"/>
      <c r="R456" s="1" t="n"/>
    </row>
    <row r="457" ht="15.75" customHeight="1" s="143">
      <c r="B457" s="1" t="n"/>
      <c r="C457" s="1" t="n"/>
      <c r="D457" s="1" t="n"/>
      <c r="E457" s="1" t="n"/>
      <c r="F457" s="1" t="n"/>
      <c r="H457" s="1" t="n"/>
      <c r="I457" s="1" t="n"/>
      <c r="J457" s="1" t="n"/>
      <c r="K457" s="1" t="n"/>
      <c r="L457" s="1" t="n"/>
      <c r="N457" s="1" t="n"/>
      <c r="O457" s="1" t="n"/>
      <c r="P457" s="1" t="n"/>
      <c r="Q457" s="1" t="n"/>
      <c r="R457" s="1" t="n"/>
    </row>
    <row r="458" ht="15.75" customHeight="1" s="143">
      <c r="B458" s="1" t="n"/>
      <c r="C458" s="1" t="n"/>
      <c r="D458" s="1" t="n"/>
      <c r="E458" s="1" t="n"/>
      <c r="F458" s="1" t="n"/>
      <c r="H458" s="1" t="n"/>
      <c r="I458" s="1" t="n"/>
      <c r="J458" s="1" t="n"/>
      <c r="K458" s="1" t="n"/>
      <c r="L458" s="1" t="n"/>
      <c r="N458" s="1" t="n"/>
      <c r="O458" s="1" t="n"/>
      <c r="P458" s="1" t="n"/>
      <c r="Q458" s="1" t="n"/>
      <c r="R458" s="1" t="n"/>
    </row>
    <row r="459" ht="15.75" customHeight="1" s="143">
      <c r="B459" s="1" t="n"/>
      <c r="C459" s="1" t="n"/>
      <c r="D459" s="1" t="n"/>
      <c r="E459" s="1" t="n"/>
      <c r="F459" s="1" t="n"/>
      <c r="H459" s="1" t="n"/>
      <c r="I459" s="1" t="n"/>
      <c r="J459" s="1" t="n"/>
      <c r="K459" s="1" t="n"/>
      <c r="L459" s="1" t="n"/>
      <c r="N459" s="1" t="n"/>
      <c r="O459" s="1" t="n"/>
      <c r="P459" s="1" t="n"/>
      <c r="Q459" s="1" t="n"/>
      <c r="R459" s="1" t="n"/>
    </row>
    <row r="460" ht="15.75" customHeight="1" s="143">
      <c r="B460" s="1" t="n"/>
      <c r="C460" s="1" t="n"/>
      <c r="D460" s="1" t="n"/>
      <c r="E460" s="1" t="n"/>
      <c r="F460" s="1" t="n"/>
      <c r="H460" s="1" t="n"/>
      <c r="I460" s="1" t="n"/>
      <c r="J460" s="1" t="n"/>
      <c r="K460" s="1" t="n"/>
      <c r="L460" s="1" t="n"/>
      <c r="N460" s="1" t="n"/>
      <c r="O460" s="1" t="n"/>
      <c r="P460" s="1" t="n"/>
      <c r="Q460" s="1" t="n"/>
      <c r="R460" s="1" t="n"/>
    </row>
    <row r="461" ht="15.75" customHeight="1" s="143">
      <c r="B461" s="1" t="n"/>
      <c r="C461" s="1" t="n"/>
      <c r="D461" s="1" t="n"/>
      <c r="E461" s="1" t="n"/>
      <c r="F461" s="1" t="n"/>
      <c r="H461" s="1" t="n"/>
      <c r="I461" s="1" t="n"/>
      <c r="J461" s="1" t="n"/>
      <c r="K461" s="1" t="n"/>
      <c r="L461" s="1" t="n"/>
      <c r="N461" s="1" t="n"/>
      <c r="O461" s="1" t="n"/>
      <c r="P461" s="1" t="n"/>
      <c r="Q461" s="1" t="n"/>
      <c r="R461" s="1" t="n"/>
    </row>
    <row r="462" ht="15.75" customHeight="1" s="143">
      <c r="B462" s="1" t="n"/>
      <c r="C462" s="1" t="n"/>
      <c r="D462" s="1" t="n"/>
      <c r="E462" s="1" t="n"/>
      <c r="F462" s="1" t="n"/>
      <c r="H462" s="1" t="n"/>
      <c r="I462" s="1" t="n"/>
      <c r="J462" s="1" t="n"/>
      <c r="K462" s="1" t="n"/>
      <c r="L462" s="1" t="n"/>
      <c r="N462" s="1" t="n"/>
      <c r="O462" s="1" t="n"/>
      <c r="P462" s="1" t="n"/>
      <c r="Q462" s="1" t="n"/>
      <c r="R462" s="1" t="n"/>
    </row>
    <row r="463" ht="15.75" customHeight="1" s="143">
      <c r="B463" s="1" t="n"/>
      <c r="C463" s="1" t="n"/>
      <c r="D463" s="1" t="n"/>
      <c r="E463" s="1" t="n"/>
      <c r="F463" s="1" t="n"/>
      <c r="H463" s="1" t="n"/>
      <c r="I463" s="1" t="n"/>
      <c r="J463" s="1" t="n"/>
      <c r="K463" s="1" t="n"/>
      <c r="L463" s="1" t="n"/>
      <c r="N463" s="1" t="n"/>
      <c r="O463" s="1" t="n"/>
      <c r="P463" s="1" t="n"/>
      <c r="Q463" s="1" t="n"/>
      <c r="R463" s="1" t="n"/>
    </row>
    <row r="464" ht="15.75" customHeight="1" s="143">
      <c r="B464" s="1" t="n"/>
      <c r="C464" s="1" t="n"/>
      <c r="D464" s="1" t="n"/>
      <c r="E464" s="1" t="n"/>
      <c r="F464" s="1" t="n"/>
      <c r="H464" s="1" t="n"/>
      <c r="I464" s="1" t="n"/>
      <c r="J464" s="1" t="n"/>
      <c r="K464" s="1" t="n"/>
      <c r="L464" s="1" t="n"/>
      <c r="N464" s="1" t="n"/>
      <c r="O464" s="1" t="n"/>
      <c r="P464" s="1" t="n"/>
      <c r="Q464" s="1" t="n"/>
      <c r="R464" s="1" t="n"/>
    </row>
    <row r="465" ht="15.75" customHeight="1" s="143">
      <c r="B465" s="1" t="n"/>
      <c r="C465" s="1" t="n"/>
      <c r="D465" s="1" t="n"/>
      <c r="E465" s="1" t="n"/>
      <c r="F465" s="1" t="n"/>
      <c r="H465" s="1" t="n"/>
      <c r="I465" s="1" t="n"/>
      <c r="J465" s="1" t="n"/>
      <c r="K465" s="1" t="n"/>
      <c r="L465" s="1" t="n"/>
      <c r="N465" s="1" t="n"/>
      <c r="O465" s="1" t="n"/>
      <c r="P465" s="1" t="n"/>
      <c r="Q465" s="1" t="n"/>
      <c r="R465" s="1" t="n"/>
    </row>
    <row r="466" ht="15.75" customHeight="1" s="143">
      <c r="B466" s="1" t="n"/>
      <c r="C466" s="1" t="n"/>
      <c r="D466" s="1" t="n"/>
      <c r="E466" s="1" t="n"/>
      <c r="F466" s="1" t="n"/>
      <c r="H466" s="1" t="n"/>
      <c r="I466" s="1" t="n"/>
      <c r="J466" s="1" t="n"/>
      <c r="K466" s="1" t="n"/>
      <c r="L466" s="1" t="n"/>
      <c r="N466" s="1" t="n"/>
      <c r="O466" s="1" t="n"/>
      <c r="P466" s="1" t="n"/>
      <c r="Q466" s="1" t="n"/>
      <c r="R466" s="1" t="n"/>
    </row>
    <row r="467" ht="15.75" customHeight="1" s="143">
      <c r="B467" s="1" t="n"/>
      <c r="C467" s="1" t="n"/>
      <c r="D467" s="1" t="n"/>
      <c r="E467" s="1" t="n"/>
      <c r="F467" s="1" t="n"/>
      <c r="H467" s="1" t="n"/>
      <c r="I467" s="1" t="n"/>
      <c r="J467" s="1" t="n"/>
      <c r="K467" s="1" t="n"/>
      <c r="L467" s="1" t="n"/>
      <c r="N467" s="1" t="n"/>
      <c r="O467" s="1" t="n"/>
      <c r="P467" s="1" t="n"/>
      <c r="Q467" s="1" t="n"/>
      <c r="R467" s="1" t="n"/>
    </row>
    <row r="468" ht="15.75" customHeight="1" s="143">
      <c r="B468" s="1" t="n"/>
      <c r="C468" s="1" t="n"/>
      <c r="D468" s="1" t="n"/>
      <c r="E468" s="1" t="n"/>
      <c r="F468" s="1" t="n"/>
      <c r="H468" s="1" t="n"/>
      <c r="I468" s="1" t="n"/>
      <c r="J468" s="1" t="n"/>
      <c r="K468" s="1" t="n"/>
      <c r="L468" s="1" t="n"/>
      <c r="N468" s="1" t="n"/>
      <c r="O468" s="1" t="n"/>
      <c r="P468" s="1" t="n"/>
      <c r="Q468" s="1" t="n"/>
      <c r="R468" s="1" t="n"/>
    </row>
    <row r="469" ht="15.75" customHeight="1" s="143">
      <c r="B469" s="1" t="n"/>
      <c r="C469" s="1" t="n"/>
      <c r="D469" s="1" t="n"/>
      <c r="E469" s="1" t="n"/>
      <c r="F469" s="1" t="n"/>
      <c r="H469" s="1" t="n"/>
      <c r="I469" s="1" t="n"/>
      <c r="J469" s="1" t="n"/>
      <c r="K469" s="1" t="n"/>
      <c r="L469" s="1" t="n"/>
      <c r="N469" s="1" t="n"/>
      <c r="O469" s="1" t="n"/>
      <c r="P469" s="1" t="n"/>
      <c r="Q469" s="1" t="n"/>
      <c r="R469" s="1" t="n"/>
    </row>
    <row r="470" ht="15.75" customHeight="1" s="143">
      <c r="B470" s="1" t="n"/>
      <c r="C470" s="1" t="n"/>
      <c r="D470" s="1" t="n"/>
      <c r="E470" s="1" t="n"/>
      <c r="F470" s="1" t="n"/>
      <c r="H470" s="1" t="n"/>
      <c r="I470" s="1" t="n"/>
      <c r="J470" s="1" t="n"/>
      <c r="K470" s="1" t="n"/>
      <c r="L470" s="1" t="n"/>
      <c r="N470" s="1" t="n"/>
      <c r="O470" s="1" t="n"/>
      <c r="P470" s="1" t="n"/>
      <c r="Q470" s="1" t="n"/>
      <c r="R470" s="1" t="n"/>
    </row>
    <row r="471" ht="15.75" customHeight="1" s="143">
      <c r="B471" s="1" t="n"/>
      <c r="C471" s="1" t="n"/>
      <c r="D471" s="1" t="n"/>
      <c r="E471" s="1" t="n"/>
      <c r="F471" s="1" t="n"/>
      <c r="H471" s="1" t="n"/>
      <c r="I471" s="1" t="n"/>
      <c r="J471" s="1" t="n"/>
      <c r="K471" s="1" t="n"/>
      <c r="L471" s="1" t="n"/>
      <c r="N471" s="1" t="n"/>
      <c r="O471" s="1" t="n"/>
      <c r="P471" s="1" t="n"/>
      <c r="Q471" s="1" t="n"/>
      <c r="R471" s="1" t="n"/>
    </row>
    <row r="472" ht="15.75" customHeight="1" s="143">
      <c r="B472" s="1" t="n"/>
      <c r="C472" s="1" t="n"/>
      <c r="D472" s="1" t="n"/>
      <c r="E472" s="1" t="n"/>
      <c r="F472" s="1" t="n"/>
      <c r="H472" s="1" t="n"/>
      <c r="I472" s="1" t="n"/>
      <c r="J472" s="1" t="n"/>
      <c r="K472" s="1" t="n"/>
      <c r="L472" s="1" t="n"/>
      <c r="N472" s="1" t="n"/>
      <c r="O472" s="1" t="n"/>
      <c r="P472" s="1" t="n"/>
      <c r="Q472" s="1" t="n"/>
      <c r="R472" s="1" t="n"/>
    </row>
    <row r="473" ht="15.75" customHeight="1" s="143">
      <c r="B473" s="1" t="n"/>
      <c r="C473" s="1" t="n"/>
      <c r="D473" s="1" t="n"/>
      <c r="E473" s="1" t="n"/>
      <c r="F473" s="1" t="n"/>
      <c r="H473" s="1" t="n"/>
      <c r="I473" s="1" t="n"/>
      <c r="J473" s="1" t="n"/>
      <c r="K473" s="1" t="n"/>
      <c r="L473" s="1" t="n"/>
      <c r="N473" s="1" t="n"/>
      <c r="O473" s="1" t="n"/>
      <c r="P473" s="1" t="n"/>
      <c r="Q473" s="1" t="n"/>
      <c r="R473" s="1" t="n"/>
    </row>
    <row r="474" ht="15.75" customHeight="1" s="143">
      <c r="B474" s="1" t="n"/>
      <c r="C474" s="1" t="n"/>
      <c r="D474" s="1" t="n"/>
      <c r="E474" s="1" t="n"/>
      <c r="F474" s="1" t="n"/>
      <c r="H474" s="1" t="n"/>
      <c r="I474" s="1" t="n"/>
      <c r="J474" s="1" t="n"/>
      <c r="K474" s="1" t="n"/>
      <c r="L474" s="1" t="n"/>
      <c r="N474" s="1" t="n"/>
      <c r="O474" s="1" t="n"/>
      <c r="P474" s="1" t="n"/>
      <c r="Q474" s="1" t="n"/>
      <c r="R474" s="1" t="n"/>
    </row>
    <row r="475" ht="15.75" customHeight="1" s="143">
      <c r="B475" s="1" t="n"/>
      <c r="C475" s="1" t="n"/>
      <c r="D475" s="1" t="n"/>
      <c r="E475" s="1" t="n"/>
      <c r="F475" s="1" t="n"/>
      <c r="H475" s="1" t="n"/>
      <c r="I475" s="1" t="n"/>
      <c r="J475" s="1" t="n"/>
      <c r="K475" s="1" t="n"/>
      <c r="L475" s="1" t="n"/>
      <c r="N475" s="1" t="n"/>
      <c r="O475" s="1" t="n"/>
      <c r="P475" s="1" t="n"/>
      <c r="Q475" s="1" t="n"/>
      <c r="R475" s="1" t="n"/>
    </row>
    <row r="476" ht="15.75" customHeight="1" s="143">
      <c r="B476" s="1" t="n"/>
      <c r="C476" s="1" t="n"/>
      <c r="D476" s="1" t="n"/>
      <c r="E476" s="1" t="n"/>
      <c r="F476" s="1" t="n"/>
      <c r="H476" s="1" t="n"/>
      <c r="I476" s="1" t="n"/>
      <c r="J476" s="1" t="n"/>
      <c r="K476" s="1" t="n"/>
      <c r="L476" s="1" t="n"/>
      <c r="N476" s="1" t="n"/>
      <c r="O476" s="1" t="n"/>
      <c r="P476" s="1" t="n"/>
      <c r="Q476" s="1" t="n"/>
      <c r="R476" s="1" t="n"/>
    </row>
    <row r="477" ht="15.75" customHeight="1" s="143">
      <c r="B477" s="1" t="n"/>
      <c r="C477" s="1" t="n"/>
      <c r="D477" s="1" t="n"/>
      <c r="E477" s="1" t="n"/>
      <c r="F477" s="1" t="n"/>
      <c r="H477" s="1" t="n"/>
      <c r="I477" s="1" t="n"/>
      <c r="J477" s="1" t="n"/>
      <c r="K477" s="1" t="n"/>
      <c r="L477" s="1" t="n"/>
      <c r="N477" s="1" t="n"/>
      <c r="O477" s="1" t="n"/>
      <c r="P477" s="1" t="n"/>
      <c r="Q477" s="1" t="n"/>
      <c r="R477" s="1" t="n"/>
    </row>
    <row r="478" ht="15.75" customHeight="1" s="143">
      <c r="B478" s="1" t="n"/>
      <c r="C478" s="1" t="n"/>
      <c r="D478" s="1" t="n"/>
      <c r="E478" s="1" t="n"/>
      <c r="F478" s="1" t="n"/>
      <c r="H478" s="1" t="n"/>
      <c r="I478" s="1" t="n"/>
      <c r="J478" s="1" t="n"/>
      <c r="K478" s="1" t="n"/>
      <c r="L478" s="1" t="n"/>
      <c r="N478" s="1" t="n"/>
      <c r="O478" s="1" t="n"/>
      <c r="P478" s="1" t="n"/>
      <c r="Q478" s="1" t="n"/>
      <c r="R478" s="1" t="n"/>
    </row>
    <row r="479" ht="15.75" customHeight="1" s="143">
      <c r="B479" s="1" t="n"/>
      <c r="C479" s="1" t="n"/>
      <c r="D479" s="1" t="n"/>
      <c r="E479" s="1" t="n"/>
      <c r="F479" s="1" t="n"/>
      <c r="H479" s="1" t="n"/>
      <c r="I479" s="1" t="n"/>
      <c r="J479" s="1" t="n"/>
      <c r="K479" s="1" t="n"/>
      <c r="L479" s="1" t="n"/>
      <c r="N479" s="1" t="n"/>
      <c r="O479" s="1" t="n"/>
      <c r="P479" s="1" t="n"/>
      <c r="Q479" s="1" t="n"/>
      <c r="R479" s="1" t="n"/>
    </row>
    <row r="480" ht="15.75" customHeight="1" s="143">
      <c r="B480" s="1" t="n"/>
      <c r="C480" s="1" t="n"/>
      <c r="D480" s="1" t="n"/>
      <c r="E480" s="1" t="n"/>
      <c r="F480" s="1" t="n"/>
      <c r="H480" s="1" t="n"/>
      <c r="I480" s="1" t="n"/>
      <c r="J480" s="1" t="n"/>
      <c r="K480" s="1" t="n"/>
      <c r="L480" s="1" t="n"/>
      <c r="N480" s="1" t="n"/>
      <c r="O480" s="1" t="n"/>
      <c r="P480" s="1" t="n"/>
      <c r="Q480" s="1" t="n"/>
      <c r="R480" s="1" t="n"/>
    </row>
    <row r="481" ht="15.75" customHeight="1" s="143">
      <c r="B481" s="1" t="n"/>
      <c r="C481" s="1" t="n"/>
      <c r="D481" s="1" t="n"/>
      <c r="E481" s="1" t="n"/>
      <c r="F481" s="1" t="n"/>
      <c r="H481" s="1" t="n"/>
      <c r="I481" s="1" t="n"/>
      <c r="J481" s="1" t="n"/>
      <c r="K481" s="1" t="n"/>
      <c r="L481" s="1" t="n"/>
      <c r="N481" s="1" t="n"/>
      <c r="O481" s="1" t="n"/>
      <c r="P481" s="1" t="n"/>
      <c r="Q481" s="1" t="n"/>
      <c r="R481" s="1" t="n"/>
    </row>
    <row r="482" ht="15.75" customHeight="1" s="143">
      <c r="B482" s="1" t="n"/>
      <c r="C482" s="1" t="n"/>
      <c r="D482" s="1" t="n"/>
      <c r="E482" s="1" t="n"/>
      <c r="F482" s="1" t="n"/>
      <c r="H482" s="1" t="n"/>
      <c r="I482" s="1" t="n"/>
      <c r="J482" s="1" t="n"/>
      <c r="K482" s="1" t="n"/>
      <c r="L482" s="1" t="n"/>
      <c r="N482" s="1" t="n"/>
      <c r="O482" s="1" t="n"/>
      <c r="P482" s="1" t="n"/>
      <c r="Q482" s="1" t="n"/>
      <c r="R482" s="1" t="n"/>
    </row>
    <row r="483" ht="15.75" customHeight="1" s="143">
      <c r="B483" s="1" t="n"/>
      <c r="C483" s="1" t="n"/>
      <c r="D483" s="1" t="n"/>
      <c r="E483" s="1" t="n"/>
      <c r="F483" s="1" t="n"/>
      <c r="H483" s="1" t="n"/>
      <c r="I483" s="1" t="n"/>
      <c r="J483" s="1" t="n"/>
      <c r="K483" s="1" t="n"/>
      <c r="L483" s="1" t="n"/>
      <c r="N483" s="1" t="n"/>
      <c r="O483" s="1" t="n"/>
      <c r="P483" s="1" t="n"/>
      <c r="Q483" s="1" t="n"/>
      <c r="R483" s="1" t="n"/>
    </row>
    <row r="484" ht="15.75" customHeight="1" s="143">
      <c r="B484" s="1" t="n"/>
      <c r="C484" s="1" t="n"/>
      <c r="D484" s="1" t="n"/>
      <c r="E484" s="1" t="n"/>
      <c r="F484" s="1" t="n"/>
      <c r="H484" s="1" t="n"/>
      <c r="I484" s="1" t="n"/>
      <c r="J484" s="1" t="n"/>
      <c r="K484" s="1" t="n"/>
      <c r="L484" s="1" t="n"/>
      <c r="N484" s="1" t="n"/>
      <c r="O484" s="1" t="n"/>
      <c r="P484" s="1" t="n"/>
      <c r="Q484" s="1" t="n"/>
      <c r="R484" s="1" t="n"/>
    </row>
    <row r="485" ht="15.75" customHeight="1" s="143">
      <c r="B485" s="1" t="n"/>
      <c r="C485" s="1" t="n"/>
      <c r="D485" s="1" t="n"/>
      <c r="E485" s="1" t="n"/>
      <c r="F485" s="1" t="n"/>
      <c r="H485" s="1" t="n"/>
      <c r="I485" s="1" t="n"/>
      <c r="J485" s="1" t="n"/>
      <c r="K485" s="1" t="n"/>
      <c r="L485" s="1" t="n"/>
      <c r="N485" s="1" t="n"/>
      <c r="O485" s="1" t="n"/>
      <c r="P485" s="1" t="n"/>
      <c r="Q485" s="1" t="n"/>
      <c r="R485" s="1" t="n"/>
    </row>
    <row r="486" ht="15.75" customHeight="1" s="143">
      <c r="B486" s="1" t="n"/>
      <c r="C486" s="1" t="n"/>
      <c r="D486" s="1" t="n"/>
      <c r="E486" s="1" t="n"/>
      <c r="F486" s="1" t="n"/>
      <c r="H486" s="1" t="n"/>
      <c r="I486" s="1" t="n"/>
      <c r="J486" s="1" t="n"/>
      <c r="K486" s="1" t="n"/>
      <c r="L486" s="1" t="n"/>
      <c r="N486" s="1" t="n"/>
      <c r="O486" s="1" t="n"/>
      <c r="P486" s="1" t="n"/>
      <c r="Q486" s="1" t="n"/>
      <c r="R486" s="1" t="n"/>
    </row>
    <row r="487" ht="15.75" customHeight="1" s="143">
      <c r="B487" s="1" t="n"/>
      <c r="C487" s="1" t="n"/>
      <c r="D487" s="1" t="n"/>
      <c r="E487" s="1" t="n"/>
      <c r="F487" s="1" t="n"/>
      <c r="H487" s="1" t="n"/>
      <c r="I487" s="1" t="n"/>
      <c r="J487" s="1" t="n"/>
      <c r="K487" s="1" t="n"/>
      <c r="L487" s="1" t="n"/>
      <c r="N487" s="1" t="n"/>
      <c r="O487" s="1" t="n"/>
      <c r="P487" s="1" t="n"/>
      <c r="Q487" s="1" t="n"/>
      <c r="R487" s="1" t="n"/>
    </row>
    <row r="488" ht="15.75" customHeight="1" s="143">
      <c r="B488" s="1" t="n"/>
      <c r="C488" s="1" t="n"/>
      <c r="D488" s="1" t="n"/>
      <c r="E488" s="1" t="n"/>
      <c r="F488" s="1" t="n"/>
      <c r="H488" s="1" t="n"/>
      <c r="I488" s="1" t="n"/>
      <c r="J488" s="1" t="n"/>
      <c r="K488" s="1" t="n"/>
      <c r="L488" s="1" t="n"/>
      <c r="N488" s="1" t="n"/>
      <c r="O488" s="1" t="n"/>
      <c r="P488" s="1" t="n"/>
      <c r="Q488" s="1" t="n"/>
      <c r="R488" s="1" t="n"/>
    </row>
    <row r="489" ht="15.75" customHeight="1" s="143">
      <c r="B489" s="1" t="n"/>
      <c r="C489" s="1" t="n"/>
      <c r="D489" s="1" t="n"/>
      <c r="E489" s="1" t="n"/>
      <c r="F489" s="1" t="n"/>
      <c r="H489" s="1" t="n"/>
      <c r="I489" s="1" t="n"/>
      <c r="J489" s="1" t="n"/>
      <c r="K489" s="1" t="n"/>
      <c r="L489" s="1" t="n"/>
      <c r="N489" s="1" t="n"/>
      <c r="O489" s="1" t="n"/>
      <c r="P489" s="1" t="n"/>
      <c r="Q489" s="1" t="n"/>
      <c r="R489" s="1" t="n"/>
    </row>
    <row r="490" ht="15.75" customHeight="1" s="143">
      <c r="B490" s="1" t="n"/>
      <c r="C490" s="1" t="n"/>
      <c r="D490" s="1" t="n"/>
      <c r="E490" s="1" t="n"/>
      <c r="F490" s="1" t="n"/>
      <c r="H490" s="1" t="n"/>
      <c r="I490" s="1" t="n"/>
      <c r="J490" s="1" t="n"/>
      <c r="K490" s="1" t="n"/>
      <c r="L490" s="1" t="n"/>
      <c r="N490" s="1" t="n"/>
      <c r="O490" s="1" t="n"/>
      <c r="P490" s="1" t="n"/>
      <c r="Q490" s="1" t="n"/>
      <c r="R490" s="1" t="n"/>
    </row>
    <row r="491" ht="15.75" customHeight="1" s="143">
      <c r="B491" s="1" t="n"/>
      <c r="C491" s="1" t="n"/>
      <c r="D491" s="1" t="n"/>
      <c r="E491" s="1" t="n"/>
      <c r="F491" s="1" t="n"/>
      <c r="H491" s="1" t="n"/>
      <c r="I491" s="1" t="n"/>
      <c r="J491" s="1" t="n"/>
      <c r="K491" s="1" t="n"/>
      <c r="L491" s="1" t="n"/>
      <c r="N491" s="1" t="n"/>
      <c r="O491" s="1" t="n"/>
      <c r="P491" s="1" t="n"/>
      <c r="Q491" s="1" t="n"/>
      <c r="R491" s="1" t="n"/>
    </row>
    <row r="492" ht="15.75" customHeight="1" s="143">
      <c r="B492" s="1" t="n"/>
      <c r="C492" s="1" t="n"/>
      <c r="D492" s="1" t="n"/>
      <c r="E492" s="1" t="n"/>
      <c r="F492" s="1" t="n"/>
      <c r="H492" s="1" t="n"/>
      <c r="I492" s="1" t="n"/>
      <c r="J492" s="1" t="n"/>
      <c r="K492" s="1" t="n"/>
      <c r="L492" s="1" t="n"/>
      <c r="N492" s="1" t="n"/>
      <c r="O492" s="1" t="n"/>
      <c r="P492" s="1" t="n"/>
      <c r="Q492" s="1" t="n"/>
      <c r="R492" s="1" t="n"/>
    </row>
    <row r="493" ht="15.75" customHeight="1" s="143">
      <c r="B493" s="1" t="n"/>
      <c r="C493" s="1" t="n"/>
      <c r="D493" s="1" t="n"/>
      <c r="E493" s="1" t="n"/>
      <c r="F493" s="1" t="n"/>
      <c r="H493" s="1" t="n"/>
      <c r="I493" s="1" t="n"/>
      <c r="J493" s="1" t="n"/>
      <c r="K493" s="1" t="n"/>
      <c r="L493" s="1" t="n"/>
      <c r="N493" s="1" t="n"/>
      <c r="O493" s="1" t="n"/>
      <c r="P493" s="1" t="n"/>
      <c r="Q493" s="1" t="n"/>
      <c r="R493" s="1" t="n"/>
    </row>
    <row r="494" ht="15.75" customHeight="1" s="143">
      <c r="B494" s="1" t="n"/>
      <c r="C494" s="1" t="n"/>
      <c r="D494" s="1" t="n"/>
      <c r="E494" s="1" t="n"/>
      <c r="F494" s="1" t="n"/>
      <c r="H494" s="1" t="n"/>
      <c r="I494" s="1" t="n"/>
      <c r="J494" s="1" t="n"/>
      <c r="K494" s="1" t="n"/>
      <c r="L494" s="1" t="n"/>
      <c r="N494" s="1" t="n"/>
      <c r="O494" s="1" t="n"/>
      <c r="P494" s="1" t="n"/>
      <c r="Q494" s="1" t="n"/>
      <c r="R494" s="1" t="n"/>
    </row>
    <row r="495" ht="15.75" customHeight="1" s="143">
      <c r="B495" s="1" t="n"/>
      <c r="C495" s="1" t="n"/>
      <c r="D495" s="1" t="n"/>
      <c r="E495" s="1" t="n"/>
      <c r="F495" s="1" t="n"/>
      <c r="H495" s="1" t="n"/>
      <c r="I495" s="1" t="n"/>
      <c r="J495" s="1" t="n"/>
      <c r="K495" s="1" t="n"/>
      <c r="L495" s="1" t="n"/>
      <c r="N495" s="1" t="n"/>
      <c r="O495" s="1" t="n"/>
      <c r="P495" s="1" t="n"/>
      <c r="Q495" s="1" t="n"/>
      <c r="R495" s="1" t="n"/>
    </row>
    <row r="496" ht="15.75" customHeight="1" s="143">
      <c r="B496" s="1" t="n"/>
      <c r="C496" s="1" t="n"/>
      <c r="D496" s="1" t="n"/>
      <c r="E496" s="1" t="n"/>
      <c r="F496" s="1" t="n"/>
      <c r="H496" s="1" t="n"/>
      <c r="I496" s="1" t="n"/>
      <c r="J496" s="1" t="n"/>
      <c r="K496" s="1" t="n"/>
      <c r="L496" s="1" t="n"/>
      <c r="N496" s="1" t="n"/>
      <c r="O496" s="1" t="n"/>
      <c r="P496" s="1" t="n"/>
      <c r="Q496" s="1" t="n"/>
      <c r="R496" s="1" t="n"/>
    </row>
    <row r="497" ht="15.75" customHeight="1" s="143">
      <c r="B497" s="1" t="n"/>
      <c r="C497" s="1" t="n"/>
      <c r="D497" s="1" t="n"/>
      <c r="E497" s="1" t="n"/>
      <c r="F497" s="1" t="n"/>
      <c r="H497" s="1" t="n"/>
      <c r="I497" s="1" t="n"/>
      <c r="J497" s="1" t="n"/>
      <c r="K497" s="1" t="n"/>
      <c r="L497" s="1" t="n"/>
      <c r="N497" s="1" t="n"/>
      <c r="O497" s="1" t="n"/>
      <c r="P497" s="1" t="n"/>
      <c r="Q497" s="1" t="n"/>
      <c r="R497" s="1" t="n"/>
    </row>
    <row r="498" ht="15.75" customHeight="1" s="143">
      <c r="B498" s="1" t="n"/>
      <c r="C498" s="1" t="n"/>
      <c r="D498" s="1" t="n"/>
      <c r="E498" s="1" t="n"/>
      <c r="F498" s="1" t="n"/>
      <c r="H498" s="1" t="n"/>
      <c r="I498" s="1" t="n"/>
      <c r="J498" s="1" t="n"/>
      <c r="K498" s="1" t="n"/>
      <c r="L498" s="1" t="n"/>
      <c r="N498" s="1" t="n"/>
      <c r="O498" s="1" t="n"/>
      <c r="P498" s="1" t="n"/>
      <c r="Q498" s="1" t="n"/>
      <c r="R498" s="1" t="n"/>
    </row>
    <row r="499" ht="15.75" customHeight="1" s="143">
      <c r="B499" s="1" t="n"/>
      <c r="C499" s="1" t="n"/>
      <c r="D499" s="1" t="n"/>
      <c r="E499" s="1" t="n"/>
      <c r="F499" s="1" t="n"/>
      <c r="H499" s="1" t="n"/>
      <c r="I499" s="1" t="n"/>
      <c r="J499" s="1" t="n"/>
      <c r="K499" s="1" t="n"/>
      <c r="L499" s="1" t="n"/>
      <c r="N499" s="1" t="n"/>
      <c r="O499" s="1" t="n"/>
      <c r="P499" s="1" t="n"/>
      <c r="Q499" s="1" t="n"/>
      <c r="R499" s="1" t="n"/>
    </row>
    <row r="500" ht="15.75" customHeight="1" s="143">
      <c r="B500" s="1" t="n"/>
      <c r="C500" s="1" t="n"/>
      <c r="D500" s="1" t="n"/>
      <c r="E500" s="1" t="n"/>
      <c r="F500" s="1" t="n"/>
      <c r="H500" s="1" t="n"/>
      <c r="I500" s="1" t="n"/>
      <c r="J500" s="1" t="n"/>
      <c r="K500" s="1" t="n"/>
      <c r="L500" s="1" t="n"/>
      <c r="N500" s="1" t="n"/>
      <c r="O500" s="1" t="n"/>
      <c r="P500" s="1" t="n"/>
      <c r="Q500" s="1" t="n"/>
      <c r="R500" s="1" t="n"/>
    </row>
    <row r="501" ht="15.75" customHeight="1" s="143">
      <c r="B501" s="1" t="n"/>
      <c r="C501" s="1" t="n"/>
      <c r="D501" s="1" t="n"/>
      <c r="E501" s="1" t="n"/>
      <c r="F501" s="1" t="n"/>
      <c r="H501" s="1" t="n"/>
      <c r="I501" s="1" t="n"/>
      <c r="J501" s="1" t="n"/>
      <c r="K501" s="1" t="n"/>
      <c r="L501" s="1" t="n"/>
      <c r="N501" s="1" t="n"/>
      <c r="O501" s="1" t="n"/>
      <c r="P501" s="1" t="n"/>
      <c r="Q501" s="1" t="n"/>
      <c r="R501" s="1" t="n"/>
    </row>
    <row r="502" ht="15.75" customHeight="1" s="143">
      <c r="B502" s="1" t="n"/>
      <c r="C502" s="1" t="n"/>
      <c r="D502" s="1" t="n"/>
      <c r="E502" s="1" t="n"/>
      <c r="F502" s="1" t="n"/>
      <c r="H502" s="1" t="n"/>
      <c r="I502" s="1" t="n"/>
      <c r="J502" s="1" t="n"/>
      <c r="K502" s="1" t="n"/>
      <c r="L502" s="1" t="n"/>
      <c r="N502" s="1" t="n"/>
      <c r="O502" s="1" t="n"/>
      <c r="P502" s="1" t="n"/>
      <c r="Q502" s="1" t="n"/>
      <c r="R502" s="1" t="n"/>
    </row>
    <row r="503" ht="15.75" customHeight="1" s="143">
      <c r="B503" s="1" t="n"/>
      <c r="C503" s="1" t="n"/>
      <c r="D503" s="1" t="n"/>
      <c r="E503" s="1" t="n"/>
      <c r="F503" s="1" t="n"/>
      <c r="H503" s="1" t="n"/>
      <c r="I503" s="1" t="n"/>
      <c r="J503" s="1" t="n"/>
      <c r="K503" s="1" t="n"/>
      <c r="L503" s="1" t="n"/>
      <c r="N503" s="1" t="n"/>
      <c r="O503" s="1" t="n"/>
      <c r="P503" s="1" t="n"/>
      <c r="Q503" s="1" t="n"/>
      <c r="R503" s="1" t="n"/>
    </row>
    <row r="504" ht="15.75" customHeight="1" s="143">
      <c r="B504" s="1" t="n"/>
      <c r="C504" s="1" t="n"/>
      <c r="D504" s="1" t="n"/>
      <c r="E504" s="1" t="n"/>
      <c r="F504" s="1" t="n"/>
      <c r="H504" s="1" t="n"/>
      <c r="I504" s="1" t="n"/>
      <c r="J504" s="1" t="n"/>
      <c r="K504" s="1" t="n"/>
      <c r="L504" s="1" t="n"/>
      <c r="N504" s="1" t="n"/>
      <c r="O504" s="1" t="n"/>
      <c r="P504" s="1" t="n"/>
      <c r="Q504" s="1" t="n"/>
      <c r="R504" s="1" t="n"/>
    </row>
    <row r="505" ht="15.75" customHeight="1" s="143">
      <c r="B505" s="1" t="n"/>
      <c r="C505" s="1" t="n"/>
      <c r="D505" s="1" t="n"/>
      <c r="E505" s="1" t="n"/>
      <c r="F505" s="1" t="n"/>
      <c r="H505" s="1" t="n"/>
      <c r="I505" s="1" t="n"/>
      <c r="J505" s="1" t="n"/>
      <c r="K505" s="1" t="n"/>
      <c r="L505" s="1" t="n"/>
      <c r="N505" s="1" t="n"/>
      <c r="O505" s="1" t="n"/>
      <c r="P505" s="1" t="n"/>
      <c r="Q505" s="1" t="n"/>
      <c r="R505" s="1" t="n"/>
    </row>
    <row r="506" ht="15.75" customHeight="1" s="143">
      <c r="B506" s="1" t="n"/>
      <c r="C506" s="1" t="n"/>
      <c r="D506" s="1" t="n"/>
      <c r="E506" s="1" t="n"/>
      <c r="F506" s="1" t="n"/>
      <c r="H506" s="1" t="n"/>
      <c r="I506" s="1" t="n"/>
      <c r="J506" s="1" t="n"/>
      <c r="K506" s="1" t="n"/>
      <c r="L506" s="1" t="n"/>
      <c r="N506" s="1" t="n"/>
      <c r="O506" s="1" t="n"/>
      <c r="P506" s="1" t="n"/>
      <c r="Q506" s="1" t="n"/>
      <c r="R506" s="1" t="n"/>
    </row>
    <row r="507" ht="15.75" customHeight="1" s="143">
      <c r="B507" s="1" t="n"/>
      <c r="C507" s="1" t="n"/>
      <c r="D507" s="1" t="n"/>
      <c r="E507" s="1" t="n"/>
      <c r="F507" s="1" t="n"/>
      <c r="H507" s="1" t="n"/>
      <c r="I507" s="1" t="n"/>
      <c r="J507" s="1" t="n"/>
      <c r="K507" s="1" t="n"/>
      <c r="L507" s="1" t="n"/>
      <c r="N507" s="1" t="n"/>
      <c r="O507" s="1" t="n"/>
      <c r="P507" s="1" t="n"/>
      <c r="Q507" s="1" t="n"/>
      <c r="R507" s="1" t="n"/>
    </row>
    <row r="508" ht="15.75" customHeight="1" s="143">
      <c r="B508" s="1" t="n"/>
      <c r="C508" s="1" t="n"/>
      <c r="D508" s="1" t="n"/>
      <c r="E508" s="1" t="n"/>
      <c r="F508" s="1" t="n"/>
      <c r="H508" s="1" t="n"/>
      <c r="I508" s="1" t="n"/>
      <c r="J508" s="1" t="n"/>
      <c r="K508" s="1" t="n"/>
      <c r="L508" s="1" t="n"/>
      <c r="N508" s="1" t="n"/>
      <c r="O508" s="1" t="n"/>
      <c r="P508" s="1" t="n"/>
      <c r="Q508" s="1" t="n"/>
      <c r="R508" s="1" t="n"/>
    </row>
    <row r="509" ht="15.75" customHeight="1" s="143">
      <c r="B509" s="1" t="n"/>
      <c r="C509" s="1" t="n"/>
      <c r="D509" s="1" t="n"/>
      <c r="E509" s="1" t="n"/>
      <c r="F509" s="1" t="n"/>
      <c r="H509" s="1" t="n"/>
      <c r="I509" s="1" t="n"/>
      <c r="J509" s="1" t="n"/>
      <c r="K509" s="1" t="n"/>
      <c r="L509" s="1" t="n"/>
      <c r="N509" s="1" t="n"/>
      <c r="O509" s="1" t="n"/>
      <c r="P509" s="1" t="n"/>
      <c r="Q509" s="1" t="n"/>
      <c r="R509" s="1" t="n"/>
    </row>
    <row r="510" ht="15.75" customHeight="1" s="143">
      <c r="B510" s="1" t="n"/>
      <c r="C510" s="1" t="n"/>
      <c r="D510" s="1" t="n"/>
      <c r="E510" s="1" t="n"/>
      <c r="F510" s="1" t="n"/>
      <c r="H510" s="1" t="n"/>
      <c r="I510" s="1" t="n"/>
      <c r="J510" s="1" t="n"/>
      <c r="K510" s="1" t="n"/>
      <c r="L510" s="1" t="n"/>
      <c r="N510" s="1" t="n"/>
      <c r="O510" s="1" t="n"/>
      <c r="P510" s="1" t="n"/>
      <c r="Q510" s="1" t="n"/>
      <c r="R510" s="1" t="n"/>
    </row>
    <row r="511" ht="15.75" customHeight="1" s="143">
      <c r="B511" s="1" t="n"/>
      <c r="C511" s="1" t="n"/>
      <c r="D511" s="1" t="n"/>
      <c r="E511" s="1" t="n"/>
      <c r="F511" s="1" t="n"/>
      <c r="H511" s="1" t="n"/>
      <c r="I511" s="1" t="n"/>
      <c r="J511" s="1" t="n"/>
      <c r="K511" s="1" t="n"/>
      <c r="L511" s="1" t="n"/>
      <c r="N511" s="1" t="n"/>
      <c r="O511" s="1" t="n"/>
      <c r="P511" s="1" t="n"/>
      <c r="Q511" s="1" t="n"/>
      <c r="R511" s="1" t="n"/>
    </row>
    <row r="512" ht="15.75" customHeight="1" s="143">
      <c r="B512" s="1" t="n"/>
      <c r="C512" s="1" t="n"/>
      <c r="D512" s="1" t="n"/>
      <c r="E512" s="1" t="n"/>
      <c r="F512" s="1" t="n"/>
      <c r="H512" s="1" t="n"/>
      <c r="I512" s="1" t="n"/>
      <c r="J512" s="1" t="n"/>
      <c r="K512" s="1" t="n"/>
      <c r="L512" s="1" t="n"/>
      <c r="N512" s="1" t="n"/>
      <c r="O512" s="1" t="n"/>
      <c r="P512" s="1" t="n"/>
      <c r="Q512" s="1" t="n"/>
      <c r="R512" s="1" t="n"/>
    </row>
    <row r="513" ht="15.75" customHeight="1" s="143">
      <c r="B513" s="1" t="n"/>
      <c r="C513" s="1" t="n"/>
      <c r="D513" s="1" t="n"/>
      <c r="E513" s="1" t="n"/>
      <c r="F513" s="1" t="n"/>
      <c r="H513" s="1" t="n"/>
      <c r="I513" s="1" t="n"/>
      <c r="J513" s="1" t="n"/>
      <c r="K513" s="1" t="n"/>
      <c r="L513" s="1" t="n"/>
      <c r="N513" s="1" t="n"/>
      <c r="O513" s="1" t="n"/>
      <c r="P513" s="1" t="n"/>
      <c r="Q513" s="1" t="n"/>
      <c r="R513" s="1" t="n"/>
    </row>
    <row r="514" ht="15.75" customHeight="1" s="143">
      <c r="B514" s="1" t="n"/>
      <c r="C514" s="1" t="n"/>
      <c r="D514" s="1" t="n"/>
      <c r="E514" s="1" t="n"/>
      <c r="F514" s="1" t="n"/>
      <c r="H514" s="1" t="n"/>
      <c r="I514" s="1" t="n"/>
      <c r="J514" s="1" t="n"/>
      <c r="K514" s="1" t="n"/>
      <c r="L514" s="1" t="n"/>
      <c r="N514" s="1" t="n"/>
      <c r="O514" s="1" t="n"/>
      <c r="P514" s="1" t="n"/>
      <c r="Q514" s="1" t="n"/>
      <c r="R514" s="1" t="n"/>
    </row>
    <row r="515" ht="15.75" customHeight="1" s="143">
      <c r="B515" s="1" t="n"/>
      <c r="C515" s="1" t="n"/>
      <c r="D515" s="1" t="n"/>
      <c r="E515" s="1" t="n"/>
      <c r="F515" s="1" t="n"/>
      <c r="H515" s="1" t="n"/>
      <c r="I515" s="1" t="n"/>
      <c r="J515" s="1" t="n"/>
      <c r="K515" s="1" t="n"/>
      <c r="L515" s="1" t="n"/>
      <c r="N515" s="1" t="n"/>
      <c r="O515" s="1" t="n"/>
      <c r="P515" s="1" t="n"/>
      <c r="Q515" s="1" t="n"/>
      <c r="R515" s="1" t="n"/>
    </row>
    <row r="516" ht="15.75" customHeight="1" s="143">
      <c r="B516" s="1" t="n"/>
      <c r="C516" s="1" t="n"/>
      <c r="D516" s="1" t="n"/>
      <c r="E516" s="1" t="n"/>
      <c r="F516" s="1" t="n"/>
      <c r="H516" s="1" t="n"/>
      <c r="I516" s="1" t="n"/>
      <c r="J516" s="1" t="n"/>
      <c r="K516" s="1" t="n"/>
      <c r="L516" s="1" t="n"/>
      <c r="N516" s="1" t="n"/>
      <c r="O516" s="1" t="n"/>
      <c r="P516" s="1" t="n"/>
      <c r="Q516" s="1" t="n"/>
      <c r="R516" s="1" t="n"/>
    </row>
    <row r="517" ht="15.75" customHeight="1" s="143">
      <c r="B517" s="1" t="n"/>
      <c r="C517" s="1" t="n"/>
      <c r="D517" s="1" t="n"/>
      <c r="E517" s="1" t="n"/>
      <c r="F517" s="1" t="n"/>
      <c r="H517" s="1" t="n"/>
      <c r="I517" s="1" t="n"/>
      <c r="J517" s="1" t="n"/>
      <c r="K517" s="1" t="n"/>
      <c r="L517" s="1" t="n"/>
      <c r="N517" s="1" t="n"/>
      <c r="O517" s="1" t="n"/>
      <c r="P517" s="1" t="n"/>
      <c r="Q517" s="1" t="n"/>
      <c r="R517" s="1" t="n"/>
    </row>
    <row r="518" ht="15.75" customHeight="1" s="143">
      <c r="B518" s="1" t="n"/>
      <c r="C518" s="1" t="n"/>
      <c r="D518" s="1" t="n"/>
      <c r="E518" s="1" t="n"/>
      <c r="F518" s="1" t="n"/>
      <c r="H518" s="1" t="n"/>
      <c r="I518" s="1" t="n"/>
      <c r="J518" s="1" t="n"/>
      <c r="K518" s="1" t="n"/>
      <c r="L518" s="1" t="n"/>
      <c r="N518" s="1" t="n"/>
      <c r="O518" s="1" t="n"/>
      <c r="P518" s="1" t="n"/>
      <c r="Q518" s="1" t="n"/>
      <c r="R518" s="1" t="n"/>
    </row>
    <row r="519" ht="15.75" customHeight="1" s="143">
      <c r="B519" s="1" t="n"/>
      <c r="C519" s="1" t="n"/>
      <c r="D519" s="1" t="n"/>
      <c r="E519" s="1" t="n"/>
      <c r="F519" s="1" t="n"/>
      <c r="H519" s="1" t="n"/>
      <c r="I519" s="1" t="n"/>
      <c r="J519" s="1" t="n"/>
      <c r="K519" s="1" t="n"/>
      <c r="L519" s="1" t="n"/>
      <c r="N519" s="1" t="n"/>
      <c r="O519" s="1" t="n"/>
      <c r="P519" s="1" t="n"/>
      <c r="Q519" s="1" t="n"/>
      <c r="R519" s="1" t="n"/>
    </row>
    <row r="520" ht="15.75" customHeight="1" s="143">
      <c r="B520" s="1" t="n"/>
      <c r="C520" s="1" t="n"/>
      <c r="D520" s="1" t="n"/>
      <c r="E520" s="1" t="n"/>
      <c r="F520" s="1" t="n"/>
      <c r="H520" s="1" t="n"/>
      <c r="I520" s="1" t="n"/>
      <c r="J520" s="1" t="n"/>
      <c r="K520" s="1" t="n"/>
      <c r="L520" s="1" t="n"/>
      <c r="N520" s="1" t="n"/>
      <c r="O520" s="1" t="n"/>
      <c r="P520" s="1" t="n"/>
      <c r="Q520" s="1" t="n"/>
      <c r="R520" s="1" t="n"/>
    </row>
    <row r="521" ht="15.75" customHeight="1" s="143">
      <c r="B521" s="1" t="n"/>
      <c r="C521" s="1" t="n"/>
      <c r="D521" s="1" t="n"/>
      <c r="E521" s="1" t="n"/>
      <c r="F521" s="1" t="n"/>
      <c r="H521" s="1" t="n"/>
      <c r="I521" s="1" t="n"/>
      <c r="J521" s="1" t="n"/>
      <c r="K521" s="1" t="n"/>
      <c r="L521" s="1" t="n"/>
      <c r="N521" s="1" t="n"/>
      <c r="O521" s="1" t="n"/>
      <c r="P521" s="1" t="n"/>
      <c r="Q521" s="1" t="n"/>
      <c r="R521" s="1" t="n"/>
    </row>
    <row r="522" ht="15.75" customHeight="1" s="143">
      <c r="B522" s="1" t="n"/>
      <c r="C522" s="1" t="n"/>
      <c r="D522" s="1" t="n"/>
      <c r="E522" s="1" t="n"/>
      <c r="F522" s="1" t="n"/>
      <c r="H522" s="1" t="n"/>
      <c r="I522" s="1" t="n"/>
      <c r="J522" s="1" t="n"/>
      <c r="K522" s="1" t="n"/>
      <c r="L522" s="1" t="n"/>
      <c r="N522" s="1" t="n"/>
      <c r="O522" s="1" t="n"/>
      <c r="P522" s="1" t="n"/>
      <c r="Q522" s="1" t="n"/>
      <c r="R522" s="1" t="n"/>
    </row>
    <row r="523" ht="15.75" customHeight="1" s="143">
      <c r="B523" s="1" t="n"/>
      <c r="C523" s="1" t="n"/>
      <c r="D523" s="1" t="n"/>
      <c r="E523" s="1" t="n"/>
      <c r="F523" s="1" t="n"/>
      <c r="H523" s="1" t="n"/>
      <c r="I523" s="1" t="n"/>
      <c r="J523" s="1" t="n"/>
      <c r="K523" s="1" t="n"/>
      <c r="L523" s="1" t="n"/>
      <c r="N523" s="1" t="n"/>
      <c r="O523" s="1" t="n"/>
      <c r="P523" s="1" t="n"/>
      <c r="Q523" s="1" t="n"/>
      <c r="R523" s="1" t="n"/>
    </row>
    <row r="524" ht="15.75" customHeight="1" s="143">
      <c r="B524" s="1" t="n"/>
      <c r="C524" s="1" t="n"/>
      <c r="D524" s="1" t="n"/>
      <c r="E524" s="1" t="n"/>
      <c r="F524" s="1" t="n"/>
      <c r="H524" s="1" t="n"/>
      <c r="I524" s="1" t="n"/>
      <c r="J524" s="1" t="n"/>
      <c r="K524" s="1" t="n"/>
      <c r="L524" s="1" t="n"/>
      <c r="N524" s="1" t="n"/>
      <c r="O524" s="1" t="n"/>
      <c r="P524" s="1" t="n"/>
      <c r="Q524" s="1" t="n"/>
      <c r="R524" s="1" t="n"/>
    </row>
    <row r="525" ht="15.75" customHeight="1" s="143">
      <c r="B525" s="1" t="n"/>
      <c r="C525" s="1" t="n"/>
      <c r="D525" s="1" t="n"/>
      <c r="E525" s="1" t="n"/>
      <c r="F525" s="1" t="n"/>
      <c r="H525" s="1" t="n"/>
      <c r="I525" s="1" t="n"/>
      <c r="J525" s="1" t="n"/>
      <c r="K525" s="1" t="n"/>
      <c r="L525" s="1" t="n"/>
      <c r="N525" s="1" t="n"/>
      <c r="O525" s="1" t="n"/>
      <c r="P525" s="1" t="n"/>
      <c r="Q525" s="1" t="n"/>
      <c r="R525" s="1" t="n"/>
    </row>
    <row r="526" ht="15.75" customHeight="1" s="143">
      <c r="B526" s="1" t="n"/>
      <c r="C526" s="1" t="n"/>
      <c r="D526" s="1" t="n"/>
      <c r="E526" s="1" t="n"/>
      <c r="F526" s="1" t="n"/>
      <c r="H526" s="1" t="n"/>
      <c r="I526" s="1" t="n"/>
      <c r="J526" s="1" t="n"/>
      <c r="K526" s="1" t="n"/>
      <c r="L526" s="1" t="n"/>
      <c r="N526" s="1" t="n"/>
      <c r="O526" s="1" t="n"/>
      <c r="P526" s="1" t="n"/>
      <c r="Q526" s="1" t="n"/>
      <c r="R526" s="1" t="n"/>
    </row>
    <row r="527" ht="15.75" customHeight="1" s="143">
      <c r="B527" s="1" t="n"/>
      <c r="C527" s="1" t="n"/>
      <c r="D527" s="1" t="n"/>
      <c r="E527" s="1" t="n"/>
      <c r="F527" s="1" t="n"/>
      <c r="H527" s="1" t="n"/>
      <c r="I527" s="1" t="n"/>
      <c r="J527" s="1" t="n"/>
      <c r="K527" s="1" t="n"/>
      <c r="L527" s="1" t="n"/>
      <c r="N527" s="1" t="n"/>
      <c r="O527" s="1" t="n"/>
      <c r="P527" s="1" t="n"/>
      <c r="Q527" s="1" t="n"/>
      <c r="R527" s="1" t="n"/>
    </row>
    <row r="528" ht="15.75" customHeight="1" s="143">
      <c r="B528" s="1" t="n"/>
      <c r="C528" s="1" t="n"/>
      <c r="D528" s="1" t="n"/>
      <c r="E528" s="1" t="n"/>
      <c r="F528" s="1" t="n"/>
      <c r="H528" s="1" t="n"/>
      <c r="I528" s="1" t="n"/>
      <c r="J528" s="1" t="n"/>
      <c r="K528" s="1" t="n"/>
      <c r="L528" s="1" t="n"/>
      <c r="N528" s="1" t="n"/>
      <c r="O528" s="1" t="n"/>
      <c r="P528" s="1" t="n"/>
      <c r="Q528" s="1" t="n"/>
      <c r="R528" s="1" t="n"/>
    </row>
    <row r="529" ht="15.75" customHeight="1" s="143">
      <c r="B529" s="1" t="n"/>
      <c r="C529" s="1" t="n"/>
      <c r="D529" s="1" t="n"/>
      <c r="E529" s="1" t="n"/>
      <c r="F529" s="1" t="n"/>
      <c r="H529" s="1" t="n"/>
      <c r="I529" s="1" t="n"/>
      <c r="J529" s="1" t="n"/>
      <c r="K529" s="1" t="n"/>
      <c r="L529" s="1" t="n"/>
      <c r="N529" s="1" t="n"/>
      <c r="O529" s="1" t="n"/>
      <c r="P529" s="1" t="n"/>
      <c r="Q529" s="1" t="n"/>
      <c r="R529" s="1" t="n"/>
    </row>
    <row r="530" ht="15.75" customHeight="1" s="143">
      <c r="B530" s="1" t="n"/>
      <c r="C530" s="1" t="n"/>
      <c r="D530" s="1" t="n"/>
      <c r="E530" s="1" t="n"/>
      <c r="F530" s="1" t="n"/>
      <c r="H530" s="1" t="n"/>
      <c r="I530" s="1" t="n"/>
      <c r="J530" s="1" t="n"/>
      <c r="K530" s="1" t="n"/>
      <c r="L530" s="1" t="n"/>
      <c r="N530" s="1" t="n"/>
      <c r="O530" s="1" t="n"/>
      <c r="P530" s="1" t="n"/>
      <c r="Q530" s="1" t="n"/>
      <c r="R530" s="1" t="n"/>
    </row>
    <row r="531" ht="15.75" customHeight="1" s="143">
      <c r="B531" s="1" t="n"/>
      <c r="C531" s="1" t="n"/>
      <c r="D531" s="1" t="n"/>
      <c r="E531" s="1" t="n"/>
      <c r="F531" s="1" t="n"/>
      <c r="H531" s="1" t="n"/>
      <c r="I531" s="1" t="n"/>
      <c r="J531" s="1" t="n"/>
      <c r="K531" s="1" t="n"/>
      <c r="L531" s="1" t="n"/>
      <c r="N531" s="1" t="n"/>
      <c r="O531" s="1" t="n"/>
      <c r="P531" s="1" t="n"/>
      <c r="Q531" s="1" t="n"/>
      <c r="R531" s="1" t="n"/>
    </row>
    <row r="532" ht="15.75" customHeight="1" s="143">
      <c r="B532" s="1" t="n"/>
      <c r="C532" s="1" t="n"/>
      <c r="D532" s="1" t="n"/>
      <c r="E532" s="1" t="n"/>
      <c r="F532" s="1" t="n"/>
      <c r="H532" s="1" t="n"/>
      <c r="I532" s="1" t="n"/>
      <c r="J532" s="1" t="n"/>
      <c r="K532" s="1" t="n"/>
      <c r="L532" s="1" t="n"/>
      <c r="N532" s="1" t="n"/>
      <c r="O532" s="1" t="n"/>
      <c r="P532" s="1" t="n"/>
      <c r="Q532" s="1" t="n"/>
      <c r="R532" s="1" t="n"/>
    </row>
    <row r="533" ht="15.75" customHeight="1" s="143">
      <c r="B533" s="1" t="n"/>
      <c r="C533" s="1" t="n"/>
      <c r="D533" s="1" t="n"/>
      <c r="E533" s="1" t="n"/>
      <c r="F533" s="1" t="n"/>
      <c r="H533" s="1" t="n"/>
      <c r="I533" s="1" t="n"/>
      <c r="J533" s="1" t="n"/>
      <c r="K533" s="1" t="n"/>
      <c r="L533" s="1" t="n"/>
      <c r="N533" s="1" t="n"/>
      <c r="O533" s="1" t="n"/>
      <c r="P533" s="1" t="n"/>
      <c r="Q533" s="1" t="n"/>
      <c r="R533" s="1" t="n"/>
    </row>
    <row r="534" ht="15.75" customHeight="1" s="143">
      <c r="B534" s="1" t="n"/>
      <c r="C534" s="1" t="n"/>
      <c r="D534" s="1" t="n"/>
      <c r="E534" s="1" t="n"/>
      <c r="F534" s="1" t="n"/>
      <c r="H534" s="1" t="n"/>
      <c r="I534" s="1" t="n"/>
      <c r="J534" s="1" t="n"/>
      <c r="K534" s="1" t="n"/>
      <c r="L534" s="1" t="n"/>
      <c r="N534" s="1" t="n"/>
      <c r="O534" s="1" t="n"/>
      <c r="P534" s="1" t="n"/>
      <c r="Q534" s="1" t="n"/>
      <c r="R534" s="1" t="n"/>
    </row>
    <row r="535" ht="15.75" customHeight="1" s="143">
      <c r="B535" s="1" t="n"/>
      <c r="C535" s="1" t="n"/>
      <c r="D535" s="1" t="n"/>
      <c r="E535" s="1" t="n"/>
      <c r="F535" s="1" t="n"/>
      <c r="H535" s="1" t="n"/>
      <c r="I535" s="1" t="n"/>
      <c r="J535" s="1" t="n"/>
      <c r="K535" s="1" t="n"/>
      <c r="L535" s="1" t="n"/>
      <c r="N535" s="1" t="n"/>
      <c r="O535" s="1" t="n"/>
      <c r="P535" s="1" t="n"/>
      <c r="Q535" s="1" t="n"/>
      <c r="R535" s="1" t="n"/>
    </row>
    <row r="536" ht="15.75" customHeight="1" s="143">
      <c r="B536" s="1" t="n"/>
      <c r="C536" s="1" t="n"/>
      <c r="D536" s="1" t="n"/>
      <c r="E536" s="1" t="n"/>
      <c r="F536" s="1" t="n"/>
      <c r="H536" s="1" t="n"/>
      <c r="I536" s="1" t="n"/>
      <c r="J536" s="1" t="n"/>
      <c r="K536" s="1" t="n"/>
      <c r="L536" s="1" t="n"/>
      <c r="N536" s="1" t="n"/>
      <c r="O536" s="1" t="n"/>
      <c r="P536" s="1" t="n"/>
      <c r="Q536" s="1" t="n"/>
      <c r="R536" s="1" t="n"/>
    </row>
    <row r="537" ht="15.75" customHeight="1" s="143">
      <c r="B537" s="1" t="n"/>
      <c r="C537" s="1" t="n"/>
      <c r="D537" s="1" t="n"/>
      <c r="E537" s="1" t="n"/>
      <c r="F537" s="1" t="n"/>
      <c r="H537" s="1" t="n"/>
      <c r="I537" s="1" t="n"/>
      <c r="J537" s="1" t="n"/>
      <c r="K537" s="1" t="n"/>
      <c r="L537" s="1" t="n"/>
      <c r="N537" s="1" t="n"/>
      <c r="O537" s="1" t="n"/>
      <c r="P537" s="1" t="n"/>
      <c r="Q537" s="1" t="n"/>
      <c r="R537" s="1" t="n"/>
    </row>
    <row r="538" ht="15.75" customHeight="1" s="143">
      <c r="B538" s="1" t="n"/>
      <c r="C538" s="1" t="n"/>
      <c r="D538" s="1" t="n"/>
      <c r="E538" s="1" t="n"/>
      <c r="F538" s="1" t="n"/>
      <c r="H538" s="1" t="n"/>
      <c r="I538" s="1" t="n"/>
      <c r="J538" s="1" t="n"/>
      <c r="K538" s="1" t="n"/>
      <c r="L538" s="1" t="n"/>
      <c r="N538" s="1" t="n"/>
      <c r="O538" s="1" t="n"/>
      <c r="P538" s="1" t="n"/>
      <c r="Q538" s="1" t="n"/>
      <c r="R538" s="1" t="n"/>
    </row>
    <row r="539" ht="15.75" customHeight="1" s="143">
      <c r="B539" s="1" t="n"/>
      <c r="C539" s="1" t="n"/>
      <c r="D539" s="1" t="n"/>
      <c r="E539" s="1" t="n"/>
      <c r="F539" s="1" t="n"/>
      <c r="H539" s="1" t="n"/>
      <c r="I539" s="1" t="n"/>
      <c r="J539" s="1" t="n"/>
      <c r="K539" s="1" t="n"/>
      <c r="L539" s="1" t="n"/>
      <c r="N539" s="1" t="n"/>
      <c r="O539" s="1" t="n"/>
      <c r="P539" s="1" t="n"/>
      <c r="Q539" s="1" t="n"/>
      <c r="R539" s="1" t="n"/>
    </row>
    <row r="540" ht="15.75" customHeight="1" s="143">
      <c r="B540" s="1" t="n"/>
      <c r="C540" s="1" t="n"/>
      <c r="D540" s="1" t="n"/>
      <c r="E540" s="1" t="n"/>
      <c r="F540" s="1" t="n"/>
      <c r="H540" s="1" t="n"/>
      <c r="I540" s="1" t="n"/>
      <c r="J540" s="1" t="n"/>
      <c r="K540" s="1" t="n"/>
      <c r="L540" s="1" t="n"/>
      <c r="N540" s="1" t="n"/>
      <c r="O540" s="1" t="n"/>
      <c r="P540" s="1" t="n"/>
      <c r="Q540" s="1" t="n"/>
      <c r="R540" s="1" t="n"/>
    </row>
    <row r="541" ht="15.75" customHeight="1" s="143">
      <c r="B541" s="1" t="n"/>
      <c r="C541" s="1" t="n"/>
      <c r="D541" s="1" t="n"/>
      <c r="E541" s="1" t="n"/>
      <c r="F541" s="1" t="n"/>
      <c r="H541" s="1" t="n"/>
      <c r="I541" s="1" t="n"/>
      <c r="J541" s="1" t="n"/>
      <c r="K541" s="1" t="n"/>
      <c r="L541" s="1" t="n"/>
      <c r="N541" s="1" t="n"/>
      <c r="O541" s="1" t="n"/>
      <c r="P541" s="1" t="n"/>
      <c r="Q541" s="1" t="n"/>
      <c r="R541" s="1" t="n"/>
    </row>
    <row r="542" ht="15.75" customHeight="1" s="143">
      <c r="B542" s="1" t="n"/>
      <c r="C542" s="1" t="n"/>
      <c r="D542" s="1" t="n"/>
      <c r="E542" s="1" t="n"/>
      <c r="F542" s="1" t="n"/>
      <c r="H542" s="1" t="n"/>
      <c r="I542" s="1" t="n"/>
      <c r="J542" s="1" t="n"/>
      <c r="K542" s="1" t="n"/>
      <c r="L542" s="1" t="n"/>
      <c r="N542" s="1" t="n"/>
      <c r="O542" s="1" t="n"/>
      <c r="P542" s="1" t="n"/>
      <c r="Q542" s="1" t="n"/>
      <c r="R542" s="1" t="n"/>
    </row>
    <row r="543" ht="15.75" customHeight="1" s="143">
      <c r="B543" s="1" t="n"/>
      <c r="C543" s="1" t="n"/>
      <c r="D543" s="1" t="n"/>
      <c r="E543" s="1" t="n"/>
      <c r="F543" s="1" t="n"/>
      <c r="H543" s="1" t="n"/>
      <c r="I543" s="1" t="n"/>
      <c r="J543" s="1" t="n"/>
      <c r="K543" s="1" t="n"/>
      <c r="L543" s="1" t="n"/>
      <c r="N543" s="1" t="n"/>
      <c r="O543" s="1" t="n"/>
      <c r="P543" s="1" t="n"/>
      <c r="Q543" s="1" t="n"/>
      <c r="R543" s="1" t="n"/>
    </row>
    <row r="544" ht="15.75" customHeight="1" s="143">
      <c r="B544" s="1" t="n"/>
      <c r="C544" s="1" t="n"/>
      <c r="D544" s="1" t="n"/>
      <c r="E544" s="1" t="n"/>
      <c r="F544" s="1" t="n"/>
      <c r="H544" s="1" t="n"/>
      <c r="I544" s="1" t="n"/>
      <c r="J544" s="1" t="n"/>
      <c r="K544" s="1" t="n"/>
      <c r="L544" s="1" t="n"/>
      <c r="N544" s="1" t="n"/>
      <c r="O544" s="1" t="n"/>
      <c r="P544" s="1" t="n"/>
      <c r="Q544" s="1" t="n"/>
      <c r="R544" s="1" t="n"/>
    </row>
    <row r="545" ht="15.75" customHeight="1" s="143">
      <c r="B545" s="1" t="n"/>
      <c r="C545" s="1" t="n"/>
      <c r="D545" s="1" t="n"/>
      <c r="E545" s="1" t="n"/>
      <c r="F545" s="1" t="n"/>
      <c r="H545" s="1" t="n"/>
      <c r="I545" s="1" t="n"/>
      <c r="J545" s="1" t="n"/>
      <c r="K545" s="1" t="n"/>
      <c r="L545" s="1" t="n"/>
      <c r="N545" s="1" t="n"/>
      <c r="O545" s="1" t="n"/>
      <c r="P545" s="1" t="n"/>
      <c r="Q545" s="1" t="n"/>
      <c r="R545" s="1" t="n"/>
    </row>
    <row r="546" ht="15.75" customHeight="1" s="143">
      <c r="B546" s="1" t="n"/>
      <c r="C546" s="1" t="n"/>
      <c r="D546" s="1" t="n"/>
      <c r="E546" s="1" t="n"/>
      <c r="F546" s="1" t="n"/>
      <c r="H546" s="1" t="n"/>
      <c r="I546" s="1" t="n"/>
      <c r="J546" s="1" t="n"/>
      <c r="K546" s="1" t="n"/>
      <c r="L546" s="1" t="n"/>
      <c r="N546" s="1" t="n"/>
      <c r="O546" s="1" t="n"/>
      <c r="P546" s="1" t="n"/>
      <c r="Q546" s="1" t="n"/>
      <c r="R546" s="1" t="n"/>
    </row>
    <row r="547" ht="15.75" customHeight="1" s="143">
      <c r="B547" s="1" t="n"/>
      <c r="C547" s="1" t="n"/>
      <c r="D547" s="1" t="n"/>
      <c r="E547" s="1" t="n"/>
      <c r="F547" s="1" t="n"/>
      <c r="H547" s="1" t="n"/>
      <c r="I547" s="1" t="n"/>
      <c r="J547" s="1" t="n"/>
      <c r="K547" s="1" t="n"/>
      <c r="L547" s="1" t="n"/>
      <c r="N547" s="1" t="n"/>
      <c r="O547" s="1" t="n"/>
      <c r="P547" s="1" t="n"/>
      <c r="Q547" s="1" t="n"/>
      <c r="R547" s="1" t="n"/>
    </row>
    <row r="548" ht="15.75" customHeight="1" s="143">
      <c r="B548" s="1" t="n"/>
      <c r="C548" s="1" t="n"/>
      <c r="D548" s="1" t="n"/>
      <c r="E548" s="1" t="n"/>
      <c r="F548" s="1" t="n"/>
      <c r="H548" s="1" t="n"/>
      <c r="I548" s="1" t="n"/>
      <c r="J548" s="1" t="n"/>
      <c r="K548" s="1" t="n"/>
      <c r="L548" s="1" t="n"/>
      <c r="N548" s="1" t="n"/>
      <c r="O548" s="1" t="n"/>
      <c r="P548" s="1" t="n"/>
      <c r="Q548" s="1" t="n"/>
      <c r="R548" s="1" t="n"/>
    </row>
    <row r="549" ht="15.75" customHeight="1" s="143">
      <c r="B549" s="1" t="n"/>
      <c r="C549" s="1" t="n"/>
      <c r="D549" s="1" t="n"/>
      <c r="E549" s="1" t="n"/>
      <c r="F549" s="1" t="n"/>
      <c r="H549" s="1" t="n"/>
      <c r="I549" s="1" t="n"/>
      <c r="J549" s="1" t="n"/>
      <c r="K549" s="1" t="n"/>
      <c r="L549" s="1" t="n"/>
      <c r="N549" s="1" t="n"/>
      <c r="O549" s="1" t="n"/>
      <c r="P549" s="1" t="n"/>
      <c r="Q549" s="1" t="n"/>
      <c r="R549" s="1" t="n"/>
    </row>
    <row r="550" ht="15.75" customHeight="1" s="143">
      <c r="B550" s="1" t="n"/>
      <c r="C550" s="1" t="n"/>
      <c r="D550" s="1" t="n"/>
      <c r="E550" s="1" t="n"/>
      <c r="F550" s="1" t="n"/>
      <c r="H550" s="1" t="n"/>
      <c r="I550" s="1" t="n"/>
      <c r="J550" s="1" t="n"/>
      <c r="K550" s="1" t="n"/>
      <c r="L550" s="1" t="n"/>
      <c r="N550" s="1" t="n"/>
      <c r="O550" s="1" t="n"/>
      <c r="P550" s="1" t="n"/>
      <c r="Q550" s="1" t="n"/>
      <c r="R550" s="1" t="n"/>
    </row>
    <row r="551" ht="15.75" customHeight="1" s="143">
      <c r="B551" s="1" t="n"/>
      <c r="C551" s="1" t="n"/>
      <c r="D551" s="1" t="n"/>
      <c r="E551" s="1" t="n"/>
      <c r="F551" s="1" t="n"/>
      <c r="H551" s="1" t="n"/>
      <c r="I551" s="1" t="n"/>
      <c r="J551" s="1" t="n"/>
      <c r="K551" s="1" t="n"/>
      <c r="L551" s="1" t="n"/>
      <c r="N551" s="1" t="n"/>
      <c r="O551" s="1" t="n"/>
      <c r="P551" s="1" t="n"/>
      <c r="Q551" s="1" t="n"/>
      <c r="R551" s="1" t="n"/>
    </row>
    <row r="552" ht="15.75" customHeight="1" s="143">
      <c r="B552" s="1" t="n"/>
      <c r="C552" s="1" t="n"/>
      <c r="D552" s="1" t="n"/>
      <c r="E552" s="1" t="n"/>
      <c r="F552" s="1" t="n"/>
      <c r="H552" s="1" t="n"/>
      <c r="I552" s="1" t="n"/>
      <c r="J552" s="1" t="n"/>
      <c r="K552" s="1" t="n"/>
      <c r="L552" s="1" t="n"/>
      <c r="N552" s="1" t="n"/>
      <c r="O552" s="1" t="n"/>
      <c r="P552" s="1" t="n"/>
      <c r="Q552" s="1" t="n"/>
      <c r="R552" s="1" t="n"/>
    </row>
    <row r="553" ht="15.75" customHeight="1" s="143">
      <c r="B553" s="1" t="n"/>
      <c r="C553" s="1" t="n"/>
      <c r="D553" s="1" t="n"/>
      <c r="E553" s="1" t="n"/>
      <c r="F553" s="1" t="n"/>
      <c r="H553" s="1" t="n"/>
      <c r="I553" s="1" t="n"/>
      <c r="J553" s="1" t="n"/>
      <c r="K553" s="1" t="n"/>
      <c r="L553" s="1" t="n"/>
      <c r="N553" s="1" t="n"/>
      <c r="O553" s="1" t="n"/>
      <c r="P553" s="1" t="n"/>
      <c r="Q553" s="1" t="n"/>
      <c r="R553" s="1" t="n"/>
    </row>
    <row r="554" ht="15.75" customHeight="1" s="143">
      <c r="B554" s="1" t="n"/>
      <c r="C554" s="1" t="n"/>
      <c r="D554" s="1" t="n"/>
      <c r="E554" s="1" t="n"/>
      <c r="F554" s="1" t="n"/>
      <c r="H554" s="1" t="n"/>
      <c r="I554" s="1" t="n"/>
      <c r="J554" s="1" t="n"/>
      <c r="K554" s="1" t="n"/>
      <c r="L554" s="1" t="n"/>
      <c r="N554" s="1" t="n"/>
      <c r="O554" s="1" t="n"/>
      <c r="P554" s="1" t="n"/>
      <c r="Q554" s="1" t="n"/>
      <c r="R554" s="1" t="n"/>
    </row>
    <row r="555" ht="15.75" customHeight="1" s="143">
      <c r="B555" s="1" t="n"/>
      <c r="C555" s="1" t="n"/>
      <c r="D555" s="1" t="n"/>
      <c r="E555" s="1" t="n"/>
      <c r="F555" s="1" t="n"/>
      <c r="H555" s="1" t="n"/>
      <c r="I555" s="1" t="n"/>
      <c r="J555" s="1" t="n"/>
      <c r="K555" s="1" t="n"/>
      <c r="L555" s="1" t="n"/>
      <c r="N555" s="1" t="n"/>
      <c r="O555" s="1" t="n"/>
      <c r="P555" s="1" t="n"/>
      <c r="Q555" s="1" t="n"/>
      <c r="R555" s="1" t="n"/>
    </row>
    <row r="556" ht="15.75" customHeight="1" s="143">
      <c r="B556" s="1" t="n"/>
      <c r="C556" s="1" t="n"/>
      <c r="D556" s="1" t="n"/>
      <c r="E556" s="1" t="n"/>
      <c r="F556" s="1" t="n"/>
      <c r="H556" s="1" t="n"/>
      <c r="I556" s="1" t="n"/>
      <c r="J556" s="1" t="n"/>
      <c r="K556" s="1" t="n"/>
      <c r="L556" s="1" t="n"/>
      <c r="N556" s="1" t="n"/>
      <c r="O556" s="1" t="n"/>
      <c r="P556" s="1" t="n"/>
      <c r="Q556" s="1" t="n"/>
      <c r="R556" s="1" t="n"/>
    </row>
    <row r="557" ht="15.75" customHeight="1" s="143">
      <c r="B557" s="1" t="n"/>
      <c r="C557" s="1" t="n"/>
      <c r="D557" s="1" t="n"/>
      <c r="E557" s="1" t="n"/>
      <c r="F557" s="1" t="n"/>
      <c r="H557" s="1" t="n"/>
      <c r="I557" s="1" t="n"/>
      <c r="J557" s="1" t="n"/>
      <c r="K557" s="1" t="n"/>
      <c r="L557" s="1" t="n"/>
      <c r="N557" s="1" t="n"/>
      <c r="O557" s="1" t="n"/>
      <c r="P557" s="1" t="n"/>
      <c r="Q557" s="1" t="n"/>
      <c r="R557" s="1" t="n"/>
    </row>
    <row r="558" ht="15.75" customHeight="1" s="143">
      <c r="B558" s="1" t="n"/>
      <c r="C558" s="1" t="n"/>
      <c r="D558" s="1" t="n"/>
      <c r="E558" s="1" t="n"/>
      <c r="F558" s="1" t="n"/>
      <c r="H558" s="1" t="n"/>
      <c r="I558" s="1" t="n"/>
      <c r="J558" s="1" t="n"/>
      <c r="K558" s="1" t="n"/>
      <c r="L558" s="1" t="n"/>
      <c r="N558" s="1" t="n"/>
      <c r="O558" s="1" t="n"/>
      <c r="P558" s="1" t="n"/>
      <c r="Q558" s="1" t="n"/>
      <c r="R558" s="1" t="n"/>
    </row>
    <row r="559" ht="15.75" customHeight="1" s="143">
      <c r="B559" s="1" t="n"/>
      <c r="C559" s="1" t="n"/>
      <c r="D559" s="1" t="n"/>
      <c r="E559" s="1" t="n"/>
      <c r="F559" s="1" t="n"/>
      <c r="H559" s="1" t="n"/>
      <c r="I559" s="1" t="n"/>
      <c r="J559" s="1" t="n"/>
      <c r="K559" s="1" t="n"/>
      <c r="L559" s="1" t="n"/>
      <c r="N559" s="1" t="n"/>
      <c r="O559" s="1" t="n"/>
      <c r="P559" s="1" t="n"/>
      <c r="Q559" s="1" t="n"/>
      <c r="R559" s="1" t="n"/>
    </row>
    <row r="560" ht="15.75" customHeight="1" s="143">
      <c r="B560" s="1" t="n"/>
      <c r="C560" s="1" t="n"/>
      <c r="D560" s="1" t="n"/>
      <c r="E560" s="1" t="n"/>
      <c r="F560" s="1" t="n"/>
      <c r="H560" s="1" t="n"/>
      <c r="I560" s="1" t="n"/>
      <c r="J560" s="1" t="n"/>
      <c r="K560" s="1" t="n"/>
      <c r="L560" s="1" t="n"/>
      <c r="N560" s="1" t="n"/>
      <c r="O560" s="1" t="n"/>
      <c r="P560" s="1" t="n"/>
      <c r="Q560" s="1" t="n"/>
      <c r="R560" s="1" t="n"/>
    </row>
    <row r="561" ht="15.75" customHeight="1" s="143">
      <c r="B561" s="1" t="n"/>
      <c r="C561" s="1" t="n"/>
      <c r="D561" s="1" t="n"/>
      <c r="E561" s="1" t="n"/>
      <c r="F561" s="1" t="n"/>
      <c r="H561" s="1" t="n"/>
      <c r="I561" s="1" t="n"/>
      <c r="J561" s="1" t="n"/>
      <c r="K561" s="1" t="n"/>
      <c r="L561" s="1" t="n"/>
      <c r="N561" s="1" t="n"/>
      <c r="O561" s="1" t="n"/>
      <c r="P561" s="1" t="n"/>
      <c r="Q561" s="1" t="n"/>
      <c r="R561" s="1" t="n"/>
    </row>
    <row r="562" ht="15.75" customHeight="1" s="143">
      <c r="B562" s="1" t="n"/>
      <c r="C562" s="1" t="n"/>
      <c r="D562" s="1" t="n"/>
      <c r="E562" s="1" t="n"/>
      <c r="F562" s="1" t="n"/>
      <c r="H562" s="1" t="n"/>
      <c r="I562" s="1" t="n"/>
      <c r="J562" s="1" t="n"/>
      <c r="K562" s="1" t="n"/>
      <c r="L562" s="1" t="n"/>
      <c r="N562" s="1" t="n"/>
      <c r="O562" s="1" t="n"/>
      <c r="P562" s="1" t="n"/>
      <c r="Q562" s="1" t="n"/>
      <c r="R562" s="1" t="n"/>
    </row>
    <row r="563" ht="15.75" customHeight="1" s="143">
      <c r="B563" s="1" t="n"/>
      <c r="C563" s="1" t="n"/>
      <c r="D563" s="1" t="n"/>
      <c r="E563" s="1" t="n"/>
      <c r="F563" s="1" t="n"/>
      <c r="H563" s="1" t="n"/>
      <c r="I563" s="1" t="n"/>
      <c r="J563" s="1" t="n"/>
      <c r="K563" s="1" t="n"/>
      <c r="L563" s="1" t="n"/>
      <c r="N563" s="1" t="n"/>
      <c r="O563" s="1" t="n"/>
      <c r="P563" s="1" t="n"/>
      <c r="Q563" s="1" t="n"/>
      <c r="R563" s="1" t="n"/>
    </row>
    <row r="564" ht="15.75" customHeight="1" s="143">
      <c r="B564" s="1" t="n"/>
      <c r="C564" s="1" t="n"/>
      <c r="D564" s="1" t="n"/>
      <c r="E564" s="1" t="n"/>
      <c r="F564" s="1" t="n"/>
      <c r="H564" s="1" t="n"/>
      <c r="I564" s="1" t="n"/>
      <c r="J564" s="1" t="n"/>
      <c r="K564" s="1" t="n"/>
      <c r="L564" s="1" t="n"/>
      <c r="N564" s="1" t="n"/>
      <c r="O564" s="1" t="n"/>
      <c r="P564" s="1" t="n"/>
      <c r="Q564" s="1" t="n"/>
      <c r="R564" s="1" t="n"/>
    </row>
    <row r="565" ht="15.75" customHeight="1" s="143">
      <c r="B565" s="1" t="n"/>
      <c r="C565" s="1" t="n"/>
      <c r="D565" s="1" t="n"/>
      <c r="E565" s="1" t="n"/>
      <c r="F565" s="1" t="n"/>
      <c r="H565" s="1" t="n"/>
      <c r="I565" s="1" t="n"/>
      <c r="J565" s="1" t="n"/>
      <c r="K565" s="1" t="n"/>
      <c r="L565" s="1" t="n"/>
      <c r="N565" s="1" t="n"/>
      <c r="O565" s="1" t="n"/>
      <c r="P565" s="1" t="n"/>
      <c r="Q565" s="1" t="n"/>
      <c r="R565" s="1" t="n"/>
    </row>
    <row r="566" ht="15.75" customHeight="1" s="143">
      <c r="B566" s="1" t="n"/>
      <c r="C566" s="1" t="n"/>
      <c r="D566" s="1" t="n"/>
      <c r="E566" s="1" t="n"/>
      <c r="F566" s="1" t="n"/>
      <c r="H566" s="1" t="n"/>
      <c r="I566" s="1" t="n"/>
      <c r="J566" s="1" t="n"/>
      <c r="K566" s="1" t="n"/>
      <c r="L566" s="1" t="n"/>
      <c r="N566" s="1" t="n"/>
      <c r="O566" s="1" t="n"/>
      <c r="P566" s="1" t="n"/>
      <c r="Q566" s="1" t="n"/>
      <c r="R566" s="1" t="n"/>
    </row>
    <row r="567" ht="15.75" customHeight="1" s="143">
      <c r="B567" s="1" t="n"/>
      <c r="C567" s="1" t="n"/>
      <c r="D567" s="1" t="n"/>
      <c r="E567" s="1" t="n"/>
      <c r="F567" s="1" t="n"/>
      <c r="H567" s="1" t="n"/>
      <c r="I567" s="1" t="n"/>
      <c r="J567" s="1" t="n"/>
      <c r="K567" s="1" t="n"/>
      <c r="L567" s="1" t="n"/>
      <c r="N567" s="1" t="n"/>
      <c r="O567" s="1" t="n"/>
      <c r="P567" s="1" t="n"/>
      <c r="Q567" s="1" t="n"/>
      <c r="R567" s="1" t="n"/>
    </row>
    <row r="568" ht="15.75" customHeight="1" s="143">
      <c r="B568" s="1" t="n"/>
      <c r="C568" s="1" t="n"/>
      <c r="D568" s="1" t="n"/>
      <c r="E568" s="1" t="n"/>
      <c r="F568" s="1" t="n"/>
      <c r="H568" s="1" t="n"/>
      <c r="I568" s="1" t="n"/>
      <c r="J568" s="1" t="n"/>
      <c r="K568" s="1" t="n"/>
      <c r="L568" s="1" t="n"/>
      <c r="N568" s="1" t="n"/>
      <c r="O568" s="1" t="n"/>
      <c r="P568" s="1" t="n"/>
      <c r="Q568" s="1" t="n"/>
      <c r="R568" s="1" t="n"/>
    </row>
    <row r="569" ht="15.75" customHeight="1" s="143">
      <c r="B569" s="1" t="n"/>
      <c r="C569" s="1" t="n"/>
      <c r="D569" s="1" t="n"/>
      <c r="E569" s="1" t="n"/>
      <c r="F569" s="1" t="n"/>
      <c r="H569" s="1" t="n"/>
      <c r="I569" s="1" t="n"/>
      <c r="J569" s="1" t="n"/>
      <c r="K569" s="1" t="n"/>
      <c r="L569" s="1" t="n"/>
      <c r="N569" s="1" t="n"/>
      <c r="O569" s="1" t="n"/>
      <c r="P569" s="1" t="n"/>
      <c r="Q569" s="1" t="n"/>
      <c r="R569" s="1" t="n"/>
    </row>
    <row r="570" ht="15.75" customHeight="1" s="143">
      <c r="B570" s="1" t="n"/>
      <c r="C570" s="1" t="n"/>
      <c r="D570" s="1" t="n"/>
      <c r="E570" s="1" t="n"/>
      <c r="F570" s="1" t="n"/>
      <c r="H570" s="1" t="n"/>
      <c r="I570" s="1" t="n"/>
      <c r="J570" s="1" t="n"/>
      <c r="K570" s="1" t="n"/>
      <c r="L570" s="1" t="n"/>
      <c r="N570" s="1" t="n"/>
      <c r="O570" s="1" t="n"/>
      <c r="P570" s="1" t="n"/>
      <c r="Q570" s="1" t="n"/>
      <c r="R570" s="1" t="n"/>
    </row>
    <row r="571" ht="15.75" customHeight="1" s="143">
      <c r="B571" s="1" t="n"/>
      <c r="C571" s="1" t="n"/>
      <c r="D571" s="1" t="n"/>
      <c r="E571" s="1" t="n"/>
      <c r="F571" s="1" t="n"/>
      <c r="H571" s="1" t="n"/>
      <c r="I571" s="1" t="n"/>
      <c r="J571" s="1" t="n"/>
      <c r="K571" s="1" t="n"/>
      <c r="L571" s="1" t="n"/>
      <c r="N571" s="1" t="n"/>
      <c r="O571" s="1" t="n"/>
      <c r="P571" s="1" t="n"/>
      <c r="Q571" s="1" t="n"/>
      <c r="R571" s="1" t="n"/>
    </row>
    <row r="572" ht="15.75" customHeight="1" s="143">
      <c r="B572" s="1" t="n"/>
      <c r="C572" s="1" t="n"/>
      <c r="D572" s="1" t="n"/>
      <c r="E572" s="1" t="n"/>
      <c r="F572" s="1" t="n"/>
      <c r="H572" s="1" t="n"/>
      <c r="I572" s="1" t="n"/>
      <c r="J572" s="1" t="n"/>
      <c r="K572" s="1" t="n"/>
      <c r="L572" s="1" t="n"/>
      <c r="N572" s="1" t="n"/>
      <c r="O572" s="1" t="n"/>
      <c r="P572" s="1" t="n"/>
      <c r="Q572" s="1" t="n"/>
      <c r="R572" s="1" t="n"/>
    </row>
    <row r="573" ht="15.75" customHeight="1" s="143">
      <c r="B573" s="1" t="n"/>
      <c r="C573" s="1" t="n"/>
      <c r="D573" s="1" t="n"/>
      <c r="E573" s="1" t="n"/>
      <c r="F573" s="1" t="n"/>
      <c r="H573" s="1" t="n"/>
      <c r="I573" s="1" t="n"/>
      <c r="J573" s="1" t="n"/>
      <c r="K573" s="1" t="n"/>
      <c r="L573" s="1" t="n"/>
      <c r="N573" s="1" t="n"/>
      <c r="O573" s="1" t="n"/>
      <c r="P573" s="1" t="n"/>
      <c r="Q573" s="1" t="n"/>
      <c r="R573" s="1" t="n"/>
    </row>
    <row r="574" ht="15.75" customHeight="1" s="143">
      <c r="B574" s="1" t="n"/>
      <c r="C574" s="1" t="n"/>
      <c r="D574" s="1" t="n"/>
      <c r="E574" s="1" t="n"/>
      <c r="F574" s="1" t="n"/>
      <c r="H574" s="1" t="n"/>
      <c r="I574" s="1" t="n"/>
      <c r="J574" s="1" t="n"/>
      <c r="K574" s="1" t="n"/>
      <c r="L574" s="1" t="n"/>
      <c r="N574" s="1" t="n"/>
      <c r="O574" s="1" t="n"/>
      <c r="P574" s="1" t="n"/>
      <c r="Q574" s="1" t="n"/>
      <c r="R574" s="1" t="n"/>
    </row>
    <row r="575" ht="15.75" customHeight="1" s="143">
      <c r="B575" s="1" t="n"/>
      <c r="C575" s="1" t="n"/>
      <c r="D575" s="1" t="n"/>
      <c r="E575" s="1" t="n"/>
      <c r="F575" s="1" t="n"/>
      <c r="H575" s="1" t="n"/>
      <c r="I575" s="1" t="n"/>
      <c r="J575" s="1" t="n"/>
      <c r="K575" s="1" t="n"/>
      <c r="L575" s="1" t="n"/>
      <c r="N575" s="1" t="n"/>
      <c r="O575" s="1" t="n"/>
      <c r="P575" s="1" t="n"/>
      <c r="Q575" s="1" t="n"/>
      <c r="R575" s="1" t="n"/>
    </row>
    <row r="576" ht="15.75" customHeight="1" s="143">
      <c r="B576" s="1" t="n"/>
      <c r="C576" s="1" t="n"/>
      <c r="D576" s="1" t="n"/>
      <c r="E576" s="1" t="n"/>
      <c r="F576" s="1" t="n"/>
      <c r="H576" s="1" t="n"/>
      <c r="I576" s="1" t="n"/>
      <c r="J576" s="1" t="n"/>
      <c r="K576" s="1" t="n"/>
      <c r="L576" s="1" t="n"/>
      <c r="N576" s="1" t="n"/>
      <c r="O576" s="1" t="n"/>
      <c r="P576" s="1" t="n"/>
      <c r="Q576" s="1" t="n"/>
      <c r="R576" s="1" t="n"/>
    </row>
    <row r="577" ht="15.75" customHeight="1" s="143">
      <c r="B577" s="1" t="n"/>
      <c r="C577" s="1" t="n"/>
      <c r="D577" s="1" t="n"/>
      <c r="E577" s="1" t="n"/>
      <c r="F577" s="1" t="n"/>
      <c r="H577" s="1" t="n"/>
      <c r="I577" s="1" t="n"/>
      <c r="J577" s="1" t="n"/>
      <c r="K577" s="1" t="n"/>
      <c r="L577" s="1" t="n"/>
      <c r="N577" s="1" t="n"/>
      <c r="O577" s="1" t="n"/>
      <c r="P577" s="1" t="n"/>
      <c r="Q577" s="1" t="n"/>
      <c r="R577" s="1" t="n"/>
    </row>
    <row r="578" ht="15.75" customHeight="1" s="143">
      <c r="B578" s="1" t="n"/>
      <c r="C578" s="1" t="n"/>
      <c r="D578" s="1" t="n"/>
      <c r="E578" s="1" t="n"/>
      <c r="F578" s="1" t="n"/>
      <c r="H578" s="1" t="n"/>
      <c r="I578" s="1" t="n"/>
      <c r="J578" s="1" t="n"/>
      <c r="K578" s="1" t="n"/>
      <c r="L578" s="1" t="n"/>
      <c r="N578" s="1" t="n"/>
      <c r="O578" s="1" t="n"/>
      <c r="P578" s="1" t="n"/>
      <c r="Q578" s="1" t="n"/>
      <c r="R578" s="1" t="n"/>
    </row>
    <row r="579" ht="15.75" customHeight="1" s="143">
      <c r="B579" s="1" t="n"/>
      <c r="C579" s="1" t="n"/>
      <c r="D579" s="1" t="n"/>
      <c r="E579" s="1" t="n"/>
      <c r="F579" s="1" t="n"/>
      <c r="H579" s="1" t="n"/>
      <c r="I579" s="1" t="n"/>
      <c r="J579" s="1" t="n"/>
      <c r="K579" s="1" t="n"/>
      <c r="L579" s="1" t="n"/>
      <c r="N579" s="1" t="n"/>
      <c r="O579" s="1" t="n"/>
      <c r="P579" s="1" t="n"/>
      <c r="Q579" s="1" t="n"/>
      <c r="R579" s="1" t="n"/>
    </row>
    <row r="580" ht="15.75" customHeight="1" s="143">
      <c r="B580" s="1" t="n"/>
      <c r="C580" s="1" t="n"/>
      <c r="D580" s="1" t="n"/>
      <c r="E580" s="1" t="n"/>
      <c r="F580" s="1" t="n"/>
      <c r="H580" s="1" t="n"/>
      <c r="I580" s="1" t="n"/>
      <c r="J580" s="1" t="n"/>
      <c r="K580" s="1" t="n"/>
      <c r="L580" s="1" t="n"/>
      <c r="N580" s="1" t="n"/>
      <c r="O580" s="1" t="n"/>
      <c r="P580" s="1" t="n"/>
      <c r="Q580" s="1" t="n"/>
      <c r="R580" s="1" t="n"/>
    </row>
    <row r="581" ht="15.75" customHeight="1" s="143">
      <c r="B581" s="1" t="n"/>
      <c r="C581" s="1" t="n"/>
      <c r="D581" s="1" t="n"/>
      <c r="E581" s="1" t="n"/>
      <c r="F581" s="1" t="n"/>
      <c r="H581" s="1" t="n"/>
      <c r="I581" s="1" t="n"/>
      <c r="J581" s="1" t="n"/>
      <c r="K581" s="1" t="n"/>
      <c r="L581" s="1" t="n"/>
      <c r="N581" s="1" t="n"/>
      <c r="O581" s="1" t="n"/>
      <c r="P581" s="1" t="n"/>
      <c r="Q581" s="1" t="n"/>
      <c r="R581" s="1" t="n"/>
    </row>
    <row r="582" ht="15.75" customHeight="1" s="143">
      <c r="B582" s="1" t="n"/>
      <c r="C582" s="1" t="n"/>
      <c r="D582" s="1" t="n"/>
      <c r="E582" s="1" t="n"/>
      <c r="F582" s="1" t="n"/>
      <c r="H582" s="1" t="n"/>
      <c r="I582" s="1" t="n"/>
      <c r="J582" s="1" t="n"/>
      <c r="K582" s="1" t="n"/>
      <c r="L582" s="1" t="n"/>
      <c r="N582" s="1" t="n"/>
      <c r="O582" s="1" t="n"/>
      <c r="P582" s="1" t="n"/>
      <c r="Q582" s="1" t="n"/>
      <c r="R582" s="1" t="n"/>
    </row>
    <row r="583" ht="15.75" customHeight="1" s="143">
      <c r="B583" s="1" t="n"/>
      <c r="C583" s="1" t="n"/>
      <c r="D583" s="1" t="n"/>
      <c r="E583" s="1" t="n"/>
      <c r="F583" s="1" t="n"/>
      <c r="H583" s="1" t="n"/>
      <c r="I583" s="1" t="n"/>
      <c r="J583" s="1" t="n"/>
      <c r="K583" s="1" t="n"/>
      <c r="L583" s="1" t="n"/>
      <c r="N583" s="1" t="n"/>
      <c r="O583" s="1" t="n"/>
      <c r="P583" s="1" t="n"/>
      <c r="Q583" s="1" t="n"/>
      <c r="R583" s="1" t="n"/>
    </row>
    <row r="584" ht="15.75" customHeight="1" s="143">
      <c r="B584" s="1" t="n"/>
      <c r="C584" s="1" t="n"/>
      <c r="D584" s="1" t="n"/>
      <c r="E584" s="1" t="n"/>
      <c r="F584" s="1" t="n"/>
      <c r="H584" s="1" t="n"/>
      <c r="I584" s="1" t="n"/>
      <c r="J584" s="1" t="n"/>
      <c r="K584" s="1" t="n"/>
      <c r="L584" s="1" t="n"/>
      <c r="N584" s="1" t="n"/>
      <c r="O584" s="1" t="n"/>
      <c r="P584" s="1" t="n"/>
      <c r="Q584" s="1" t="n"/>
      <c r="R584" s="1" t="n"/>
    </row>
    <row r="585" ht="15.75" customHeight="1" s="143">
      <c r="B585" s="1" t="n"/>
      <c r="C585" s="1" t="n"/>
      <c r="D585" s="1" t="n"/>
      <c r="E585" s="1" t="n"/>
      <c r="F585" s="1" t="n"/>
      <c r="H585" s="1" t="n"/>
      <c r="I585" s="1" t="n"/>
      <c r="J585" s="1" t="n"/>
      <c r="K585" s="1" t="n"/>
      <c r="L585" s="1" t="n"/>
      <c r="N585" s="1" t="n"/>
      <c r="O585" s="1" t="n"/>
      <c r="P585" s="1" t="n"/>
      <c r="Q585" s="1" t="n"/>
      <c r="R585" s="1" t="n"/>
    </row>
    <row r="586" ht="15.75" customHeight="1" s="143">
      <c r="B586" s="1" t="n"/>
      <c r="C586" s="1" t="n"/>
      <c r="D586" s="1" t="n"/>
      <c r="E586" s="1" t="n"/>
      <c r="F586" s="1" t="n"/>
      <c r="H586" s="1" t="n"/>
      <c r="I586" s="1" t="n"/>
      <c r="J586" s="1" t="n"/>
      <c r="K586" s="1" t="n"/>
      <c r="L586" s="1" t="n"/>
      <c r="N586" s="1" t="n"/>
      <c r="O586" s="1" t="n"/>
      <c r="P586" s="1" t="n"/>
      <c r="Q586" s="1" t="n"/>
      <c r="R586" s="1" t="n"/>
    </row>
    <row r="587" ht="15.75" customHeight="1" s="143">
      <c r="B587" s="1" t="n"/>
      <c r="C587" s="1" t="n"/>
      <c r="D587" s="1" t="n"/>
      <c r="E587" s="1" t="n"/>
      <c r="F587" s="1" t="n"/>
      <c r="H587" s="1" t="n"/>
      <c r="I587" s="1" t="n"/>
      <c r="J587" s="1" t="n"/>
      <c r="K587" s="1" t="n"/>
      <c r="L587" s="1" t="n"/>
      <c r="N587" s="1" t="n"/>
      <c r="O587" s="1" t="n"/>
      <c r="P587" s="1" t="n"/>
      <c r="Q587" s="1" t="n"/>
      <c r="R587" s="1" t="n"/>
    </row>
    <row r="588" ht="15.75" customHeight="1" s="143">
      <c r="B588" s="1" t="n"/>
      <c r="C588" s="1" t="n"/>
      <c r="D588" s="1" t="n"/>
      <c r="E588" s="1" t="n"/>
      <c r="F588" s="1" t="n"/>
      <c r="H588" s="1" t="n"/>
      <c r="I588" s="1" t="n"/>
      <c r="J588" s="1" t="n"/>
      <c r="K588" s="1" t="n"/>
      <c r="L588" s="1" t="n"/>
      <c r="N588" s="1" t="n"/>
      <c r="O588" s="1" t="n"/>
      <c r="P588" s="1" t="n"/>
      <c r="Q588" s="1" t="n"/>
      <c r="R588" s="1" t="n"/>
    </row>
    <row r="589" ht="15.75" customHeight="1" s="143">
      <c r="B589" s="1" t="n"/>
      <c r="C589" s="1" t="n"/>
      <c r="D589" s="1" t="n"/>
      <c r="E589" s="1" t="n"/>
      <c r="F589" s="1" t="n"/>
      <c r="H589" s="1" t="n"/>
      <c r="I589" s="1" t="n"/>
      <c r="J589" s="1" t="n"/>
      <c r="K589" s="1" t="n"/>
      <c r="L589" s="1" t="n"/>
      <c r="N589" s="1" t="n"/>
      <c r="O589" s="1" t="n"/>
      <c r="P589" s="1" t="n"/>
      <c r="Q589" s="1" t="n"/>
      <c r="R589" s="1" t="n"/>
    </row>
    <row r="590" ht="15.75" customHeight="1" s="143">
      <c r="B590" s="1" t="n"/>
      <c r="C590" s="1" t="n"/>
      <c r="D590" s="1" t="n"/>
      <c r="E590" s="1" t="n"/>
      <c r="F590" s="1" t="n"/>
      <c r="H590" s="1" t="n"/>
      <c r="I590" s="1" t="n"/>
      <c r="J590" s="1" t="n"/>
      <c r="K590" s="1" t="n"/>
      <c r="L590" s="1" t="n"/>
      <c r="N590" s="1" t="n"/>
      <c r="O590" s="1" t="n"/>
      <c r="P590" s="1" t="n"/>
      <c r="Q590" s="1" t="n"/>
      <c r="R590" s="1" t="n"/>
    </row>
    <row r="591" ht="15.75" customHeight="1" s="143">
      <c r="B591" s="1" t="n"/>
      <c r="C591" s="1" t="n"/>
      <c r="D591" s="1" t="n"/>
      <c r="E591" s="1" t="n"/>
      <c r="F591" s="1" t="n"/>
      <c r="H591" s="1" t="n"/>
      <c r="I591" s="1" t="n"/>
      <c r="J591" s="1" t="n"/>
      <c r="K591" s="1" t="n"/>
      <c r="L591" s="1" t="n"/>
      <c r="N591" s="1" t="n"/>
      <c r="O591" s="1" t="n"/>
      <c r="P591" s="1" t="n"/>
      <c r="Q591" s="1" t="n"/>
      <c r="R591" s="1" t="n"/>
    </row>
    <row r="592" ht="15.75" customHeight="1" s="143">
      <c r="B592" s="1" t="n"/>
      <c r="C592" s="1" t="n"/>
      <c r="D592" s="1" t="n"/>
      <c r="E592" s="1" t="n"/>
      <c r="F592" s="1" t="n"/>
      <c r="H592" s="1" t="n"/>
      <c r="I592" s="1" t="n"/>
      <c r="J592" s="1" t="n"/>
      <c r="K592" s="1" t="n"/>
      <c r="L592" s="1" t="n"/>
      <c r="N592" s="1" t="n"/>
      <c r="O592" s="1" t="n"/>
      <c r="P592" s="1" t="n"/>
      <c r="Q592" s="1" t="n"/>
      <c r="R592" s="1" t="n"/>
    </row>
    <row r="593" ht="15.75" customHeight="1" s="143">
      <c r="B593" s="1" t="n"/>
      <c r="C593" s="1" t="n"/>
      <c r="D593" s="1" t="n"/>
      <c r="E593" s="1" t="n"/>
      <c r="F593" s="1" t="n"/>
      <c r="H593" s="1" t="n"/>
      <c r="I593" s="1" t="n"/>
      <c r="J593" s="1" t="n"/>
      <c r="K593" s="1" t="n"/>
      <c r="L593" s="1" t="n"/>
      <c r="N593" s="1" t="n"/>
      <c r="O593" s="1" t="n"/>
      <c r="P593" s="1" t="n"/>
      <c r="Q593" s="1" t="n"/>
      <c r="R593" s="1" t="n"/>
    </row>
    <row r="594" ht="15.75" customHeight="1" s="143">
      <c r="B594" s="1" t="n"/>
      <c r="C594" s="1" t="n"/>
      <c r="D594" s="1" t="n"/>
      <c r="E594" s="1" t="n"/>
      <c r="F594" s="1" t="n"/>
      <c r="H594" s="1" t="n"/>
      <c r="I594" s="1" t="n"/>
      <c r="J594" s="1" t="n"/>
      <c r="K594" s="1" t="n"/>
      <c r="L594" s="1" t="n"/>
      <c r="N594" s="1" t="n"/>
      <c r="O594" s="1" t="n"/>
      <c r="P594" s="1" t="n"/>
      <c r="Q594" s="1" t="n"/>
      <c r="R594" s="1" t="n"/>
    </row>
    <row r="595" ht="15.75" customHeight="1" s="143">
      <c r="B595" s="1" t="n"/>
      <c r="C595" s="1" t="n"/>
      <c r="D595" s="1" t="n"/>
      <c r="E595" s="1" t="n"/>
      <c r="F595" s="1" t="n"/>
      <c r="H595" s="1" t="n"/>
      <c r="I595" s="1" t="n"/>
      <c r="J595" s="1" t="n"/>
      <c r="K595" s="1" t="n"/>
      <c r="L595" s="1" t="n"/>
      <c r="N595" s="1" t="n"/>
      <c r="O595" s="1" t="n"/>
      <c r="P595" s="1" t="n"/>
      <c r="Q595" s="1" t="n"/>
      <c r="R595" s="1" t="n"/>
    </row>
    <row r="596" ht="15.75" customHeight="1" s="143">
      <c r="B596" s="1" t="n"/>
      <c r="C596" s="1" t="n"/>
      <c r="D596" s="1" t="n"/>
      <c r="E596" s="1" t="n"/>
      <c r="F596" s="1" t="n"/>
      <c r="H596" s="1" t="n"/>
      <c r="I596" s="1" t="n"/>
      <c r="J596" s="1" t="n"/>
      <c r="K596" s="1" t="n"/>
      <c r="L596" s="1" t="n"/>
      <c r="N596" s="1" t="n"/>
      <c r="O596" s="1" t="n"/>
      <c r="P596" s="1" t="n"/>
      <c r="Q596" s="1" t="n"/>
      <c r="R596" s="1" t="n"/>
    </row>
    <row r="597" ht="15.75" customHeight="1" s="143">
      <c r="B597" s="1" t="n"/>
      <c r="C597" s="1" t="n"/>
      <c r="D597" s="1" t="n"/>
      <c r="E597" s="1" t="n"/>
      <c r="F597" s="1" t="n"/>
      <c r="H597" s="1" t="n"/>
      <c r="I597" s="1" t="n"/>
      <c r="J597" s="1" t="n"/>
      <c r="K597" s="1" t="n"/>
      <c r="L597" s="1" t="n"/>
      <c r="N597" s="1" t="n"/>
      <c r="O597" s="1" t="n"/>
      <c r="P597" s="1" t="n"/>
      <c r="Q597" s="1" t="n"/>
      <c r="R597" s="1" t="n"/>
    </row>
    <row r="598" ht="15.75" customHeight="1" s="143">
      <c r="B598" s="1" t="n"/>
      <c r="C598" s="1" t="n"/>
      <c r="D598" s="1" t="n"/>
      <c r="E598" s="1" t="n"/>
      <c r="F598" s="1" t="n"/>
      <c r="H598" s="1" t="n"/>
      <c r="I598" s="1" t="n"/>
      <c r="J598" s="1" t="n"/>
      <c r="K598" s="1" t="n"/>
      <c r="L598" s="1" t="n"/>
      <c r="N598" s="1" t="n"/>
      <c r="O598" s="1" t="n"/>
      <c r="P598" s="1" t="n"/>
      <c r="Q598" s="1" t="n"/>
      <c r="R598" s="1" t="n"/>
    </row>
    <row r="599" ht="15.75" customHeight="1" s="143">
      <c r="B599" s="1" t="n"/>
      <c r="C599" s="1" t="n"/>
      <c r="D599" s="1" t="n"/>
      <c r="E599" s="1" t="n"/>
      <c r="F599" s="1" t="n"/>
      <c r="H599" s="1" t="n"/>
      <c r="I599" s="1" t="n"/>
      <c r="J599" s="1" t="n"/>
      <c r="K599" s="1" t="n"/>
      <c r="L599" s="1" t="n"/>
      <c r="N599" s="1" t="n"/>
      <c r="O599" s="1" t="n"/>
      <c r="P599" s="1" t="n"/>
      <c r="Q599" s="1" t="n"/>
      <c r="R599" s="1" t="n"/>
    </row>
    <row r="600" ht="15.75" customHeight="1" s="143">
      <c r="B600" s="1" t="n"/>
      <c r="C600" s="1" t="n"/>
      <c r="D600" s="1" t="n"/>
      <c r="E600" s="1" t="n"/>
      <c r="F600" s="1" t="n"/>
      <c r="H600" s="1" t="n"/>
      <c r="I600" s="1" t="n"/>
      <c r="J600" s="1" t="n"/>
      <c r="K600" s="1" t="n"/>
      <c r="L600" s="1" t="n"/>
      <c r="N600" s="1" t="n"/>
      <c r="O600" s="1" t="n"/>
      <c r="P600" s="1" t="n"/>
      <c r="Q600" s="1" t="n"/>
      <c r="R600" s="1" t="n"/>
    </row>
    <row r="601" ht="15.75" customHeight="1" s="143">
      <c r="B601" s="1" t="n"/>
      <c r="C601" s="1" t="n"/>
      <c r="D601" s="1" t="n"/>
      <c r="E601" s="1" t="n"/>
      <c r="F601" s="1" t="n"/>
      <c r="H601" s="1" t="n"/>
      <c r="I601" s="1" t="n"/>
      <c r="J601" s="1" t="n"/>
      <c r="K601" s="1" t="n"/>
      <c r="L601" s="1" t="n"/>
      <c r="N601" s="1" t="n"/>
      <c r="O601" s="1" t="n"/>
      <c r="P601" s="1" t="n"/>
      <c r="Q601" s="1" t="n"/>
      <c r="R601" s="1" t="n"/>
    </row>
    <row r="602" ht="15.75" customHeight="1" s="143">
      <c r="B602" s="1" t="n"/>
      <c r="C602" s="1" t="n"/>
      <c r="D602" s="1" t="n"/>
      <c r="E602" s="1" t="n"/>
      <c r="F602" s="1" t="n"/>
      <c r="H602" s="1" t="n"/>
      <c r="I602" s="1" t="n"/>
      <c r="J602" s="1" t="n"/>
      <c r="K602" s="1" t="n"/>
      <c r="L602" s="1" t="n"/>
      <c r="N602" s="1" t="n"/>
      <c r="O602" s="1" t="n"/>
      <c r="P602" s="1" t="n"/>
      <c r="Q602" s="1" t="n"/>
      <c r="R602" s="1" t="n"/>
    </row>
    <row r="603" ht="15.75" customHeight="1" s="143">
      <c r="B603" s="1" t="n"/>
      <c r="C603" s="1" t="n"/>
      <c r="D603" s="1" t="n"/>
      <c r="E603" s="1" t="n"/>
      <c r="F603" s="1" t="n"/>
      <c r="H603" s="1" t="n"/>
      <c r="I603" s="1" t="n"/>
      <c r="J603" s="1" t="n"/>
      <c r="K603" s="1" t="n"/>
      <c r="L603" s="1" t="n"/>
      <c r="N603" s="1" t="n"/>
      <c r="O603" s="1" t="n"/>
      <c r="P603" s="1" t="n"/>
      <c r="Q603" s="1" t="n"/>
      <c r="R603" s="1" t="n"/>
    </row>
    <row r="604" ht="15.75" customHeight="1" s="143">
      <c r="B604" s="1" t="n"/>
      <c r="C604" s="1" t="n"/>
      <c r="D604" s="1" t="n"/>
      <c r="E604" s="1" t="n"/>
      <c r="F604" s="1" t="n"/>
      <c r="H604" s="1" t="n"/>
      <c r="I604" s="1" t="n"/>
      <c r="J604" s="1" t="n"/>
      <c r="K604" s="1" t="n"/>
      <c r="L604" s="1" t="n"/>
      <c r="N604" s="1" t="n"/>
      <c r="O604" s="1" t="n"/>
      <c r="P604" s="1" t="n"/>
      <c r="Q604" s="1" t="n"/>
      <c r="R604" s="1" t="n"/>
    </row>
    <row r="605" ht="15.75" customHeight="1" s="143">
      <c r="B605" s="1" t="n"/>
      <c r="C605" s="1" t="n"/>
      <c r="D605" s="1" t="n"/>
      <c r="E605" s="1" t="n"/>
      <c r="F605" s="1" t="n"/>
      <c r="H605" s="1" t="n"/>
      <c r="I605" s="1" t="n"/>
      <c r="J605" s="1" t="n"/>
      <c r="K605" s="1" t="n"/>
      <c r="L605" s="1" t="n"/>
      <c r="N605" s="1" t="n"/>
      <c r="O605" s="1" t="n"/>
      <c r="P605" s="1" t="n"/>
      <c r="Q605" s="1" t="n"/>
      <c r="R605" s="1" t="n"/>
    </row>
    <row r="606" ht="15.75" customHeight="1" s="143">
      <c r="B606" s="1" t="n"/>
      <c r="C606" s="1" t="n"/>
      <c r="D606" s="1" t="n"/>
      <c r="E606" s="1" t="n"/>
      <c r="F606" s="1" t="n"/>
      <c r="H606" s="1" t="n"/>
      <c r="I606" s="1" t="n"/>
      <c r="J606" s="1" t="n"/>
      <c r="K606" s="1" t="n"/>
      <c r="L606" s="1" t="n"/>
      <c r="N606" s="1" t="n"/>
      <c r="O606" s="1" t="n"/>
      <c r="P606" s="1" t="n"/>
      <c r="Q606" s="1" t="n"/>
      <c r="R606" s="1" t="n"/>
    </row>
    <row r="607" ht="15.75" customHeight="1" s="143">
      <c r="B607" s="1" t="n"/>
      <c r="C607" s="1" t="n"/>
      <c r="D607" s="1" t="n"/>
      <c r="E607" s="1" t="n"/>
      <c r="F607" s="1" t="n"/>
      <c r="H607" s="1" t="n"/>
      <c r="I607" s="1" t="n"/>
      <c r="J607" s="1" t="n"/>
      <c r="K607" s="1" t="n"/>
      <c r="L607" s="1" t="n"/>
      <c r="N607" s="1" t="n"/>
      <c r="O607" s="1" t="n"/>
      <c r="P607" s="1" t="n"/>
      <c r="Q607" s="1" t="n"/>
      <c r="R607" s="1" t="n"/>
    </row>
    <row r="608" ht="15.75" customHeight="1" s="143">
      <c r="B608" s="1" t="n"/>
      <c r="C608" s="1" t="n"/>
      <c r="D608" s="1" t="n"/>
      <c r="E608" s="1" t="n"/>
      <c r="F608" s="1" t="n"/>
      <c r="H608" s="1" t="n"/>
      <c r="I608" s="1" t="n"/>
      <c r="J608" s="1" t="n"/>
      <c r="K608" s="1" t="n"/>
      <c r="L608" s="1" t="n"/>
      <c r="N608" s="1" t="n"/>
      <c r="O608" s="1" t="n"/>
      <c r="P608" s="1" t="n"/>
      <c r="Q608" s="1" t="n"/>
      <c r="R608" s="1" t="n"/>
    </row>
    <row r="609" ht="15.75" customHeight="1" s="143">
      <c r="B609" s="1" t="n"/>
      <c r="C609" s="1" t="n"/>
      <c r="D609" s="1" t="n"/>
      <c r="E609" s="1" t="n"/>
      <c r="F609" s="1" t="n"/>
      <c r="H609" s="1" t="n"/>
      <c r="I609" s="1" t="n"/>
      <c r="J609" s="1" t="n"/>
      <c r="K609" s="1" t="n"/>
      <c r="L609" s="1" t="n"/>
      <c r="N609" s="1" t="n"/>
      <c r="O609" s="1" t="n"/>
      <c r="P609" s="1" t="n"/>
      <c r="Q609" s="1" t="n"/>
      <c r="R609" s="1" t="n"/>
    </row>
    <row r="610" ht="15.75" customHeight="1" s="143">
      <c r="B610" s="1" t="n"/>
      <c r="C610" s="1" t="n"/>
      <c r="D610" s="1" t="n"/>
      <c r="E610" s="1" t="n"/>
      <c r="F610" s="1" t="n"/>
      <c r="H610" s="1" t="n"/>
      <c r="I610" s="1" t="n"/>
      <c r="J610" s="1" t="n"/>
      <c r="K610" s="1" t="n"/>
      <c r="L610" s="1" t="n"/>
      <c r="N610" s="1" t="n"/>
      <c r="O610" s="1" t="n"/>
      <c r="P610" s="1" t="n"/>
      <c r="Q610" s="1" t="n"/>
      <c r="R610" s="1" t="n"/>
    </row>
    <row r="611" ht="15.75" customHeight="1" s="143">
      <c r="B611" s="1" t="n"/>
      <c r="C611" s="1" t="n"/>
      <c r="D611" s="1" t="n"/>
      <c r="E611" s="1" t="n"/>
      <c r="F611" s="1" t="n"/>
      <c r="H611" s="1" t="n"/>
      <c r="I611" s="1" t="n"/>
      <c r="J611" s="1" t="n"/>
      <c r="K611" s="1" t="n"/>
      <c r="L611" s="1" t="n"/>
      <c r="N611" s="1" t="n"/>
      <c r="O611" s="1" t="n"/>
      <c r="P611" s="1" t="n"/>
      <c r="Q611" s="1" t="n"/>
      <c r="R611" s="1" t="n"/>
    </row>
    <row r="612" ht="15.75" customHeight="1" s="143">
      <c r="B612" s="1" t="n"/>
      <c r="C612" s="1" t="n"/>
      <c r="D612" s="1" t="n"/>
      <c r="E612" s="1" t="n"/>
      <c r="F612" s="1" t="n"/>
      <c r="H612" s="1" t="n"/>
      <c r="I612" s="1" t="n"/>
      <c r="J612" s="1" t="n"/>
      <c r="K612" s="1" t="n"/>
      <c r="L612" s="1" t="n"/>
      <c r="N612" s="1" t="n"/>
      <c r="O612" s="1" t="n"/>
      <c r="P612" s="1" t="n"/>
      <c r="Q612" s="1" t="n"/>
      <c r="R612" s="1" t="n"/>
    </row>
    <row r="613" ht="15.75" customHeight="1" s="143">
      <c r="B613" s="1" t="n"/>
      <c r="C613" s="1" t="n"/>
      <c r="D613" s="1" t="n"/>
      <c r="E613" s="1" t="n"/>
      <c r="F613" s="1" t="n"/>
      <c r="H613" s="1" t="n"/>
      <c r="I613" s="1" t="n"/>
      <c r="J613" s="1" t="n"/>
      <c r="K613" s="1" t="n"/>
      <c r="L613" s="1" t="n"/>
      <c r="N613" s="1" t="n"/>
      <c r="O613" s="1" t="n"/>
      <c r="P613" s="1" t="n"/>
      <c r="Q613" s="1" t="n"/>
      <c r="R613" s="1" t="n"/>
    </row>
    <row r="614" ht="15.75" customHeight="1" s="143">
      <c r="B614" s="1" t="n"/>
      <c r="C614" s="1" t="n"/>
      <c r="D614" s="1" t="n"/>
      <c r="E614" s="1" t="n"/>
      <c r="F614" s="1" t="n"/>
      <c r="H614" s="1" t="n"/>
      <c r="I614" s="1" t="n"/>
      <c r="J614" s="1" t="n"/>
      <c r="K614" s="1" t="n"/>
      <c r="L614" s="1" t="n"/>
      <c r="N614" s="1" t="n"/>
      <c r="O614" s="1" t="n"/>
      <c r="P614" s="1" t="n"/>
      <c r="Q614" s="1" t="n"/>
      <c r="R614" s="1" t="n"/>
    </row>
    <row r="615" ht="15.75" customHeight="1" s="143">
      <c r="B615" s="1" t="n"/>
      <c r="C615" s="1" t="n"/>
      <c r="D615" s="1" t="n"/>
      <c r="E615" s="1" t="n"/>
      <c r="F615" s="1" t="n"/>
      <c r="H615" s="1" t="n"/>
      <c r="I615" s="1" t="n"/>
      <c r="J615" s="1" t="n"/>
      <c r="K615" s="1" t="n"/>
      <c r="L615" s="1" t="n"/>
      <c r="N615" s="1" t="n"/>
      <c r="O615" s="1" t="n"/>
      <c r="P615" s="1" t="n"/>
      <c r="Q615" s="1" t="n"/>
      <c r="R615" s="1" t="n"/>
    </row>
    <row r="616" ht="15.75" customHeight="1" s="143">
      <c r="B616" s="1" t="n"/>
      <c r="C616" s="1" t="n"/>
      <c r="D616" s="1" t="n"/>
      <c r="E616" s="1" t="n"/>
      <c r="F616" s="1" t="n"/>
      <c r="H616" s="1" t="n"/>
      <c r="I616" s="1" t="n"/>
      <c r="J616" s="1" t="n"/>
      <c r="K616" s="1" t="n"/>
      <c r="L616" s="1" t="n"/>
      <c r="N616" s="1" t="n"/>
      <c r="O616" s="1" t="n"/>
      <c r="P616" s="1" t="n"/>
      <c r="Q616" s="1" t="n"/>
      <c r="R616" s="1" t="n"/>
    </row>
    <row r="617" ht="15.75" customHeight="1" s="143">
      <c r="B617" s="1" t="n"/>
      <c r="C617" s="1" t="n"/>
      <c r="D617" s="1" t="n"/>
      <c r="E617" s="1" t="n"/>
      <c r="F617" s="1" t="n"/>
      <c r="H617" s="1" t="n"/>
      <c r="I617" s="1" t="n"/>
      <c r="J617" s="1" t="n"/>
      <c r="K617" s="1" t="n"/>
      <c r="L617" s="1" t="n"/>
      <c r="N617" s="1" t="n"/>
      <c r="O617" s="1" t="n"/>
      <c r="P617" s="1" t="n"/>
      <c r="Q617" s="1" t="n"/>
      <c r="R617" s="1" t="n"/>
    </row>
    <row r="618" ht="15.75" customHeight="1" s="143">
      <c r="B618" s="1" t="n"/>
      <c r="C618" s="1" t="n"/>
      <c r="D618" s="1" t="n"/>
      <c r="E618" s="1" t="n"/>
      <c r="F618" s="1" t="n"/>
      <c r="H618" s="1" t="n"/>
      <c r="I618" s="1" t="n"/>
      <c r="J618" s="1" t="n"/>
      <c r="K618" s="1" t="n"/>
      <c r="L618" s="1" t="n"/>
      <c r="N618" s="1" t="n"/>
      <c r="O618" s="1" t="n"/>
      <c r="P618" s="1" t="n"/>
      <c r="Q618" s="1" t="n"/>
      <c r="R618" s="1" t="n"/>
    </row>
    <row r="619" ht="15.75" customHeight="1" s="143">
      <c r="B619" s="1" t="n"/>
      <c r="C619" s="1" t="n"/>
      <c r="D619" s="1" t="n"/>
      <c r="E619" s="1" t="n"/>
      <c r="F619" s="1" t="n"/>
      <c r="H619" s="1" t="n"/>
      <c r="I619" s="1" t="n"/>
      <c r="J619" s="1" t="n"/>
      <c r="K619" s="1" t="n"/>
      <c r="L619" s="1" t="n"/>
      <c r="N619" s="1" t="n"/>
      <c r="O619" s="1" t="n"/>
      <c r="P619" s="1" t="n"/>
      <c r="Q619" s="1" t="n"/>
      <c r="R619" s="1" t="n"/>
    </row>
    <row r="620" ht="15.75" customHeight="1" s="143">
      <c r="B620" s="1" t="n"/>
      <c r="C620" s="1" t="n"/>
      <c r="D620" s="1" t="n"/>
      <c r="E620" s="1" t="n"/>
      <c r="F620" s="1" t="n"/>
      <c r="H620" s="1" t="n"/>
      <c r="I620" s="1" t="n"/>
      <c r="J620" s="1" t="n"/>
      <c r="K620" s="1" t="n"/>
      <c r="L620" s="1" t="n"/>
      <c r="N620" s="1" t="n"/>
      <c r="O620" s="1" t="n"/>
      <c r="P620" s="1" t="n"/>
      <c r="Q620" s="1" t="n"/>
      <c r="R620" s="1" t="n"/>
    </row>
    <row r="621" ht="15.75" customHeight="1" s="143">
      <c r="B621" s="1" t="n"/>
      <c r="C621" s="1" t="n"/>
      <c r="D621" s="1" t="n"/>
      <c r="E621" s="1" t="n"/>
      <c r="F621" s="1" t="n"/>
      <c r="H621" s="1" t="n"/>
      <c r="I621" s="1" t="n"/>
      <c r="J621" s="1" t="n"/>
      <c r="K621" s="1" t="n"/>
      <c r="L621" s="1" t="n"/>
      <c r="N621" s="1" t="n"/>
      <c r="O621" s="1" t="n"/>
      <c r="P621" s="1" t="n"/>
      <c r="Q621" s="1" t="n"/>
      <c r="R621" s="1" t="n"/>
    </row>
    <row r="622" ht="15.75" customHeight="1" s="143">
      <c r="B622" s="1" t="n"/>
      <c r="C622" s="1" t="n"/>
      <c r="D622" s="1" t="n"/>
      <c r="E622" s="1" t="n"/>
      <c r="F622" s="1" t="n"/>
      <c r="H622" s="1" t="n"/>
      <c r="I622" s="1" t="n"/>
      <c r="J622" s="1" t="n"/>
      <c r="K622" s="1" t="n"/>
      <c r="L622" s="1" t="n"/>
      <c r="N622" s="1" t="n"/>
      <c r="O622" s="1" t="n"/>
      <c r="P622" s="1" t="n"/>
      <c r="Q622" s="1" t="n"/>
      <c r="R622" s="1" t="n"/>
    </row>
    <row r="623" ht="15.75" customHeight="1" s="143">
      <c r="B623" s="1" t="n"/>
      <c r="C623" s="1" t="n"/>
      <c r="D623" s="1" t="n"/>
      <c r="E623" s="1" t="n"/>
      <c r="F623" s="1" t="n"/>
      <c r="H623" s="1" t="n"/>
      <c r="I623" s="1" t="n"/>
      <c r="J623" s="1" t="n"/>
      <c r="K623" s="1" t="n"/>
      <c r="L623" s="1" t="n"/>
      <c r="N623" s="1" t="n"/>
      <c r="O623" s="1" t="n"/>
      <c r="P623" s="1" t="n"/>
      <c r="Q623" s="1" t="n"/>
      <c r="R623" s="1" t="n"/>
    </row>
    <row r="624" ht="15.75" customHeight="1" s="143">
      <c r="B624" s="1" t="n"/>
      <c r="C624" s="1" t="n"/>
      <c r="D624" s="1" t="n"/>
      <c r="E624" s="1" t="n"/>
      <c r="F624" s="1" t="n"/>
      <c r="H624" s="1" t="n"/>
      <c r="I624" s="1" t="n"/>
      <c r="J624" s="1" t="n"/>
      <c r="K624" s="1" t="n"/>
      <c r="L624" s="1" t="n"/>
      <c r="N624" s="1" t="n"/>
      <c r="O624" s="1" t="n"/>
      <c r="P624" s="1" t="n"/>
      <c r="Q624" s="1" t="n"/>
      <c r="R624" s="1" t="n"/>
    </row>
    <row r="625" ht="15.75" customHeight="1" s="143">
      <c r="B625" s="1" t="n"/>
      <c r="C625" s="1" t="n"/>
      <c r="D625" s="1" t="n"/>
      <c r="E625" s="1" t="n"/>
      <c r="F625" s="1" t="n"/>
      <c r="H625" s="1" t="n"/>
      <c r="I625" s="1" t="n"/>
      <c r="J625" s="1" t="n"/>
      <c r="K625" s="1" t="n"/>
      <c r="L625" s="1" t="n"/>
      <c r="N625" s="1" t="n"/>
      <c r="O625" s="1" t="n"/>
      <c r="P625" s="1" t="n"/>
      <c r="Q625" s="1" t="n"/>
      <c r="R625" s="1" t="n"/>
    </row>
    <row r="626" ht="15.75" customHeight="1" s="143">
      <c r="B626" s="1" t="n"/>
      <c r="C626" s="1" t="n"/>
      <c r="D626" s="1" t="n"/>
      <c r="E626" s="1" t="n"/>
      <c r="F626" s="1" t="n"/>
      <c r="H626" s="1" t="n"/>
      <c r="I626" s="1" t="n"/>
      <c r="J626" s="1" t="n"/>
      <c r="K626" s="1" t="n"/>
      <c r="L626" s="1" t="n"/>
      <c r="N626" s="1" t="n"/>
      <c r="O626" s="1" t="n"/>
      <c r="P626" s="1" t="n"/>
      <c r="Q626" s="1" t="n"/>
      <c r="R626" s="1" t="n"/>
    </row>
    <row r="627" ht="15.75" customHeight="1" s="143">
      <c r="B627" s="1" t="n"/>
      <c r="C627" s="1" t="n"/>
      <c r="D627" s="1" t="n"/>
      <c r="E627" s="1" t="n"/>
      <c r="F627" s="1" t="n"/>
      <c r="H627" s="1" t="n"/>
      <c r="I627" s="1" t="n"/>
      <c r="J627" s="1" t="n"/>
      <c r="K627" s="1" t="n"/>
      <c r="L627" s="1" t="n"/>
      <c r="N627" s="1" t="n"/>
      <c r="O627" s="1" t="n"/>
      <c r="P627" s="1" t="n"/>
      <c r="Q627" s="1" t="n"/>
      <c r="R627" s="1" t="n"/>
    </row>
    <row r="628" ht="15.75" customHeight="1" s="143">
      <c r="B628" s="1" t="n"/>
      <c r="C628" s="1" t="n"/>
      <c r="D628" s="1" t="n"/>
      <c r="E628" s="1" t="n"/>
      <c r="F628" s="1" t="n"/>
      <c r="H628" s="1" t="n"/>
      <c r="I628" s="1" t="n"/>
      <c r="J628" s="1" t="n"/>
      <c r="K628" s="1" t="n"/>
      <c r="L628" s="1" t="n"/>
      <c r="N628" s="1" t="n"/>
      <c r="O628" s="1" t="n"/>
      <c r="P628" s="1" t="n"/>
      <c r="Q628" s="1" t="n"/>
      <c r="R628" s="1" t="n"/>
    </row>
    <row r="629" ht="15.75" customHeight="1" s="143">
      <c r="B629" s="1" t="n"/>
      <c r="C629" s="1" t="n"/>
      <c r="D629" s="1" t="n"/>
      <c r="E629" s="1" t="n"/>
      <c r="F629" s="1" t="n"/>
      <c r="H629" s="1" t="n"/>
      <c r="I629" s="1" t="n"/>
      <c r="J629" s="1" t="n"/>
      <c r="K629" s="1" t="n"/>
      <c r="L629" s="1" t="n"/>
      <c r="N629" s="1" t="n"/>
      <c r="O629" s="1" t="n"/>
      <c r="P629" s="1" t="n"/>
      <c r="Q629" s="1" t="n"/>
      <c r="R629" s="1" t="n"/>
    </row>
    <row r="630" ht="15.75" customHeight="1" s="143">
      <c r="B630" s="1" t="n"/>
      <c r="C630" s="1" t="n"/>
      <c r="D630" s="1" t="n"/>
      <c r="E630" s="1" t="n"/>
      <c r="F630" s="1" t="n"/>
      <c r="H630" s="1" t="n"/>
      <c r="I630" s="1" t="n"/>
      <c r="J630" s="1" t="n"/>
      <c r="K630" s="1" t="n"/>
      <c r="L630" s="1" t="n"/>
      <c r="N630" s="1" t="n"/>
      <c r="O630" s="1" t="n"/>
      <c r="P630" s="1" t="n"/>
      <c r="Q630" s="1" t="n"/>
      <c r="R630" s="1" t="n"/>
    </row>
    <row r="631" ht="15.75" customHeight="1" s="143">
      <c r="B631" s="1" t="n"/>
      <c r="C631" s="1" t="n"/>
      <c r="D631" s="1" t="n"/>
      <c r="E631" s="1" t="n"/>
      <c r="F631" s="1" t="n"/>
      <c r="H631" s="1" t="n"/>
      <c r="I631" s="1" t="n"/>
      <c r="J631" s="1" t="n"/>
      <c r="K631" s="1" t="n"/>
      <c r="L631" s="1" t="n"/>
      <c r="N631" s="1" t="n"/>
      <c r="O631" s="1" t="n"/>
      <c r="P631" s="1" t="n"/>
      <c r="Q631" s="1" t="n"/>
      <c r="R631" s="1" t="n"/>
    </row>
    <row r="632" ht="15.75" customHeight="1" s="143">
      <c r="B632" s="1" t="n"/>
      <c r="C632" s="1" t="n"/>
      <c r="D632" s="1" t="n"/>
      <c r="E632" s="1" t="n"/>
      <c r="F632" s="1" t="n"/>
      <c r="H632" s="1" t="n"/>
      <c r="I632" s="1" t="n"/>
      <c r="J632" s="1" t="n"/>
      <c r="K632" s="1" t="n"/>
      <c r="L632" s="1" t="n"/>
      <c r="N632" s="1" t="n"/>
      <c r="O632" s="1" t="n"/>
      <c r="P632" s="1" t="n"/>
      <c r="Q632" s="1" t="n"/>
      <c r="R632" s="1" t="n"/>
    </row>
    <row r="633" ht="15.75" customHeight="1" s="143">
      <c r="B633" s="1" t="n"/>
      <c r="C633" s="1" t="n"/>
      <c r="D633" s="1" t="n"/>
      <c r="E633" s="1" t="n"/>
      <c r="F633" s="1" t="n"/>
      <c r="H633" s="1" t="n"/>
      <c r="I633" s="1" t="n"/>
      <c r="J633" s="1" t="n"/>
      <c r="K633" s="1" t="n"/>
      <c r="L633" s="1" t="n"/>
      <c r="N633" s="1" t="n"/>
      <c r="O633" s="1" t="n"/>
      <c r="P633" s="1" t="n"/>
      <c r="Q633" s="1" t="n"/>
      <c r="R633" s="1" t="n"/>
    </row>
    <row r="634" ht="15.75" customHeight="1" s="143">
      <c r="B634" s="1" t="n"/>
      <c r="C634" s="1" t="n"/>
      <c r="D634" s="1" t="n"/>
      <c r="E634" s="1" t="n"/>
      <c r="F634" s="1" t="n"/>
      <c r="H634" s="1" t="n"/>
      <c r="I634" s="1" t="n"/>
      <c r="J634" s="1" t="n"/>
      <c r="K634" s="1" t="n"/>
      <c r="L634" s="1" t="n"/>
      <c r="N634" s="1" t="n"/>
      <c r="O634" s="1" t="n"/>
      <c r="P634" s="1" t="n"/>
      <c r="Q634" s="1" t="n"/>
      <c r="R634" s="1" t="n"/>
    </row>
    <row r="635" ht="15.75" customHeight="1" s="143">
      <c r="B635" s="1" t="n"/>
      <c r="C635" s="1" t="n"/>
      <c r="D635" s="1" t="n"/>
      <c r="E635" s="1" t="n"/>
      <c r="F635" s="1" t="n"/>
      <c r="H635" s="1" t="n"/>
      <c r="I635" s="1" t="n"/>
      <c r="J635" s="1" t="n"/>
      <c r="K635" s="1" t="n"/>
      <c r="L635" s="1" t="n"/>
      <c r="N635" s="1" t="n"/>
      <c r="O635" s="1" t="n"/>
      <c r="P635" s="1" t="n"/>
      <c r="Q635" s="1" t="n"/>
      <c r="R635" s="1" t="n"/>
    </row>
    <row r="636" ht="15.75" customHeight="1" s="143">
      <c r="B636" s="1" t="n"/>
      <c r="C636" s="1" t="n"/>
      <c r="D636" s="1" t="n"/>
      <c r="E636" s="1" t="n"/>
      <c r="F636" s="1" t="n"/>
      <c r="H636" s="1" t="n"/>
      <c r="I636" s="1" t="n"/>
      <c r="J636" s="1" t="n"/>
      <c r="K636" s="1" t="n"/>
      <c r="L636" s="1" t="n"/>
      <c r="N636" s="1" t="n"/>
      <c r="O636" s="1" t="n"/>
      <c r="P636" s="1" t="n"/>
      <c r="Q636" s="1" t="n"/>
      <c r="R636" s="1" t="n"/>
    </row>
    <row r="637" ht="15.75" customHeight="1" s="143">
      <c r="B637" s="1" t="n"/>
      <c r="C637" s="1" t="n"/>
      <c r="D637" s="1" t="n"/>
      <c r="E637" s="1" t="n"/>
      <c r="F637" s="1" t="n"/>
      <c r="H637" s="1" t="n"/>
      <c r="I637" s="1" t="n"/>
      <c r="J637" s="1" t="n"/>
      <c r="K637" s="1" t="n"/>
      <c r="L637" s="1" t="n"/>
      <c r="N637" s="1" t="n"/>
      <c r="O637" s="1" t="n"/>
      <c r="P637" s="1" t="n"/>
      <c r="Q637" s="1" t="n"/>
      <c r="R637" s="1" t="n"/>
    </row>
    <row r="638" ht="15.75" customHeight="1" s="143">
      <c r="B638" s="1" t="n"/>
      <c r="C638" s="1" t="n"/>
      <c r="D638" s="1" t="n"/>
      <c r="E638" s="1" t="n"/>
      <c r="F638" s="1" t="n"/>
      <c r="H638" s="1" t="n"/>
      <c r="I638" s="1" t="n"/>
      <c r="J638" s="1" t="n"/>
      <c r="K638" s="1" t="n"/>
      <c r="L638" s="1" t="n"/>
      <c r="N638" s="1" t="n"/>
      <c r="O638" s="1" t="n"/>
      <c r="P638" s="1" t="n"/>
      <c r="Q638" s="1" t="n"/>
      <c r="R638" s="1" t="n"/>
    </row>
    <row r="639" ht="15.75" customHeight="1" s="143">
      <c r="B639" s="1" t="n"/>
      <c r="C639" s="1" t="n"/>
      <c r="D639" s="1" t="n"/>
      <c r="E639" s="1" t="n"/>
      <c r="F639" s="1" t="n"/>
      <c r="H639" s="1" t="n"/>
      <c r="I639" s="1" t="n"/>
      <c r="J639" s="1" t="n"/>
      <c r="K639" s="1" t="n"/>
      <c r="L639" s="1" t="n"/>
      <c r="N639" s="1" t="n"/>
      <c r="O639" s="1" t="n"/>
      <c r="P639" s="1" t="n"/>
      <c r="Q639" s="1" t="n"/>
      <c r="R639" s="1" t="n"/>
    </row>
    <row r="640" ht="15.75" customHeight="1" s="143">
      <c r="B640" s="1" t="n"/>
      <c r="C640" s="1" t="n"/>
      <c r="D640" s="1" t="n"/>
      <c r="E640" s="1" t="n"/>
      <c r="F640" s="1" t="n"/>
      <c r="H640" s="1" t="n"/>
      <c r="I640" s="1" t="n"/>
      <c r="J640" s="1" t="n"/>
      <c r="K640" s="1" t="n"/>
      <c r="L640" s="1" t="n"/>
      <c r="N640" s="1" t="n"/>
      <c r="O640" s="1" t="n"/>
      <c r="P640" s="1" t="n"/>
      <c r="Q640" s="1" t="n"/>
      <c r="R640" s="1" t="n"/>
    </row>
    <row r="641" ht="15.75" customHeight="1" s="143">
      <c r="B641" s="1" t="n"/>
      <c r="C641" s="1" t="n"/>
      <c r="D641" s="1" t="n"/>
      <c r="E641" s="1" t="n"/>
      <c r="F641" s="1" t="n"/>
      <c r="H641" s="1" t="n"/>
      <c r="I641" s="1" t="n"/>
      <c r="J641" s="1" t="n"/>
      <c r="K641" s="1" t="n"/>
      <c r="L641" s="1" t="n"/>
      <c r="N641" s="1" t="n"/>
      <c r="O641" s="1" t="n"/>
      <c r="P641" s="1" t="n"/>
      <c r="Q641" s="1" t="n"/>
      <c r="R641" s="1" t="n"/>
    </row>
    <row r="642" ht="15.75" customHeight="1" s="143">
      <c r="B642" s="1" t="n"/>
      <c r="C642" s="1" t="n"/>
      <c r="D642" s="1" t="n"/>
      <c r="E642" s="1" t="n"/>
      <c r="F642" s="1" t="n"/>
      <c r="H642" s="1" t="n"/>
      <c r="I642" s="1" t="n"/>
      <c r="J642" s="1" t="n"/>
      <c r="K642" s="1" t="n"/>
      <c r="L642" s="1" t="n"/>
      <c r="N642" s="1" t="n"/>
      <c r="O642" s="1" t="n"/>
      <c r="P642" s="1" t="n"/>
      <c r="Q642" s="1" t="n"/>
      <c r="R642" s="1" t="n"/>
    </row>
    <row r="643" ht="15.75" customHeight="1" s="143">
      <c r="B643" s="1" t="n"/>
      <c r="C643" s="1" t="n"/>
      <c r="D643" s="1" t="n"/>
      <c r="E643" s="1" t="n"/>
      <c r="F643" s="1" t="n"/>
      <c r="H643" s="1" t="n"/>
      <c r="I643" s="1" t="n"/>
      <c r="J643" s="1" t="n"/>
      <c r="K643" s="1" t="n"/>
      <c r="L643" s="1" t="n"/>
      <c r="N643" s="1" t="n"/>
      <c r="O643" s="1" t="n"/>
      <c r="P643" s="1" t="n"/>
      <c r="Q643" s="1" t="n"/>
      <c r="R643" s="1" t="n"/>
    </row>
    <row r="644" ht="15.75" customHeight="1" s="143">
      <c r="B644" s="1" t="n"/>
      <c r="C644" s="1" t="n"/>
      <c r="D644" s="1" t="n"/>
      <c r="E644" s="1" t="n"/>
      <c r="F644" s="1" t="n"/>
      <c r="H644" s="1" t="n"/>
      <c r="I644" s="1" t="n"/>
      <c r="J644" s="1" t="n"/>
      <c r="K644" s="1" t="n"/>
      <c r="L644" s="1" t="n"/>
      <c r="N644" s="1" t="n"/>
      <c r="O644" s="1" t="n"/>
      <c r="P644" s="1" t="n"/>
      <c r="Q644" s="1" t="n"/>
      <c r="R644" s="1" t="n"/>
    </row>
    <row r="645" ht="15.75" customHeight="1" s="143">
      <c r="B645" s="1" t="n"/>
      <c r="C645" s="1" t="n"/>
      <c r="D645" s="1" t="n"/>
      <c r="E645" s="1" t="n"/>
      <c r="F645" s="1" t="n"/>
      <c r="H645" s="1" t="n"/>
      <c r="I645" s="1" t="n"/>
      <c r="J645" s="1" t="n"/>
      <c r="K645" s="1" t="n"/>
      <c r="L645" s="1" t="n"/>
      <c r="N645" s="1" t="n"/>
      <c r="O645" s="1" t="n"/>
      <c r="P645" s="1" t="n"/>
      <c r="Q645" s="1" t="n"/>
      <c r="R645" s="1" t="n"/>
    </row>
    <row r="646" ht="15.75" customHeight="1" s="143">
      <c r="B646" s="1" t="n"/>
      <c r="C646" s="1" t="n"/>
      <c r="D646" s="1" t="n"/>
      <c r="E646" s="1" t="n"/>
      <c r="F646" s="1" t="n"/>
      <c r="H646" s="1" t="n"/>
      <c r="I646" s="1" t="n"/>
      <c r="J646" s="1" t="n"/>
      <c r="K646" s="1" t="n"/>
      <c r="L646" s="1" t="n"/>
      <c r="N646" s="1" t="n"/>
      <c r="O646" s="1" t="n"/>
      <c r="P646" s="1" t="n"/>
      <c r="Q646" s="1" t="n"/>
      <c r="R646" s="1" t="n"/>
    </row>
    <row r="647" ht="15.75" customHeight="1" s="143">
      <c r="B647" s="1" t="n"/>
      <c r="C647" s="1" t="n"/>
      <c r="D647" s="1" t="n"/>
      <c r="E647" s="1" t="n"/>
      <c r="F647" s="1" t="n"/>
      <c r="H647" s="1" t="n"/>
      <c r="I647" s="1" t="n"/>
      <c r="J647" s="1" t="n"/>
      <c r="K647" s="1" t="n"/>
      <c r="L647" s="1" t="n"/>
      <c r="N647" s="1" t="n"/>
      <c r="O647" s="1" t="n"/>
      <c r="P647" s="1" t="n"/>
      <c r="Q647" s="1" t="n"/>
      <c r="R647" s="1" t="n"/>
    </row>
    <row r="648" ht="15.75" customHeight="1" s="143">
      <c r="B648" s="1" t="n"/>
      <c r="C648" s="1" t="n"/>
      <c r="D648" s="1" t="n"/>
      <c r="E648" s="1" t="n"/>
      <c r="F648" s="1" t="n"/>
      <c r="H648" s="1" t="n"/>
      <c r="I648" s="1" t="n"/>
      <c r="J648" s="1" t="n"/>
      <c r="K648" s="1" t="n"/>
      <c r="L648" s="1" t="n"/>
      <c r="N648" s="1" t="n"/>
      <c r="O648" s="1" t="n"/>
      <c r="P648" s="1" t="n"/>
      <c r="Q648" s="1" t="n"/>
      <c r="R648" s="1" t="n"/>
    </row>
    <row r="649" ht="15.75" customHeight="1" s="143">
      <c r="B649" s="1" t="n"/>
      <c r="C649" s="1" t="n"/>
      <c r="D649" s="1" t="n"/>
      <c r="E649" s="1" t="n"/>
      <c r="F649" s="1" t="n"/>
      <c r="H649" s="1" t="n"/>
      <c r="I649" s="1" t="n"/>
      <c r="J649" s="1" t="n"/>
      <c r="K649" s="1" t="n"/>
      <c r="L649" s="1" t="n"/>
      <c r="N649" s="1" t="n"/>
      <c r="O649" s="1" t="n"/>
      <c r="P649" s="1" t="n"/>
      <c r="Q649" s="1" t="n"/>
      <c r="R649" s="1" t="n"/>
    </row>
    <row r="650" ht="15.75" customHeight="1" s="143">
      <c r="B650" s="1" t="n"/>
      <c r="C650" s="1" t="n"/>
      <c r="D650" s="1" t="n"/>
      <c r="E650" s="1" t="n"/>
      <c r="F650" s="1" t="n"/>
      <c r="H650" s="1" t="n"/>
      <c r="I650" s="1" t="n"/>
      <c r="J650" s="1" t="n"/>
      <c r="K650" s="1" t="n"/>
      <c r="L650" s="1" t="n"/>
      <c r="N650" s="1" t="n"/>
      <c r="O650" s="1" t="n"/>
      <c r="P650" s="1" t="n"/>
      <c r="Q650" s="1" t="n"/>
      <c r="R650" s="1" t="n"/>
    </row>
    <row r="651" ht="15.75" customHeight="1" s="143">
      <c r="B651" s="1" t="n"/>
      <c r="C651" s="1" t="n"/>
      <c r="D651" s="1" t="n"/>
      <c r="E651" s="1" t="n"/>
      <c r="F651" s="1" t="n"/>
      <c r="H651" s="1" t="n"/>
      <c r="I651" s="1" t="n"/>
      <c r="J651" s="1" t="n"/>
      <c r="K651" s="1" t="n"/>
      <c r="L651" s="1" t="n"/>
      <c r="N651" s="1" t="n"/>
      <c r="O651" s="1" t="n"/>
      <c r="P651" s="1" t="n"/>
      <c r="Q651" s="1" t="n"/>
      <c r="R651" s="1" t="n"/>
    </row>
    <row r="652" ht="15.75" customHeight="1" s="143">
      <c r="B652" s="1" t="n"/>
      <c r="C652" s="1" t="n"/>
      <c r="D652" s="1" t="n"/>
      <c r="E652" s="1" t="n"/>
      <c r="F652" s="1" t="n"/>
      <c r="H652" s="1" t="n"/>
      <c r="I652" s="1" t="n"/>
      <c r="J652" s="1" t="n"/>
      <c r="K652" s="1" t="n"/>
      <c r="L652" s="1" t="n"/>
      <c r="N652" s="1" t="n"/>
      <c r="O652" s="1" t="n"/>
      <c r="P652" s="1" t="n"/>
      <c r="Q652" s="1" t="n"/>
      <c r="R652" s="1" t="n"/>
    </row>
    <row r="653" ht="15.75" customHeight="1" s="143">
      <c r="B653" s="1" t="n"/>
      <c r="C653" s="1" t="n"/>
      <c r="D653" s="1" t="n"/>
      <c r="E653" s="1" t="n"/>
      <c r="F653" s="1" t="n"/>
      <c r="H653" s="1" t="n"/>
      <c r="I653" s="1" t="n"/>
      <c r="J653" s="1" t="n"/>
      <c r="K653" s="1" t="n"/>
      <c r="L653" s="1" t="n"/>
      <c r="N653" s="1" t="n"/>
      <c r="O653" s="1" t="n"/>
      <c r="P653" s="1" t="n"/>
      <c r="Q653" s="1" t="n"/>
      <c r="R653" s="1" t="n"/>
    </row>
    <row r="654" ht="15.75" customHeight="1" s="143">
      <c r="B654" s="1" t="n"/>
      <c r="C654" s="1" t="n"/>
      <c r="D654" s="1" t="n"/>
      <c r="E654" s="1" t="n"/>
      <c r="F654" s="1" t="n"/>
      <c r="H654" s="1" t="n"/>
      <c r="I654" s="1" t="n"/>
      <c r="J654" s="1" t="n"/>
      <c r="K654" s="1" t="n"/>
      <c r="L654" s="1" t="n"/>
      <c r="N654" s="1" t="n"/>
      <c r="O654" s="1" t="n"/>
      <c r="P654" s="1" t="n"/>
      <c r="Q654" s="1" t="n"/>
      <c r="R654" s="1" t="n"/>
    </row>
    <row r="655" ht="15.75" customHeight="1" s="143">
      <c r="B655" s="1" t="n"/>
      <c r="C655" s="1" t="n"/>
      <c r="D655" s="1" t="n"/>
      <c r="E655" s="1" t="n"/>
      <c r="F655" s="1" t="n"/>
      <c r="H655" s="1" t="n"/>
      <c r="I655" s="1" t="n"/>
      <c r="J655" s="1" t="n"/>
      <c r="K655" s="1" t="n"/>
      <c r="L655" s="1" t="n"/>
      <c r="N655" s="1" t="n"/>
      <c r="O655" s="1" t="n"/>
      <c r="P655" s="1" t="n"/>
      <c r="Q655" s="1" t="n"/>
      <c r="R655" s="1" t="n"/>
    </row>
    <row r="656" ht="15.75" customHeight="1" s="143">
      <c r="B656" s="1" t="n"/>
      <c r="C656" s="1" t="n"/>
      <c r="D656" s="1" t="n"/>
      <c r="E656" s="1" t="n"/>
      <c r="F656" s="1" t="n"/>
      <c r="H656" s="1" t="n"/>
      <c r="I656" s="1" t="n"/>
      <c r="J656" s="1" t="n"/>
      <c r="K656" s="1" t="n"/>
      <c r="L656" s="1" t="n"/>
      <c r="N656" s="1" t="n"/>
      <c r="O656" s="1" t="n"/>
      <c r="P656" s="1" t="n"/>
      <c r="Q656" s="1" t="n"/>
      <c r="R656" s="1" t="n"/>
    </row>
    <row r="657" ht="15.75" customHeight="1" s="143">
      <c r="B657" s="1" t="n"/>
      <c r="C657" s="1" t="n"/>
      <c r="D657" s="1" t="n"/>
      <c r="E657" s="1" t="n"/>
      <c r="F657" s="1" t="n"/>
      <c r="H657" s="1" t="n"/>
      <c r="I657" s="1" t="n"/>
      <c r="J657" s="1" t="n"/>
      <c r="K657" s="1" t="n"/>
      <c r="L657" s="1" t="n"/>
      <c r="N657" s="1" t="n"/>
      <c r="O657" s="1" t="n"/>
      <c r="P657" s="1" t="n"/>
      <c r="Q657" s="1" t="n"/>
      <c r="R657" s="1" t="n"/>
    </row>
    <row r="658" ht="15.75" customHeight="1" s="143">
      <c r="B658" s="1" t="n"/>
      <c r="C658" s="1" t="n"/>
      <c r="D658" s="1" t="n"/>
      <c r="E658" s="1" t="n"/>
      <c r="F658" s="1" t="n"/>
      <c r="H658" s="1" t="n"/>
      <c r="I658" s="1" t="n"/>
      <c r="J658" s="1" t="n"/>
      <c r="K658" s="1" t="n"/>
      <c r="L658" s="1" t="n"/>
      <c r="N658" s="1" t="n"/>
      <c r="O658" s="1" t="n"/>
      <c r="P658" s="1" t="n"/>
      <c r="Q658" s="1" t="n"/>
      <c r="R658" s="1" t="n"/>
    </row>
    <row r="659" ht="15.75" customHeight="1" s="143">
      <c r="B659" s="1" t="n"/>
      <c r="C659" s="1" t="n"/>
      <c r="D659" s="1" t="n"/>
      <c r="E659" s="1" t="n"/>
      <c r="F659" s="1" t="n"/>
      <c r="H659" s="1" t="n"/>
      <c r="I659" s="1" t="n"/>
      <c r="J659" s="1" t="n"/>
      <c r="K659" s="1" t="n"/>
      <c r="L659" s="1" t="n"/>
      <c r="N659" s="1" t="n"/>
      <c r="O659" s="1" t="n"/>
      <c r="P659" s="1" t="n"/>
      <c r="Q659" s="1" t="n"/>
      <c r="R659" s="1" t="n"/>
    </row>
    <row r="660" ht="15.75" customHeight="1" s="143">
      <c r="B660" s="1" t="n"/>
      <c r="C660" s="1" t="n"/>
      <c r="D660" s="1" t="n"/>
      <c r="E660" s="1" t="n"/>
      <c r="F660" s="1" t="n"/>
      <c r="H660" s="1" t="n"/>
      <c r="I660" s="1" t="n"/>
      <c r="J660" s="1" t="n"/>
      <c r="K660" s="1" t="n"/>
      <c r="L660" s="1" t="n"/>
      <c r="N660" s="1" t="n"/>
      <c r="O660" s="1" t="n"/>
      <c r="P660" s="1" t="n"/>
      <c r="Q660" s="1" t="n"/>
      <c r="R660" s="1" t="n"/>
    </row>
    <row r="661" ht="15.75" customHeight="1" s="143">
      <c r="B661" s="1" t="n"/>
      <c r="C661" s="1" t="n"/>
      <c r="D661" s="1" t="n"/>
      <c r="E661" s="1" t="n"/>
      <c r="F661" s="1" t="n"/>
      <c r="H661" s="1" t="n"/>
      <c r="I661" s="1" t="n"/>
      <c r="J661" s="1" t="n"/>
      <c r="K661" s="1" t="n"/>
      <c r="L661" s="1" t="n"/>
      <c r="N661" s="1" t="n"/>
      <c r="O661" s="1" t="n"/>
      <c r="P661" s="1" t="n"/>
      <c r="Q661" s="1" t="n"/>
      <c r="R661" s="1" t="n"/>
    </row>
    <row r="662" ht="15.75" customHeight="1" s="143">
      <c r="B662" s="1" t="n"/>
      <c r="C662" s="1" t="n"/>
      <c r="D662" s="1" t="n"/>
      <c r="E662" s="1" t="n"/>
      <c r="F662" s="1" t="n"/>
      <c r="H662" s="1" t="n"/>
      <c r="I662" s="1" t="n"/>
      <c r="J662" s="1" t="n"/>
      <c r="K662" s="1" t="n"/>
      <c r="L662" s="1" t="n"/>
      <c r="N662" s="1" t="n"/>
      <c r="O662" s="1" t="n"/>
      <c r="P662" s="1" t="n"/>
      <c r="Q662" s="1" t="n"/>
      <c r="R662" s="1" t="n"/>
    </row>
    <row r="663" ht="15.75" customHeight="1" s="143">
      <c r="B663" s="1" t="n"/>
      <c r="C663" s="1" t="n"/>
      <c r="D663" s="1" t="n"/>
      <c r="E663" s="1" t="n"/>
      <c r="F663" s="1" t="n"/>
      <c r="H663" s="1" t="n"/>
      <c r="I663" s="1" t="n"/>
      <c r="J663" s="1" t="n"/>
      <c r="K663" s="1" t="n"/>
      <c r="L663" s="1" t="n"/>
      <c r="N663" s="1" t="n"/>
      <c r="O663" s="1" t="n"/>
      <c r="P663" s="1" t="n"/>
      <c r="Q663" s="1" t="n"/>
      <c r="R663" s="1" t="n"/>
    </row>
    <row r="664" ht="15.75" customHeight="1" s="143">
      <c r="B664" s="1" t="n"/>
      <c r="C664" s="1" t="n"/>
      <c r="D664" s="1" t="n"/>
      <c r="E664" s="1" t="n"/>
      <c r="F664" s="1" t="n"/>
      <c r="H664" s="1" t="n"/>
      <c r="I664" s="1" t="n"/>
      <c r="J664" s="1" t="n"/>
      <c r="K664" s="1" t="n"/>
      <c r="L664" s="1" t="n"/>
      <c r="N664" s="1" t="n"/>
      <c r="O664" s="1" t="n"/>
      <c r="P664" s="1" t="n"/>
      <c r="Q664" s="1" t="n"/>
      <c r="R664" s="1" t="n"/>
    </row>
    <row r="665" ht="15.75" customHeight="1" s="143">
      <c r="B665" s="1" t="n"/>
      <c r="C665" s="1" t="n"/>
      <c r="D665" s="1" t="n"/>
      <c r="E665" s="1" t="n"/>
      <c r="F665" s="1" t="n"/>
      <c r="H665" s="1" t="n"/>
      <c r="I665" s="1" t="n"/>
      <c r="J665" s="1" t="n"/>
      <c r="K665" s="1" t="n"/>
      <c r="L665" s="1" t="n"/>
      <c r="N665" s="1" t="n"/>
      <c r="O665" s="1" t="n"/>
      <c r="P665" s="1" t="n"/>
      <c r="Q665" s="1" t="n"/>
      <c r="R665" s="1" t="n"/>
    </row>
    <row r="666" ht="15.75" customHeight="1" s="143">
      <c r="B666" s="1" t="n"/>
      <c r="C666" s="1" t="n"/>
      <c r="D666" s="1" t="n"/>
      <c r="E666" s="1" t="n"/>
      <c r="F666" s="1" t="n"/>
      <c r="H666" s="1" t="n"/>
      <c r="I666" s="1" t="n"/>
      <c r="J666" s="1" t="n"/>
      <c r="K666" s="1" t="n"/>
      <c r="L666" s="1" t="n"/>
      <c r="N666" s="1" t="n"/>
      <c r="O666" s="1" t="n"/>
      <c r="P666" s="1" t="n"/>
      <c r="Q666" s="1" t="n"/>
      <c r="R666" s="1" t="n"/>
    </row>
    <row r="667" ht="15.75" customHeight="1" s="143">
      <c r="B667" s="1" t="n"/>
      <c r="C667" s="1" t="n"/>
      <c r="D667" s="1" t="n"/>
      <c r="E667" s="1" t="n"/>
      <c r="F667" s="1" t="n"/>
      <c r="H667" s="1" t="n"/>
      <c r="I667" s="1" t="n"/>
      <c r="J667" s="1" t="n"/>
      <c r="K667" s="1" t="n"/>
      <c r="L667" s="1" t="n"/>
      <c r="N667" s="1" t="n"/>
      <c r="O667" s="1" t="n"/>
      <c r="P667" s="1" t="n"/>
      <c r="Q667" s="1" t="n"/>
      <c r="R667" s="1" t="n"/>
    </row>
    <row r="668" ht="15.75" customHeight="1" s="143">
      <c r="B668" s="1" t="n"/>
      <c r="C668" s="1" t="n"/>
      <c r="D668" s="1" t="n"/>
      <c r="E668" s="1" t="n"/>
      <c r="F668" s="1" t="n"/>
      <c r="H668" s="1" t="n"/>
      <c r="I668" s="1" t="n"/>
      <c r="J668" s="1" t="n"/>
      <c r="K668" s="1" t="n"/>
      <c r="L668" s="1" t="n"/>
      <c r="N668" s="1" t="n"/>
      <c r="O668" s="1" t="n"/>
      <c r="P668" s="1" t="n"/>
      <c r="Q668" s="1" t="n"/>
      <c r="R668" s="1" t="n"/>
    </row>
    <row r="669" ht="15.75" customHeight="1" s="143">
      <c r="B669" s="1" t="n"/>
      <c r="C669" s="1" t="n"/>
      <c r="D669" s="1" t="n"/>
      <c r="E669" s="1" t="n"/>
      <c r="F669" s="1" t="n"/>
      <c r="H669" s="1" t="n"/>
      <c r="I669" s="1" t="n"/>
      <c r="J669" s="1" t="n"/>
      <c r="K669" s="1" t="n"/>
      <c r="L669" s="1" t="n"/>
      <c r="N669" s="1" t="n"/>
      <c r="O669" s="1" t="n"/>
      <c r="P669" s="1" t="n"/>
      <c r="Q669" s="1" t="n"/>
      <c r="R669" s="1" t="n"/>
    </row>
    <row r="670" ht="15.75" customHeight="1" s="143">
      <c r="B670" s="1" t="n"/>
      <c r="C670" s="1" t="n"/>
      <c r="D670" s="1" t="n"/>
      <c r="E670" s="1" t="n"/>
      <c r="F670" s="1" t="n"/>
      <c r="H670" s="1" t="n"/>
      <c r="I670" s="1" t="n"/>
      <c r="J670" s="1" t="n"/>
      <c r="K670" s="1" t="n"/>
      <c r="L670" s="1" t="n"/>
      <c r="N670" s="1" t="n"/>
      <c r="O670" s="1" t="n"/>
      <c r="P670" s="1" t="n"/>
      <c r="Q670" s="1" t="n"/>
      <c r="R670" s="1" t="n"/>
    </row>
    <row r="671" ht="15.75" customHeight="1" s="143">
      <c r="B671" s="1" t="n"/>
      <c r="C671" s="1" t="n"/>
      <c r="D671" s="1" t="n"/>
      <c r="E671" s="1" t="n"/>
      <c r="F671" s="1" t="n"/>
      <c r="H671" s="1" t="n"/>
      <c r="I671" s="1" t="n"/>
      <c r="J671" s="1" t="n"/>
      <c r="K671" s="1" t="n"/>
      <c r="L671" s="1" t="n"/>
      <c r="N671" s="1" t="n"/>
      <c r="O671" s="1" t="n"/>
      <c r="P671" s="1" t="n"/>
      <c r="Q671" s="1" t="n"/>
      <c r="R671" s="1" t="n"/>
    </row>
    <row r="672" ht="15.75" customHeight="1" s="143">
      <c r="B672" s="1" t="n"/>
      <c r="C672" s="1" t="n"/>
      <c r="D672" s="1" t="n"/>
      <c r="E672" s="1" t="n"/>
      <c r="F672" s="1" t="n"/>
      <c r="H672" s="1" t="n"/>
      <c r="I672" s="1" t="n"/>
      <c r="J672" s="1" t="n"/>
      <c r="K672" s="1" t="n"/>
      <c r="L672" s="1" t="n"/>
      <c r="N672" s="1" t="n"/>
      <c r="O672" s="1" t="n"/>
      <c r="P672" s="1" t="n"/>
      <c r="Q672" s="1" t="n"/>
      <c r="R672" s="1" t="n"/>
    </row>
    <row r="673" ht="15.75" customHeight="1" s="143">
      <c r="B673" s="1" t="n"/>
      <c r="C673" s="1" t="n"/>
      <c r="D673" s="1" t="n"/>
      <c r="E673" s="1" t="n"/>
      <c r="F673" s="1" t="n"/>
      <c r="H673" s="1" t="n"/>
      <c r="I673" s="1" t="n"/>
      <c r="J673" s="1" t="n"/>
      <c r="K673" s="1" t="n"/>
      <c r="L673" s="1" t="n"/>
      <c r="N673" s="1" t="n"/>
      <c r="O673" s="1" t="n"/>
      <c r="P673" s="1" t="n"/>
      <c r="Q673" s="1" t="n"/>
      <c r="R673" s="1" t="n"/>
    </row>
    <row r="674" ht="15.75" customHeight="1" s="143">
      <c r="B674" s="1" t="n"/>
      <c r="C674" s="1" t="n"/>
      <c r="D674" s="1" t="n"/>
      <c r="E674" s="1" t="n"/>
      <c r="F674" s="1" t="n"/>
      <c r="H674" s="1" t="n"/>
      <c r="I674" s="1" t="n"/>
      <c r="J674" s="1" t="n"/>
      <c r="K674" s="1" t="n"/>
      <c r="L674" s="1" t="n"/>
      <c r="N674" s="1" t="n"/>
      <c r="O674" s="1" t="n"/>
      <c r="P674" s="1" t="n"/>
      <c r="Q674" s="1" t="n"/>
      <c r="R674" s="1" t="n"/>
    </row>
    <row r="675" ht="15.75" customHeight="1" s="143">
      <c r="B675" s="1" t="n"/>
      <c r="C675" s="1" t="n"/>
      <c r="D675" s="1" t="n"/>
      <c r="E675" s="1" t="n"/>
      <c r="F675" s="1" t="n"/>
      <c r="H675" s="1" t="n"/>
      <c r="I675" s="1" t="n"/>
      <c r="J675" s="1" t="n"/>
      <c r="K675" s="1" t="n"/>
      <c r="L675" s="1" t="n"/>
      <c r="N675" s="1" t="n"/>
      <c r="O675" s="1" t="n"/>
      <c r="P675" s="1" t="n"/>
      <c r="Q675" s="1" t="n"/>
      <c r="R675" s="1" t="n"/>
    </row>
    <row r="676" ht="15.75" customHeight="1" s="143">
      <c r="B676" s="1" t="n"/>
      <c r="C676" s="1" t="n"/>
      <c r="D676" s="1" t="n"/>
      <c r="E676" s="1" t="n"/>
      <c r="F676" s="1" t="n"/>
      <c r="H676" s="1" t="n"/>
      <c r="I676" s="1" t="n"/>
      <c r="J676" s="1" t="n"/>
      <c r="K676" s="1" t="n"/>
      <c r="L676" s="1" t="n"/>
      <c r="N676" s="1" t="n"/>
      <c r="O676" s="1" t="n"/>
      <c r="P676" s="1" t="n"/>
      <c r="Q676" s="1" t="n"/>
      <c r="R676" s="1" t="n"/>
    </row>
    <row r="677" ht="15.75" customHeight="1" s="143">
      <c r="B677" s="1" t="n"/>
      <c r="C677" s="1" t="n"/>
      <c r="D677" s="1" t="n"/>
      <c r="E677" s="1" t="n"/>
      <c r="F677" s="1" t="n"/>
      <c r="H677" s="1" t="n"/>
      <c r="I677" s="1" t="n"/>
      <c r="J677" s="1" t="n"/>
      <c r="K677" s="1" t="n"/>
      <c r="L677" s="1" t="n"/>
      <c r="N677" s="1" t="n"/>
      <c r="O677" s="1" t="n"/>
      <c r="P677" s="1" t="n"/>
      <c r="Q677" s="1" t="n"/>
      <c r="R677" s="1" t="n"/>
    </row>
    <row r="678" ht="15.75" customHeight="1" s="143">
      <c r="B678" s="1" t="n"/>
      <c r="C678" s="1" t="n"/>
      <c r="D678" s="1" t="n"/>
      <c r="E678" s="1" t="n"/>
      <c r="F678" s="1" t="n"/>
      <c r="H678" s="1" t="n"/>
      <c r="I678" s="1" t="n"/>
      <c r="J678" s="1" t="n"/>
      <c r="K678" s="1" t="n"/>
      <c r="L678" s="1" t="n"/>
      <c r="N678" s="1" t="n"/>
      <c r="O678" s="1" t="n"/>
      <c r="P678" s="1" t="n"/>
      <c r="Q678" s="1" t="n"/>
      <c r="R678" s="1" t="n"/>
    </row>
    <row r="679" ht="15.75" customHeight="1" s="143">
      <c r="B679" s="1" t="n"/>
      <c r="C679" s="1" t="n"/>
      <c r="D679" s="1" t="n"/>
      <c r="E679" s="1" t="n"/>
      <c r="F679" s="1" t="n"/>
      <c r="H679" s="1" t="n"/>
      <c r="I679" s="1" t="n"/>
      <c r="J679" s="1" t="n"/>
      <c r="K679" s="1" t="n"/>
      <c r="L679" s="1" t="n"/>
      <c r="N679" s="1" t="n"/>
      <c r="O679" s="1" t="n"/>
      <c r="P679" s="1" t="n"/>
      <c r="Q679" s="1" t="n"/>
      <c r="R679" s="1" t="n"/>
    </row>
    <row r="680" ht="15.75" customHeight="1" s="143">
      <c r="B680" s="1" t="n"/>
      <c r="C680" s="1" t="n"/>
      <c r="D680" s="1" t="n"/>
      <c r="E680" s="1" t="n"/>
      <c r="F680" s="1" t="n"/>
      <c r="H680" s="1" t="n"/>
      <c r="I680" s="1" t="n"/>
      <c r="J680" s="1" t="n"/>
      <c r="K680" s="1" t="n"/>
      <c r="L680" s="1" t="n"/>
      <c r="N680" s="1" t="n"/>
      <c r="O680" s="1" t="n"/>
      <c r="P680" s="1" t="n"/>
      <c r="Q680" s="1" t="n"/>
      <c r="R680" s="1" t="n"/>
    </row>
    <row r="681" ht="15.75" customHeight="1" s="143">
      <c r="B681" s="1" t="n"/>
      <c r="C681" s="1" t="n"/>
      <c r="D681" s="1" t="n"/>
      <c r="E681" s="1" t="n"/>
      <c r="F681" s="1" t="n"/>
      <c r="H681" s="1" t="n"/>
      <c r="I681" s="1" t="n"/>
      <c r="J681" s="1" t="n"/>
      <c r="K681" s="1" t="n"/>
      <c r="L681" s="1" t="n"/>
      <c r="N681" s="1" t="n"/>
      <c r="O681" s="1" t="n"/>
      <c r="P681" s="1" t="n"/>
      <c r="Q681" s="1" t="n"/>
      <c r="R681" s="1" t="n"/>
    </row>
    <row r="682" ht="15.75" customHeight="1" s="143">
      <c r="B682" s="1" t="n"/>
      <c r="C682" s="1" t="n"/>
      <c r="D682" s="1" t="n"/>
      <c r="E682" s="1" t="n"/>
      <c r="F682" s="1" t="n"/>
      <c r="H682" s="1" t="n"/>
      <c r="I682" s="1" t="n"/>
      <c r="J682" s="1" t="n"/>
      <c r="K682" s="1" t="n"/>
      <c r="L682" s="1" t="n"/>
      <c r="N682" s="1" t="n"/>
      <c r="O682" s="1" t="n"/>
      <c r="P682" s="1" t="n"/>
      <c r="Q682" s="1" t="n"/>
      <c r="R682" s="1" t="n"/>
    </row>
    <row r="683" ht="15.75" customHeight="1" s="143">
      <c r="B683" s="1" t="n"/>
      <c r="C683" s="1" t="n"/>
      <c r="D683" s="1" t="n"/>
      <c r="E683" s="1" t="n"/>
      <c r="F683" s="1" t="n"/>
      <c r="H683" s="1" t="n"/>
      <c r="I683" s="1" t="n"/>
      <c r="J683" s="1" t="n"/>
      <c r="K683" s="1" t="n"/>
      <c r="L683" s="1" t="n"/>
      <c r="N683" s="1" t="n"/>
      <c r="O683" s="1" t="n"/>
      <c r="P683" s="1" t="n"/>
      <c r="Q683" s="1" t="n"/>
      <c r="R683" s="1" t="n"/>
    </row>
    <row r="684" ht="15.75" customHeight="1" s="143">
      <c r="B684" s="1" t="n"/>
      <c r="C684" s="1" t="n"/>
      <c r="D684" s="1" t="n"/>
      <c r="E684" s="1" t="n"/>
      <c r="F684" s="1" t="n"/>
      <c r="H684" s="1" t="n"/>
      <c r="I684" s="1" t="n"/>
      <c r="J684" s="1" t="n"/>
      <c r="K684" s="1" t="n"/>
      <c r="L684" s="1" t="n"/>
      <c r="N684" s="1" t="n"/>
      <c r="O684" s="1" t="n"/>
      <c r="P684" s="1" t="n"/>
      <c r="Q684" s="1" t="n"/>
      <c r="R684" s="1" t="n"/>
    </row>
    <row r="685" ht="15.75" customHeight="1" s="143">
      <c r="B685" s="1" t="n"/>
      <c r="C685" s="1" t="n"/>
      <c r="D685" s="1" t="n"/>
      <c r="E685" s="1" t="n"/>
      <c r="F685" s="1" t="n"/>
      <c r="H685" s="1" t="n"/>
      <c r="I685" s="1" t="n"/>
      <c r="J685" s="1" t="n"/>
      <c r="K685" s="1" t="n"/>
      <c r="L685" s="1" t="n"/>
      <c r="N685" s="1" t="n"/>
      <c r="O685" s="1" t="n"/>
      <c r="P685" s="1" t="n"/>
      <c r="Q685" s="1" t="n"/>
      <c r="R685" s="1" t="n"/>
    </row>
    <row r="686" ht="15.75" customHeight="1" s="143">
      <c r="B686" s="1" t="n"/>
      <c r="C686" s="1" t="n"/>
      <c r="D686" s="1" t="n"/>
      <c r="E686" s="1" t="n"/>
      <c r="F686" s="1" t="n"/>
      <c r="H686" s="1" t="n"/>
      <c r="I686" s="1" t="n"/>
      <c r="J686" s="1" t="n"/>
      <c r="K686" s="1" t="n"/>
      <c r="L686" s="1" t="n"/>
      <c r="N686" s="1" t="n"/>
      <c r="O686" s="1" t="n"/>
      <c r="P686" s="1" t="n"/>
      <c r="Q686" s="1" t="n"/>
      <c r="R686" s="1" t="n"/>
    </row>
    <row r="687" ht="15.75" customHeight="1" s="143">
      <c r="B687" s="1" t="n"/>
      <c r="C687" s="1" t="n"/>
      <c r="D687" s="1" t="n"/>
      <c r="E687" s="1" t="n"/>
      <c r="F687" s="1" t="n"/>
      <c r="H687" s="1" t="n"/>
      <c r="I687" s="1" t="n"/>
      <c r="J687" s="1" t="n"/>
      <c r="K687" s="1" t="n"/>
      <c r="L687" s="1" t="n"/>
      <c r="N687" s="1" t="n"/>
      <c r="O687" s="1" t="n"/>
      <c r="P687" s="1" t="n"/>
      <c r="Q687" s="1" t="n"/>
      <c r="R687" s="1" t="n"/>
    </row>
    <row r="688" ht="15.75" customHeight="1" s="143">
      <c r="B688" s="1" t="n"/>
      <c r="C688" s="1" t="n"/>
      <c r="D688" s="1" t="n"/>
      <c r="E688" s="1" t="n"/>
      <c r="F688" s="1" t="n"/>
      <c r="H688" s="1" t="n"/>
      <c r="I688" s="1" t="n"/>
      <c r="J688" s="1" t="n"/>
      <c r="K688" s="1" t="n"/>
      <c r="L688" s="1" t="n"/>
      <c r="N688" s="1" t="n"/>
      <c r="O688" s="1" t="n"/>
      <c r="P688" s="1" t="n"/>
      <c r="Q688" s="1" t="n"/>
      <c r="R688" s="1" t="n"/>
    </row>
    <row r="689" ht="15.75" customHeight="1" s="143">
      <c r="B689" s="1" t="n"/>
      <c r="C689" s="1" t="n"/>
      <c r="D689" s="1" t="n"/>
      <c r="E689" s="1" t="n"/>
      <c r="F689" s="1" t="n"/>
      <c r="H689" s="1" t="n"/>
      <c r="I689" s="1" t="n"/>
      <c r="J689" s="1" t="n"/>
      <c r="K689" s="1" t="n"/>
      <c r="L689" s="1" t="n"/>
      <c r="N689" s="1" t="n"/>
      <c r="O689" s="1" t="n"/>
      <c r="P689" s="1" t="n"/>
      <c r="Q689" s="1" t="n"/>
      <c r="R689" s="1" t="n"/>
    </row>
    <row r="690" ht="15.75" customHeight="1" s="143">
      <c r="B690" s="1" t="n"/>
      <c r="C690" s="1" t="n"/>
      <c r="D690" s="1" t="n"/>
      <c r="E690" s="1" t="n"/>
      <c r="F690" s="1" t="n"/>
      <c r="H690" s="1" t="n"/>
      <c r="I690" s="1" t="n"/>
      <c r="J690" s="1" t="n"/>
      <c r="K690" s="1" t="n"/>
      <c r="L690" s="1" t="n"/>
      <c r="N690" s="1" t="n"/>
      <c r="O690" s="1" t="n"/>
      <c r="P690" s="1" t="n"/>
      <c r="Q690" s="1" t="n"/>
      <c r="R690" s="1" t="n"/>
    </row>
    <row r="691" ht="15.75" customHeight="1" s="143">
      <c r="B691" s="1" t="n"/>
      <c r="C691" s="1" t="n"/>
      <c r="D691" s="1" t="n"/>
      <c r="E691" s="1" t="n"/>
      <c r="F691" s="1" t="n"/>
      <c r="H691" s="1" t="n"/>
      <c r="I691" s="1" t="n"/>
      <c r="J691" s="1" t="n"/>
      <c r="K691" s="1" t="n"/>
      <c r="L691" s="1" t="n"/>
      <c r="N691" s="1" t="n"/>
      <c r="O691" s="1" t="n"/>
      <c r="P691" s="1" t="n"/>
      <c r="Q691" s="1" t="n"/>
      <c r="R691" s="1" t="n"/>
    </row>
    <row r="692" ht="15.75" customHeight="1" s="143">
      <c r="B692" s="1" t="n"/>
      <c r="C692" s="1" t="n"/>
      <c r="D692" s="1" t="n"/>
      <c r="E692" s="1" t="n"/>
      <c r="F692" s="1" t="n"/>
      <c r="H692" s="1" t="n"/>
      <c r="I692" s="1" t="n"/>
      <c r="J692" s="1" t="n"/>
      <c r="K692" s="1" t="n"/>
      <c r="L692" s="1" t="n"/>
      <c r="N692" s="1" t="n"/>
      <c r="O692" s="1" t="n"/>
      <c r="P692" s="1" t="n"/>
      <c r="Q692" s="1" t="n"/>
      <c r="R692" s="1" t="n"/>
    </row>
    <row r="693" ht="15.75" customHeight="1" s="143">
      <c r="B693" s="1" t="n"/>
      <c r="C693" s="1" t="n"/>
      <c r="D693" s="1" t="n"/>
      <c r="E693" s="1" t="n"/>
      <c r="F693" s="1" t="n"/>
      <c r="H693" s="1" t="n"/>
      <c r="I693" s="1" t="n"/>
      <c r="J693" s="1" t="n"/>
      <c r="K693" s="1" t="n"/>
      <c r="L693" s="1" t="n"/>
      <c r="N693" s="1" t="n"/>
      <c r="O693" s="1" t="n"/>
      <c r="P693" s="1" t="n"/>
      <c r="Q693" s="1" t="n"/>
      <c r="R693" s="1" t="n"/>
    </row>
    <row r="694" ht="15.75" customHeight="1" s="143">
      <c r="B694" s="1" t="n"/>
      <c r="C694" s="1" t="n"/>
      <c r="D694" s="1" t="n"/>
      <c r="E694" s="1" t="n"/>
      <c r="F694" s="1" t="n"/>
      <c r="H694" s="1" t="n"/>
      <c r="I694" s="1" t="n"/>
      <c r="J694" s="1" t="n"/>
      <c r="K694" s="1" t="n"/>
      <c r="L694" s="1" t="n"/>
      <c r="N694" s="1" t="n"/>
      <c r="O694" s="1" t="n"/>
      <c r="P694" s="1" t="n"/>
      <c r="Q694" s="1" t="n"/>
      <c r="R694" s="1" t="n"/>
    </row>
    <row r="695" ht="15.75" customHeight="1" s="143">
      <c r="B695" s="1" t="n"/>
      <c r="C695" s="1" t="n"/>
      <c r="D695" s="1" t="n"/>
      <c r="E695" s="1" t="n"/>
      <c r="F695" s="1" t="n"/>
      <c r="H695" s="1" t="n"/>
      <c r="I695" s="1" t="n"/>
      <c r="J695" s="1" t="n"/>
      <c r="K695" s="1" t="n"/>
      <c r="L695" s="1" t="n"/>
      <c r="N695" s="1" t="n"/>
      <c r="O695" s="1" t="n"/>
      <c r="P695" s="1" t="n"/>
      <c r="Q695" s="1" t="n"/>
      <c r="R695" s="1" t="n"/>
    </row>
    <row r="696" ht="15.75" customHeight="1" s="143">
      <c r="B696" s="1" t="n"/>
      <c r="C696" s="1" t="n"/>
      <c r="D696" s="1" t="n"/>
      <c r="E696" s="1" t="n"/>
      <c r="F696" s="1" t="n"/>
      <c r="H696" s="1" t="n"/>
      <c r="I696" s="1" t="n"/>
      <c r="J696" s="1" t="n"/>
      <c r="K696" s="1" t="n"/>
      <c r="L696" s="1" t="n"/>
      <c r="N696" s="1" t="n"/>
      <c r="O696" s="1" t="n"/>
      <c r="P696" s="1" t="n"/>
      <c r="Q696" s="1" t="n"/>
      <c r="R696" s="1" t="n"/>
    </row>
    <row r="697" ht="15.75" customHeight="1" s="143">
      <c r="B697" s="1" t="n"/>
      <c r="C697" s="1" t="n"/>
      <c r="D697" s="1" t="n"/>
      <c r="E697" s="1" t="n"/>
      <c r="F697" s="1" t="n"/>
      <c r="H697" s="1" t="n"/>
      <c r="I697" s="1" t="n"/>
      <c r="J697" s="1" t="n"/>
      <c r="K697" s="1" t="n"/>
      <c r="L697" s="1" t="n"/>
      <c r="N697" s="1" t="n"/>
      <c r="O697" s="1" t="n"/>
      <c r="P697" s="1" t="n"/>
      <c r="Q697" s="1" t="n"/>
      <c r="R697" s="1" t="n"/>
    </row>
    <row r="698" ht="15.75" customHeight="1" s="143">
      <c r="B698" s="1" t="n"/>
      <c r="C698" s="1" t="n"/>
      <c r="D698" s="1" t="n"/>
      <c r="E698" s="1" t="n"/>
      <c r="F698" s="1" t="n"/>
      <c r="H698" s="1" t="n"/>
      <c r="I698" s="1" t="n"/>
      <c r="J698" s="1" t="n"/>
      <c r="K698" s="1" t="n"/>
      <c r="L698" s="1" t="n"/>
      <c r="N698" s="1" t="n"/>
      <c r="O698" s="1" t="n"/>
      <c r="P698" s="1" t="n"/>
      <c r="Q698" s="1" t="n"/>
      <c r="R698" s="1" t="n"/>
    </row>
    <row r="699" ht="15.75" customHeight="1" s="143">
      <c r="B699" s="1" t="n"/>
      <c r="C699" s="1" t="n"/>
      <c r="D699" s="1" t="n"/>
      <c r="E699" s="1" t="n"/>
      <c r="F699" s="1" t="n"/>
      <c r="H699" s="1" t="n"/>
      <c r="I699" s="1" t="n"/>
      <c r="J699" s="1" t="n"/>
      <c r="K699" s="1" t="n"/>
      <c r="L699" s="1" t="n"/>
      <c r="N699" s="1" t="n"/>
      <c r="O699" s="1" t="n"/>
      <c r="P699" s="1" t="n"/>
      <c r="Q699" s="1" t="n"/>
      <c r="R699" s="1" t="n"/>
    </row>
    <row r="700" ht="15.75" customHeight="1" s="143">
      <c r="B700" s="1" t="n"/>
      <c r="C700" s="1" t="n"/>
      <c r="D700" s="1" t="n"/>
      <c r="E700" s="1" t="n"/>
      <c r="F700" s="1" t="n"/>
      <c r="H700" s="1" t="n"/>
      <c r="I700" s="1" t="n"/>
      <c r="J700" s="1" t="n"/>
      <c r="K700" s="1" t="n"/>
      <c r="L700" s="1" t="n"/>
      <c r="N700" s="1" t="n"/>
      <c r="O700" s="1" t="n"/>
      <c r="P700" s="1" t="n"/>
      <c r="Q700" s="1" t="n"/>
      <c r="R700" s="1" t="n"/>
    </row>
    <row r="701" ht="15.75" customHeight="1" s="143">
      <c r="B701" s="1" t="n"/>
      <c r="C701" s="1" t="n"/>
      <c r="D701" s="1" t="n"/>
      <c r="E701" s="1" t="n"/>
      <c r="F701" s="1" t="n"/>
      <c r="H701" s="1" t="n"/>
      <c r="I701" s="1" t="n"/>
      <c r="J701" s="1" t="n"/>
      <c r="K701" s="1" t="n"/>
      <c r="L701" s="1" t="n"/>
      <c r="N701" s="1" t="n"/>
      <c r="O701" s="1" t="n"/>
      <c r="P701" s="1" t="n"/>
      <c r="Q701" s="1" t="n"/>
      <c r="R701" s="1" t="n"/>
    </row>
    <row r="702" ht="15.75" customHeight="1" s="143">
      <c r="B702" s="1" t="n"/>
      <c r="C702" s="1" t="n"/>
      <c r="D702" s="1" t="n"/>
      <c r="E702" s="1" t="n"/>
      <c r="F702" s="1" t="n"/>
      <c r="H702" s="1" t="n"/>
      <c r="I702" s="1" t="n"/>
      <c r="J702" s="1" t="n"/>
      <c r="K702" s="1" t="n"/>
      <c r="L702" s="1" t="n"/>
      <c r="N702" s="1" t="n"/>
      <c r="O702" s="1" t="n"/>
      <c r="P702" s="1" t="n"/>
      <c r="Q702" s="1" t="n"/>
      <c r="R702" s="1" t="n"/>
    </row>
    <row r="703" ht="15.75" customHeight="1" s="143">
      <c r="B703" s="1" t="n"/>
      <c r="C703" s="1" t="n"/>
      <c r="D703" s="1" t="n"/>
      <c r="E703" s="1" t="n"/>
      <c r="F703" s="1" t="n"/>
      <c r="H703" s="1" t="n"/>
      <c r="I703" s="1" t="n"/>
      <c r="J703" s="1" t="n"/>
      <c r="K703" s="1" t="n"/>
      <c r="L703" s="1" t="n"/>
      <c r="N703" s="1" t="n"/>
      <c r="O703" s="1" t="n"/>
      <c r="P703" s="1" t="n"/>
      <c r="Q703" s="1" t="n"/>
      <c r="R703" s="1" t="n"/>
    </row>
    <row r="704" ht="15.75" customHeight="1" s="143">
      <c r="B704" s="1" t="n"/>
      <c r="C704" s="1" t="n"/>
      <c r="D704" s="1" t="n"/>
      <c r="E704" s="1" t="n"/>
      <c r="F704" s="1" t="n"/>
      <c r="H704" s="1" t="n"/>
      <c r="I704" s="1" t="n"/>
      <c r="J704" s="1" t="n"/>
      <c r="K704" s="1" t="n"/>
      <c r="L704" s="1" t="n"/>
      <c r="N704" s="1" t="n"/>
      <c r="O704" s="1" t="n"/>
      <c r="P704" s="1" t="n"/>
      <c r="Q704" s="1" t="n"/>
      <c r="R704" s="1" t="n"/>
    </row>
    <row r="705" ht="15.75" customHeight="1" s="143">
      <c r="B705" s="1" t="n"/>
      <c r="C705" s="1" t="n"/>
      <c r="D705" s="1" t="n"/>
      <c r="E705" s="1" t="n"/>
      <c r="F705" s="1" t="n"/>
      <c r="H705" s="1" t="n"/>
      <c r="I705" s="1" t="n"/>
      <c r="J705" s="1" t="n"/>
      <c r="K705" s="1" t="n"/>
      <c r="L705" s="1" t="n"/>
      <c r="N705" s="1" t="n"/>
      <c r="O705" s="1" t="n"/>
      <c r="P705" s="1" t="n"/>
      <c r="Q705" s="1" t="n"/>
      <c r="R705" s="1" t="n"/>
    </row>
    <row r="706" ht="15.75" customHeight="1" s="143">
      <c r="B706" s="1" t="n"/>
      <c r="C706" s="1" t="n"/>
      <c r="D706" s="1" t="n"/>
      <c r="E706" s="1" t="n"/>
      <c r="F706" s="1" t="n"/>
      <c r="H706" s="1" t="n"/>
      <c r="I706" s="1" t="n"/>
      <c r="J706" s="1" t="n"/>
      <c r="K706" s="1" t="n"/>
      <c r="L706" s="1" t="n"/>
      <c r="N706" s="1" t="n"/>
      <c r="O706" s="1" t="n"/>
      <c r="P706" s="1" t="n"/>
      <c r="Q706" s="1" t="n"/>
      <c r="R706" s="1" t="n"/>
    </row>
    <row r="707" ht="15.75" customHeight="1" s="143">
      <c r="B707" s="1" t="n"/>
      <c r="C707" s="1" t="n"/>
      <c r="D707" s="1" t="n"/>
      <c r="E707" s="1" t="n"/>
      <c r="F707" s="1" t="n"/>
      <c r="H707" s="1" t="n"/>
      <c r="I707" s="1" t="n"/>
      <c r="J707" s="1" t="n"/>
      <c r="K707" s="1" t="n"/>
      <c r="L707" s="1" t="n"/>
      <c r="N707" s="1" t="n"/>
      <c r="O707" s="1" t="n"/>
      <c r="P707" s="1" t="n"/>
      <c r="Q707" s="1" t="n"/>
      <c r="R707" s="1" t="n"/>
    </row>
    <row r="708" ht="15.75" customHeight="1" s="143">
      <c r="B708" s="1" t="n"/>
      <c r="C708" s="1" t="n"/>
      <c r="D708" s="1" t="n"/>
      <c r="E708" s="1" t="n"/>
      <c r="F708" s="1" t="n"/>
      <c r="H708" s="1" t="n"/>
      <c r="I708" s="1" t="n"/>
      <c r="J708" s="1" t="n"/>
      <c r="K708" s="1" t="n"/>
      <c r="L708" s="1" t="n"/>
      <c r="N708" s="1" t="n"/>
      <c r="O708" s="1" t="n"/>
      <c r="P708" s="1" t="n"/>
      <c r="Q708" s="1" t="n"/>
      <c r="R708" s="1" t="n"/>
    </row>
    <row r="709" ht="15.75" customHeight="1" s="143">
      <c r="B709" s="1" t="n"/>
      <c r="C709" s="1" t="n"/>
      <c r="D709" s="1" t="n"/>
      <c r="E709" s="1" t="n"/>
      <c r="F709" s="1" t="n"/>
      <c r="H709" s="1" t="n"/>
      <c r="I709" s="1" t="n"/>
      <c r="J709" s="1" t="n"/>
      <c r="K709" s="1" t="n"/>
      <c r="L709" s="1" t="n"/>
      <c r="N709" s="1" t="n"/>
      <c r="O709" s="1" t="n"/>
      <c r="P709" s="1" t="n"/>
      <c r="Q709" s="1" t="n"/>
      <c r="R709" s="1" t="n"/>
    </row>
    <row r="710" ht="15.75" customHeight="1" s="143">
      <c r="B710" s="1" t="n"/>
      <c r="C710" s="1" t="n"/>
      <c r="D710" s="1" t="n"/>
      <c r="E710" s="1" t="n"/>
      <c r="F710" s="1" t="n"/>
      <c r="H710" s="1" t="n"/>
      <c r="I710" s="1" t="n"/>
      <c r="J710" s="1" t="n"/>
      <c r="K710" s="1" t="n"/>
      <c r="L710" s="1" t="n"/>
      <c r="N710" s="1" t="n"/>
      <c r="O710" s="1" t="n"/>
      <c r="P710" s="1" t="n"/>
      <c r="Q710" s="1" t="n"/>
      <c r="R710" s="1" t="n"/>
    </row>
    <row r="711" ht="15.75" customHeight="1" s="143">
      <c r="B711" s="1" t="n"/>
      <c r="C711" s="1" t="n"/>
      <c r="D711" s="1" t="n"/>
      <c r="E711" s="1" t="n"/>
      <c r="F711" s="1" t="n"/>
      <c r="H711" s="1" t="n"/>
      <c r="I711" s="1" t="n"/>
      <c r="J711" s="1" t="n"/>
      <c r="K711" s="1" t="n"/>
      <c r="L711" s="1" t="n"/>
      <c r="N711" s="1" t="n"/>
      <c r="O711" s="1" t="n"/>
      <c r="P711" s="1" t="n"/>
      <c r="Q711" s="1" t="n"/>
      <c r="R711" s="1" t="n"/>
    </row>
    <row r="712" ht="15.75" customHeight="1" s="143">
      <c r="B712" s="1" t="n"/>
      <c r="C712" s="1" t="n"/>
      <c r="D712" s="1" t="n"/>
      <c r="E712" s="1" t="n"/>
      <c r="F712" s="1" t="n"/>
      <c r="H712" s="1" t="n"/>
      <c r="I712" s="1" t="n"/>
      <c r="J712" s="1" t="n"/>
      <c r="K712" s="1" t="n"/>
      <c r="L712" s="1" t="n"/>
      <c r="N712" s="1" t="n"/>
      <c r="O712" s="1" t="n"/>
      <c r="P712" s="1" t="n"/>
      <c r="Q712" s="1" t="n"/>
      <c r="R712" s="1" t="n"/>
    </row>
    <row r="713" ht="15.75" customHeight="1" s="143">
      <c r="B713" s="1" t="n"/>
      <c r="C713" s="1" t="n"/>
      <c r="D713" s="1" t="n"/>
      <c r="E713" s="1" t="n"/>
      <c r="F713" s="1" t="n"/>
      <c r="H713" s="1" t="n"/>
      <c r="I713" s="1" t="n"/>
      <c r="J713" s="1" t="n"/>
      <c r="K713" s="1" t="n"/>
      <c r="L713" s="1" t="n"/>
      <c r="N713" s="1" t="n"/>
      <c r="O713" s="1" t="n"/>
      <c r="P713" s="1" t="n"/>
      <c r="Q713" s="1" t="n"/>
      <c r="R713" s="1" t="n"/>
    </row>
    <row r="714" ht="15.75" customHeight="1" s="143">
      <c r="B714" s="1" t="n"/>
      <c r="C714" s="1" t="n"/>
      <c r="D714" s="1" t="n"/>
      <c r="E714" s="1" t="n"/>
      <c r="F714" s="1" t="n"/>
      <c r="H714" s="1" t="n"/>
      <c r="I714" s="1" t="n"/>
      <c r="J714" s="1" t="n"/>
      <c r="K714" s="1" t="n"/>
      <c r="L714" s="1" t="n"/>
      <c r="N714" s="1" t="n"/>
      <c r="O714" s="1" t="n"/>
      <c r="P714" s="1" t="n"/>
      <c r="Q714" s="1" t="n"/>
      <c r="R714" s="1" t="n"/>
    </row>
    <row r="715" ht="15.75" customHeight="1" s="143">
      <c r="B715" s="1" t="n"/>
      <c r="C715" s="1" t="n"/>
      <c r="D715" s="1" t="n"/>
      <c r="E715" s="1" t="n"/>
      <c r="F715" s="1" t="n"/>
      <c r="H715" s="1" t="n"/>
      <c r="I715" s="1" t="n"/>
      <c r="J715" s="1" t="n"/>
      <c r="K715" s="1" t="n"/>
      <c r="L715" s="1" t="n"/>
      <c r="N715" s="1" t="n"/>
      <c r="O715" s="1" t="n"/>
      <c r="P715" s="1" t="n"/>
      <c r="Q715" s="1" t="n"/>
      <c r="R715" s="1" t="n"/>
    </row>
    <row r="716" ht="15.75" customHeight="1" s="143">
      <c r="B716" s="1" t="n"/>
      <c r="C716" s="1" t="n"/>
      <c r="D716" s="1" t="n"/>
      <c r="E716" s="1" t="n"/>
      <c r="F716" s="1" t="n"/>
      <c r="H716" s="1" t="n"/>
      <c r="I716" s="1" t="n"/>
      <c r="J716" s="1" t="n"/>
      <c r="K716" s="1" t="n"/>
      <c r="L716" s="1" t="n"/>
      <c r="N716" s="1" t="n"/>
      <c r="O716" s="1" t="n"/>
      <c r="P716" s="1" t="n"/>
      <c r="Q716" s="1" t="n"/>
      <c r="R716" s="1" t="n"/>
    </row>
    <row r="717" ht="15.75" customHeight="1" s="143">
      <c r="B717" s="1" t="n"/>
      <c r="C717" s="1" t="n"/>
      <c r="D717" s="1" t="n"/>
      <c r="E717" s="1" t="n"/>
      <c r="F717" s="1" t="n"/>
      <c r="H717" s="1" t="n"/>
      <c r="I717" s="1" t="n"/>
      <c r="J717" s="1" t="n"/>
      <c r="K717" s="1" t="n"/>
      <c r="L717" s="1" t="n"/>
      <c r="N717" s="1" t="n"/>
      <c r="O717" s="1" t="n"/>
      <c r="P717" s="1" t="n"/>
      <c r="Q717" s="1" t="n"/>
      <c r="R717" s="1" t="n"/>
    </row>
    <row r="718" ht="15.75" customHeight="1" s="143">
      <c r="B718" s="1" t="n"/>
      <c r="C718" s="1" t="n"/>
      <c r="D718" s="1" t="n"/>
      <c r="E718" s="1" t="n"/>
      <c r="F718" s="1" t="n"/>
      <c r="H718" s="1" t="n"/>
      <c r="I718" s="1" t="n"/>
      <c r="J718" s="1" t="n"/>
      <c r="K718" s="1" t="n"/>
      <c r="L718" s="1" t="n"/>
      <c r="N718" s="1" t="n"/>
      <c r="O718" s="1" t="n"/>
      <c r="P718" s="1" t="n"/>
      <c r="Q718" s="1" t="n"/>
      <c r="R718" s="1" t="n"/>
    </row>
    <row r="719" ht="15.75" customHeight="1" s="143">
      <c r="B719" s="1" t="n"/>
      <c r="C719" s="1" t="n"/>
      <c r="D719" s="1" t="n"/>
      <c r="E719" s="1" t="n"/>
      <c r="F719" s="1" t="n"/>
      <c r="H719" s="1" t="n"/>
      <c r="I719" s="1" t="n"/>
      <c r="J719" s="1" t="n"/>
      <c r="K719" s="1" t="n"/>
      <c r="L719" s="1" t="n"/>
      <c r="N719" s="1" t="n"/>
      <c r="O719" s="1" t="n"/>
      <c r="P719" s="1" t="n"/>
      <c r="Q719" s="1" t="n"/>
      <c r="R719" s="1" t="n"/>
    </row>
    <row r="720" ht="15.75" customHeight="1" s="143">
      <c r="B720" s="1" t="n"/>
      <c r="C720" s="1" t="n"/>
      <c r="D720" s="1" t="n"/>
      <c r="E720" s="1" t="n"/>
      <c r="F720" s="1" t="n"/>
      <c r="H720" s="1" t="n"/>
      <c r="I720" s="1" t="n"/>
      <c r="J720" s="1" t="n"/>
      <c r="K720" s="1" t="n"/>
      <c r="L720" s="1" t="n"/>
      <c r="N720" s="1" t="n"/>
      <c r="O720" s="1" t="n"/>
      <c r="P720" s="1" t="n"/>
      <c r="Q720" s="1" t="n"/>
      <c r="R720" s="1" t="n"/>
    </row>
    <row r="721" ht="15.75" customHeight="1" s="143">
      <c r="B721" s="1" t="n"/>
      <c r="C721" s="1" t="n"/>
      <c r="D721" s="1" t="n"/>
      <c r="E721" s="1" t="n"/>
      <c r="F721" s="1" t="n"/>
      <c r="H721" s="1" t="n"/>
      <c r="I721" s="1" t="n"/>
      <c r="J721" s="1" t="n"/>
      <c r="K721" s="1" t="n"/>
      <c r="L721" s="1" t="n"/>
      <c r="N721" s="1" t="n"/>
      <c r="O721" s="1" t="n"/>
      <c r="P721" s="1" t="n"/>
      <c r="Q721" s="1" t="n"/>
      <c r="R721" s="1" t="n"/>
    </row>
    <row r="722" ht="15.75" customHeight="1" s="143">
      <c r="B722" s="1" t="n"/>
      <c r="C722" s="1" t="n"/>
      <c r="D722" s="1" t="n"/>
      <c r="E722" s="1" t="n"/>
      <c r="F722" s="1" t="n"/>
      <c r="H722" s="1" t="n"/>
      <c r="I722" s="1" t="n"/>
      <c r="J722" s="1" t="n"/>
      <c r="K722" s="1" t="n"/>
      <c r="L722" s="1" t="n"/>
      <c r="N722" s="1" t="n"/>
      <c r="O722" s="1" t="n"/>
      <c r="P722" s="1" t="n"/>
      <c r="Q722" s="1" t="n"/>
      <c r="R722" s="1" t="n"/>
    </row>
    <row r="723" ht="15.75" customHeight="1" s="143">
      <c r="B723" s="1" t="n"/>
      <c r="C723" s="1" t="n"/>
      <c r="D723" s="1" t="n"/>
      <c r="E723" s="1" t="n"/>
      <c r="F723" s="1" t="n"/>
      <c r="H723" s="1" t="n"/>
      <c r="I723" s="1" t="n"/>
      <c r="J723" s="1" t="n"/>
      <c r="K723" s="1" t="n"/>
      <c r="L723" s="1" t="n"/>
      <c r="N723" s="1" t="n"/>
      <c r="O723" s="1" t="n"/>
      <c r="P723" s="1" t="n"/>
      <c r="Q723" s="1" t="n"/>
      <c r="R723" s="1" t="n"/>
    </row>
    <row r="724" ht="15.75" customHeight="1" s="143">
      <c r="B724" s="1" t="n"/>
      <c r="C724" s="1" t="n"/>
      <c r="D724" s="1" t="n"/>
      <c r="E724" s="1" t="n"/>
      <c r="F724" s="1" t="n"/>
      <c r="H724" s="1" t="n"/>
      <c r="I724" s="1" t="n"/>
      <c r="J724" s="1" t="n"/>
      <c r="K724" s="1" t="n"/>
      <c r="L724" s="1" t="n"/>
      <c r="N724" s="1" t="n"/>
      <c r="O724" s="1" t="n"/>
      <c r="P724" s="1" t="n"/>
      <c r="Q724" s="1" t="n"/>
      <c r="R724" s="1" t="n"/>
    </row>
    <row r="725" ht="15.75" customHeight="1" s="143">
      <c r="B725" s="1" t="n"/>
      <c r="C725" s="1" t="n"/>
      <c r="D725" s="1" t="n"/>
      <c r="E725" s="1" t="n"/>
      <c r="F725" s="1" t="n"/>
      <c r="H725" s="1" t="n"/>
      <c r="I725" s="1" t="n"/>
      <c r="J725" s="1" t="n"/>
      <c r="K725" s="1" t="n"/>
      <c r="L725" s="1" t="n"/>
      <c r="N725" s="1" t="n"/>
      <c r="O725" s="1" t="n"/>
      <c r="P725" s="1" t="n"/>
      <c r="Q725" s="1" t="n"/>
      <c r="R725" s="1" t="n"/>
    </row>
    <row r="726" ht="15.75" customHeight="1" s="143">
      <c r="B726" s="1" t="n"/>
      <c r="C726" s="1" t="n"/>
      <c r="D726" s="1" t="n"/>
      <c r="E726" s="1" t="n"/>
      <c r="F726" s="1" t="n"/>
      <c r="H726" s="1" t="n"/>
      <c r="I726" s="1" t="n"/>
      <c r="J726" s="1" t="n"/>
      <c r="K726" s="1" t="n"/>
      <c r="L726" s="1" t="n"/>
      <c r="N726" s="1" t="n"/>
      <c r="O726" s="1" t="n"/>
      <c r="P726" s="1" t="n"/>
      <c r="Q726" s="1" t="n"/>
      <c r="R726" s="1" t="n"/>
    </row>
    <row r="727" ht="15.75" customHeight="1" s="143">
      <c r="B727" s="1" t="n"/>
      <c r="C727" s="1" t="n"/>
      <c r="D727" s="1" t="n"/>
      <c r="E727" s="1" t="n"/>
      <c r="F727" s="1" t="n"/>
      <c r="H727" s="1" t="n"/>
      <c r="I727" s="1" t="n"/>
      <c r="J727" s="1" t="n"/>
      <c r="K727" s="1" t="n"/>
      <c r="L727" s="1" t="n"/>
      <c r="N727" s="1" t="n"/>
      <c r="O727" s="1" t="n"/>
      <c r="P727" s="1" t="n"/>
      <c r="Q727" s="1" t="n"/>
      <c r="R727" s="1" t="n"/>
    </row>
    <row r="728" ht="15.75" customHeight="1" s="143">
      <c r="B728" s="1" t="n"/>
      <c r="C728" s="1" t="n"/>
      <c r="D728" s="1" t="n"/>
      <c r="E728" s="1" t="n"/>
      <c r="F728" s="1" t="n"/>
      <c r="H728" s="1" t="n"/>
      <c r="I728" s="1" t="n"/>
      <c r="J728" s="1" t="n"/>
      <c r="K728" s="1" t="n"/>
      <c r="L728" s="1" t="n"/>
      <c r="N728" s="1" t="n"/>
      <c r="O728" s="1" t="n"/>
      <c r="P728" s="1" t="n"/>
      <c r="Q728" s="1" t="n"/>
      <c r="R728" s="1" t="n"/>
    </row>
    <row r="729" ht="15.75" customHeight="1" s="143">
      <c r="B729" s="1" t="n"/>
      <c r="C729" s="1" t="n"/>
      <c r="D729" s="1" t="n"/>
      <c r="E729" s="1" t="n"/>
      <c r="F729" s="1" t="n"/>
      <c r="H729" s="1" t="n"/>
      <c r="I729" s="1" t="n"/>
      <c r="J729" s="1" t="n"/>
      <c r="K729" s="1" t="n"/>
      <c r="L729" s="1" t="n"/>
      <c r="N729" s="1" t="n"/>
      <c r="O729" s="1" t="n"/>
      <c r="P729" s="1" t="n"/>
      <c r="Q729" s="1" t="n"/>
      <c r="R729" s="1" t="n"/>
    </row>
    <row r="730" ht="15.75" customHeight="1" s="143">
      <c r="B730" s="1" t="n"/>
      <c r="C730" s="1" t="n"/>
      <c r="D730" s="1" t="n"/>
      <c r="E730" s="1" t="n"/>
      <c r="F730" s="1" t="n"/>
      <c r="H730" s="1" t="n"/>
      <c r="I730" s="1" t="n"/>
      <c r="J730" s="1" t="n"/>
      <c r="K730" s="1" t="n"/>
      <c r="L730" s="1" t="n"/>
      <c r="N730" s="1" t="n"/>
      <c r="O730" s="1" t="n"/>
      <c r="P730" s="1" t="n"/>
      <c r="Q730" s="1" t="n"/>
      <c r="R730" s="1" t="n"/>
    </row>
    <row r="731" ht="15.75" customHeight="1" s="143">
      <c r="B731" s="1" t="n"/>
      <c r="C731" s="1" t="n"/>
      <c r="D731" s="1" t="n"/>
      <c r="E731" s="1" t="n"/>
      <c r="F731" s="1" t="n"/>
      <c r="H731" s="1" t="n"/>
      <c r="I731" s="1" t="n"/>
      <c r="J731" s="1" t="n"/>
      <c r="K731" s="1" t="n"/>
      <c r="L731" s="1" t="n"/>
      <c r="N731" s="1" t="n"/>
      <c r="O731" s="1" t="n"/>
      <c r="P731" s="1" t="n"/>
      <c r="Q731" s="1" t="n"/>
      <c r="R731" s="1" t="n"/>
    </row>
    <row r="732" ht="15.75" customHeight="1" s="143">
      <c r="B732" s="1" t="n"/>
      <c r="C732" s="1" t="n"/>
      <c r="D732" s="1" t="n"/>
      <c r="E732" s="1" t="n"/>
      <c r="F732" s="1" t="n"/>
      <c r="H732" s="1" t="n"/>
      <c r="I732" s="1" t="n"/>
      <c r="J732" s="1" t="n"/>
      <c r="K732" s="1" t="n"/>
      <c r="L732" s="1" t="n"/>
      <c r="N732" s="1" t="n"/>
      <c r="O732" s="1" t="n"/>
      <c r="P732" s="1" t="n"/>
      <c r="Q732" s="1" t="n"/>
      <c r="R732" s="1" t="n"/>
    </row>
    <row r="733" ht="15.75" customHeight="1" s="143">
      <c r="B733" s="1" t="n"/>
      <c r="C733" s="1" t="n"/>
      <c r="D733" s="1" t="n"/>
      <c r="E733" s="1" t="n"/>
      <c r="F733" s="1" t="n"/>
      <c r="H733" s="1" t="n"/>
      <c r="I733" s="1" t="n"/>
      <c r="J733" s="1" t="n"/>
      <c r="K733" s="1" t="n"/>
      <c r="L733" s="1" t="n"/>
      <c r="N733" s="1" t="n"/>
      <c r="O733" s="1" t="n"/>
      <c r="P733" s="1" t="n"/>
      <c r="Q733" s="1" t="n"/>
      <c r="R733" s="1" t="n"/>
    </row>
    <row r="734" ht="15.75" customHeight="1" s="143">
      <c r="B734" s="1" t="n"/>
      <c r="C734" s="1" t="n"/>
      <c r="D734" s="1" t="n"/>
      <c r="E734" s="1" t="n"/>
      <c r="F734" s="1" t="n"/>
      <c r="H734" s="1" t="n"/>
      <c r="I734" s="1" t="n"/>
      <c r="J734" s="1" t="n"/>
      <c r="K734" s="1" t="n"/>
      <c r="L734" s="1" t="n"/>
      <c r="N734" s="1" t="n"/>
      <c r="O734" s="1" t="n"/>
      <c r="P734" s="1" t="n"/>
      <c r="Q734" s="1" t="n"/>
      <c r="R734" s="1" t="n"/>
    </row>
    <row r="735" ht="15.75" customHeight="1" s="143">
      <c r="B735" s="1" t="n"/>
      <c r="C735" s="1" t="n"/>
      <c r="D735" s="1" t="n"/>
      <c r="E735" s="1" t="n"/>
      <c r="F735" s="1" t="n"/>
      <c r="H735" s="1" t="n"/>
      <c r="I735" s="1" t="n"/>
      <c r="J735" s="1" t="n"/>
      <c r="K735" s="1" t="n"/>
      <c r="L735" s="1" t="n"/>
      <c r="N735" s="1" t="n"/>
      <c r="O735" s="1" t="n"/>
      <c r="P735" s="1" t="n"/>
      <c r="Q735" s="1" t="n"/>
      <c r="R735" s="1" t="n"/>
    </row>
    <row r="736" ht="15.75" customHeight="1" s="143">
      <c r="B736" s="1" t="n"/>
      <c r="C736" s="1" t="n"/>
      <c r="D736" s="1" t="n"/>
      <c r="E736" s="1" t="n"/>
      <c r="F736" s="1" t="n"/>
      <c r="H736" s="1" t="n"/>
      <c r="I736" s="1" t="n"/>
      <c r="J736" s="1" t="n"/>
      <c r="K736" s="1" t="n"/>
      <c r="L736" s="1" t="n"/>
      <c r="N736" s="1" t="n"/>
      <c r="O736" s="1" t="n"/>
      <c r="P736" s="1" t="n"/>
      <c r="Q736" s="1" t="n"/>
      <c r="R736" s="1" t="n"/>
    </row>
    <row r="737" ht="15.75" customHeight="1" s="143">
      <c r="B737" s="1" t="n"/>
      <c r="C737" s="1" t="n"/>
      <c r="D737" s="1" t="n"/>
      <c r="E737" s="1" t="n"/>
      <c r="F737" s="1" t="n"/>
      <c r="H737" s="1" t="n"/>
      <c r="I737" s="1" t="n"/>
      <c r="J737" s="1" t="n"/>
      <c r="K737" s="1" t="n"/>
      <c r="L737" s="1" t="n"/>
      <c r="N737" s="1" t="n"/>
      <c r="O737" s="1" t="n"/>
      <c r="P737" s="1" t="n"/>
      <c r="Q737" s="1" t="n"/>
      <c r="R737" s="1" t="n"/>
    </row>
    <row r="738" ht="15.75" customHeight="1" s="143">
      <c r="B738" s="1" t="n"/>
      <c r="C738" s="1" t="n"/>
      <c r="D738" s="1" t="n"/>
      <c r="E738" s="1" t="n"/>
      <c r="F738" s="1" t="n"/>
      <c r="H738" s="1" t="n"/>
      <c r="I738" s="1" t="n"/>
      <c r="J738" s="1" t="n"/>
      <c r="K738" s="1" t="n"/>
      <c r="L738" s="1" t="n"/>
      <c r="N738" s="1" t="n"/>
      <c r="O738" s="1" t="n"/>
      <c r="P738" s="1" t="n"/>
      <c r="Q738" s="1" t="n"/>
      <c r="R738" s="1" t="n"/>
    </row>
    <row r="739" ht="15.75" customHeight="1" s="143">
      <c r="B739" s="1" t="n"/>
      <c r="C739" s="1" t="n"/>
      <c r="D739" s="1" t="n"/>
      <c r="E739" s="1" t="n"/>
      <c r="F739" s="1" t="n"/>
      <c r="H739" s="1" t="n"/>
      <c r="I739" s="1" t="n"/>
      <c r="J739" s="1" t="n"/>
      <c r="K739" s="1" t="n"/>
      <c r="L739" s="1" t="n"/>
      <c r="N739" s="1" t="n"/>
      <c r="O739" s="1" t="n"/>
      <c r="P739" s="1" t="n"/>
      <c r="Q739" s="1" t="n"/>
      <c r="R739" s="1" t="n"/>
    </row>
    <row r="740" ht="15.75" customHeight="1" s="143">
      <c r="B740" s="1" t="n"/>
      <c r="C740" s="1" t="n"/>
      <c r="D740" s="1" t="n"/>
      <c r="E740" s="1" t="n"/>
      <c r="F740" s="1" t="n"/>
      <c r="H740" s="1" t="n"/>
      <c r="I740" s="1" t="n"/>
      <c r="J740" s="1" t="n"/>
      <c r="K740" s="1" t="n"/>
      <c r="L740" s="1" t="n"/>
      <c r="N740" s="1" t="n"/>
      <c r="O740" s="1" t="n"/>
      <c r="P740" s="1" t="n"/>
      <c r="Q740" s="1" t="n"/>
      <c r="R740" s="1" t="n"/>
    </row>
    <row r="741" ht="15.75" customHeight="1" s="143">
      <c r="B741" s="1" t="n"/>
      <c r="C741" s="1" t="n"/>
      <c r="D741" s="1" t="n"/>
      <c r="E741" s="1" t="n"/>
      <c r="F741" s="1" t="n"/>
      <c r="H741" s="1" t="n"/>
      <c r="I741" s="1" t="n"/>
      <c r="J741" s="1" t="n"/>
      <c r="K741" s="1" t="n"/>
      <c r="L741" s="1" t="n"/>
      <c r="N741" s="1" t="n"/>
      <c r="O741" s="1" t="n"/>
      <c r="P741" s="1" t="n"/>
      <c r="Q741" s="1" t="n"/>
      <c r="R741" s="1" t="n"/>
    </row>
    <row r="742" ht="15.75" customHeight="1" s="143">
      <c r="B742" s="1" t="n"/>
      <c r="C742" s="1" t="n"/>
      <c r="D742" s="1" t="n"/>
      <c r="E742" s="1" t="n"/>
      <c r="F742" s="1" t="n"/>
      <c r="H742" s="1" t="n"/>
      <c r="I742" s="1" t="n"/>
      <c r="J742" s="1" t="n"/>
      <c r="K742" s="1" t="n"/>
      <c r="L742" s="1" t="n"/>
      <c r="N742" s="1" t="n"/>
      <c r="O742" s="1" t="n"/>
      <c r="P742" s="1" t="n"/>
      <c r="Q742" s="1" t="n"/>
      <c r="R742" s="1" t="n"/>
    </row>
    <row r="743" ht="15.75" customHeight="1" s="143">
      <c r="B743" s="1" t="n"/>
      <c r="C743" s="1" t="n"/>
      <c r="D743" s="1" t="n"/>
      <c r="E743" s="1" t="n"/>
      <c r="F743" s="1" t="n"/>
      <c r="H743" s="1" t="n"/>
      <c r="I743" s="1" t="n"/>
      <c r="J743" s="1" t="n"/>
      <c r="K743" s="1" t="n"/>
      <c r="L743" s="1" t="n"/>
      <c r="N743" s="1" t="n"/>
      <c r="O743" s="1" t="n"/>
      <c r="P743" s="1" t="n"/>
      <c r="Q743" s="1" t="n"/>
      <c r="R743" s="1" t="n"/>
    </row>
    <row r="744" ht="15.75" customHeight="1" s="143">
      <c r="B744" s="1" t="n"/>
      <c r="C744" s="1" t="n"/>
      <c r="D744" s="1" t="n"/>
      <c r="E744" s="1" t="n"/>
      <c r="F744" s="1" t="n"/>
      <c r="H744" s="1" t="n"/>
      <c r="I744" s="1" t="n"/>
      <c r="J744" s="1" t="n"/>
      <c r="K744" s="1" t="n"/>
      <c r="L744" s="1" t="n"/>
      <c r="N744" s="1" t="n"/>
      <c r="O744" s="1" t="n"/>
      <c r="P744" s="1" t="n"/>
      <c r="Q744" s="1" t="n"/>
      <c r="R744" s="1" t="n"/>
    </row>
    <row r="745" ht="15.75" customHeight="1" s="143">
      <c r="B745" s="1" t="n"/>
      <c r="C745" s="1" t="n"/>
      <c r="D745" s="1" t="n"/>
      <c r="E745" s="1" t="n"/>
      <c r="F745" s="1" t="n"/>
      <c r="H745" s="1" t="n"/>
      <c r="I745" s="1" t="n"/>
      <c r="J745" s="1" t="n"/>
      <c r="K745" s="1" t="n"/>
      <c r="L745" s="1" t="n"/>
      <c r="N745" s="1" t="n"/>
      <c r="O745" s="1" t="n"/>
      <c r="P745" s="1" t="n"/>
      <c r="Q745" s="1" t="n"/>
      <c r="R745" s="1" t="n"/>
    </row>
    <row r="746" ht="15.75" customHeight="1" s="143">
      <c r="B746" s="1" t="n"/>
      <c r="C746" s="1" t="n"/>
      <c r="D746" s="1" t="n"/>
      <c r="E746" s="1" t="n"/>
      <c r="F746" s="1" t="n"/>
      <c r="H746" s="1" t="n"/>
      <c r="I746" s="1" t="n"/>
      <c r="J746" s="1" t="n"/>
      <c r="K746" s="1" t="n"/>
      <c r="L746" s="1" t="n"/>
      <c r="N746" s="1" t="n"/>
      <c r="O746" s="1" t="n"/>
      <c r="P746" s="1" t="n"/>
      <c r="Q746" s="1" t="n"/>
      <c r="R746" s="1" t="n"/>
    </row>
    <row r="747" ht="15.75" customHeight="1" s="143">
      <c r="B747" s="1" t="n"/>
      <c r="C747" s="1" t="n"/>
      <c r="D747" s="1" t="n"/>
      <c r="E747" s="1" t="n"/>
      <c r="F747" s="1" t="n"/>
      <c r="H747" s="1" t="n"/>
      <c r="I747" s="1" t="n"/>
      <c r="J747" s="1" t="n"/>
      <c r="K747" s="1" t="n"/>
      <c r="L747" s="1" t="n"/>
      <c r="N747" s="1" t="n"/>
      <c r="O747" s="1" t="n"/>
      <c r="P747" s="1" t="n"/>
      <c r="Q747" s="1" t="n"/>
      <c r="R747" s="1" t="n"/>
    </row>
    <row r="748" ht="15.75" customHeight="1" s="143">
      <c r="B748" s="1" t="n"/>
      <c r="C748" s="1" t="n"/>
      <c r="D748" s="1" t="n"/>
      <c r="E748" s="1" t="n"/>
      <c r="F748" s="1" t="n"/>
      <c r="H748" s="1" t="n"/>
      <c r="I748" s="1" t="n"/>
      <c r="J748" s="1" t="n"/>
      <c r="K748" s="1" t="n"/>
      <c r="L748" s="1" t="n"/>
      <c r="N748" s="1" t="n"/>
      <c r="O748" s="1" t="n"/>
      <c r="P748" s="1" t="n"/>
      <c r="Q748" s="1" t="n"/>
      <c r="R748" s="1" t="n"/>
    </row>
    <row r="749" ht="15.75" customHeight="1" s="143">
      <c r="B749" s="1" t="n"/>
      <c r="C749" s="1" t="n"/>
      <c r="D749" s="1" t="n"/>
      <c r="E749" s="1" t="n"/>
      <c r="F749" s="1" t="n"/>
      <c r="H749" s="1" t="n"/>
      <c r="I749" s="1" t="n"/>
      <c r="J749" s="1" t="n"/>
      <c r="K749" s="1" t="n"/>
      <c r="L749" s="1" t="n"/>
      <c r="N749" s="1" t="n"/>
      <c r="O749" s="1" t="n"/>
      <c r="P749" s="1" t="n"/>
      <c r="Q749" s="1" t="n"/>
      <c r="R749" s="1" t="n"/>
    </row>
    <row r="750" ht="15.75" customHeight="1" s="143">
      <c r="B750" s="1" t="n"/>
      <c r="C750" s="1" t="n"/>
      <c r="D750" s="1" t="n"/>
      <c r="E750" s="1" t="n"/>
      <c r="F750" s="1" t="n"/>
      <c r="H750" s="1" t="n"/>
      <c r="I750" s="1" t="n"/>
      <c r="J750" s="1" t="n"/>
      <c r="K750" s="1" t="n"/>
      <c r="L750" s="1" t="n"/>
      <c r="N750" s="1" t="n"/>
      <c r="O750" s="1" t="n"/>
      <c r="P750" s="1" t="n"/>
      <c r="Q750" s="1" t="n"/>
      <c r="R750" s="1" t="n"/>
    </row>
    <row r="751" ht="15.75" customHeight="1" s="143">
      <c r="B751" s="1" t="n"/>
      <c r="C751" s="1" t="n"/>
      <c r="D751" s="1" t="n"/>
      <c r="E751" s="1" t="n"/>
      <c r="F751" s="1" t="n"/>
      <c r="H751" s="1" t="n"/>
      <c r="I751" s="1" t="n"/>
      <c r="J751" s="1" t="n"/>
      <c r="K751" s="1" t="n"/>
      <c r="L751" s="1" t="n"/>
      <c r="N751" s="1" t="n"/>
      <c r="O751" s="1" t="n"/>
      <c r="P751" s="1" t="n"/>
      <c r="Q751" s="1" t="n"/>
      <c r="R751" s="1" t="n"/>
    </row>
    <row r="752" ht="15.75" customHeight="1" s="143">
      <c r="B752" s="1" t="n"/>
      <c r="C752" s="1" t="n"/>
      <c r="D752" s="1" t="n"/>
      <c r="E752" s="1" t="n"/>
      <c r="F752" s="1" t="n"/>
      <c r="H752" s="1" t="n"/>
      <c r="I752" s="1" t="n"/>
      <c r="J752" s="1" t="n"/>
      <c r="K752" s="1" t="n"/>
      <c r="L752" s="1" t="n"/>
      <c r="N752" s="1" t="n"/>
      <c r="O752" s="1" t="n"/>
      <c r="P752" s="1" t="n"/>
      <c r="Q752" s="1" t="n"/>
      <c r="R752" s="1" t="n"/>
    </row>
    <row r="753" ht="15.75" customHeight="1" s="143">
      <c r="B753" s="1" t="n"/>
      <c r="C753" s="1" t="n"/>
      <c r="D753" s="1" t="n"/>
      <c r="E753" s="1" t="n"/>
      <c r="F753" s="1" t="n"/>
      <c r="H753" s="1" t="n"/>
      <c r="I753" s="1" t="n"/>
      <c r="J753" s="1" t="n"/>
      <c r="K753" s="1" t="n"/>
      <c r="L753" s="1" t="n"/>
      <c r="N753" s="1" t="n"/>
      <c r="O753" s="1" t="n"/>
      <c r="P753" s="1" t="n"/>
      <c r="Q753" s="1" t="n"/>
      <c r="R753" s="1" t="n"/>
    </row>
    <row r="754" ht="15.75" customHeight="1" s="143">
      <c r="B754" s="1" t="n"/>
      <c r="C754" s="1" t="n"/>
      <c r="D754" s="1" t="n"/>
      <c r="E754" s="1" t="n"/>
      <c r="F754" s="1" t="n"/>
      <c r="H754" s="1" t="n"/>
      <c r="I754" s="1" t="n"/>
      <c r="J754" s="1" t="n"/>
      <c r="K754" s="1" t="n"/>
      <c r="L754" s="1" t="n"/>
      <c r="N754" s="1" t="n"/>
      <c r="O754" s="1" t="n"/>
      <c r="P754" s="1" t="n"/>
      <c r="Q754" s="1" t="n"/>
      <c r="R754" s="1" t="n"/>
    </row>
    <row r="755" ht="15.75" customHeight="1" s="143">
      <c r="B755" s="1" t="n"/>
      <c r="C755" s="1" t="n"/>
      <c r="D755" s="1" t="n"/>
      <c r="E755" s="1" t="n"/>
      <c r="F755" s="1" t="n"/>
      <c r="H755" s="1" t="n"/>
      <c r="I755" s="1" t="n"/>
      <c r="J755" s="1" t="n"/>
      <c r="K755" s="1" t="n"/>
      <c r="L755" s="1" t="n"/>
      <c r="N755" s="1" t="n"/>
      <c r="O755" s="1" t="n"/>
      <c r="P755" s="1" t="n"/>
      <c r="Q755" s="1" t="n"/>
      <c r="R755" s="1" t="n"/>
    </row>
    <row r="756" ht="15.75" customHeight="1" s="143">
      <c r="B756" s="1" t="n"/>
      <c r="C756" s="1" t="n"/>
      <c r="D756" s="1" t="n"/>
      <c r="E756" s="1" t="n"/>
      <c r="F756" s="1" t="n"/>
      <c r="H756" s="1" t="n"/>
      <c r="I756" s="1" t="n"/>
      <c r="J756" s="1" t="n"/>
      <c r="K756" s="1" t="n"/>
      <c r="L756" s="1" t="n"/>
      <c r="N756" s="1" t="n"/>
      <c r="O756" s="1" t="n"/>
      <c r="P756" s="1" t="n"/>
      <c r="Q756" s="1" t="n"/>
      <c r="R756" s="1" t="n"/>
    </row>
    <row r="757" ht="15.75" customHeight="1" s="143">
      <c r="B757" s="1" t="n"/>
      <c r="C757" s="1" t="n"/>
      <c r="D757" s="1" t="n"/>
      <c r="E757" s="1" t="n"/>
      <c r="F757" s="1" t="n"/>
      <c r="H757" s="1" t="n"/>
      <c r="I757" s="1" t="n"/>
      <c r="J757" s="1" t="n"/>
      <c r="K757" s="1" t="n"/>
      <c r="L757" s="1" t="n"/>
      <c r="N757" s="1" t="n"/>
      <c r="O757" s="1" t="n"/>
      <c r="P757" s="1" t="n"/>
      <c r="Q757" s="1" t="n"/>
      <c r="R757" s="1" t="n"/>
    </row>
    <row r="758" ht="15.75" customHeight="1" s="143">
      <c r="B758" s="1" t="n"/>
      <c r="C758" s="1" t="n"/>
      <c r="D758" s="1" t="n"/>
      <c r="E758" s="1" t="n"/>
      <c r="F758" s="1" t="n"/>
      <c r="H758" s="1" t="n"/>
      <c r="I758" s="1" t="n"/>
      <c r="J758" s="1" t="n"/>
      <c r="K758" s="1" t="n"/>
      <c r="L758" s="1" t="n"/>
      <c r="N758" s="1" t="n"/>
      <c r="O758" s="1" t="n"/>
      <c r="P758" s="1" t="n"/>
      <c r="Q758" s="1" t="n"/>
      <c r="R758" s="1" t="n"/>
    </row>
    <row r="759" ht="15.75" customHeight="1" s="143">
      <c r="B759" s="1" t="n"/>
      <c r="C759" s="1" t="n"/>
      <c r="D759" s="1" t="n"/>
      <c r="E759" s="1" t="n"/>
      <c r="F759" s="1" t="n"/>
      <c r="H759" s="1" t="n"/>
      <c r="I759" s="1" t="n"/>
      <c r="J759" s="1" t="n"/>
      <c r="K759" s="1" t="n"/>
      <c r="L759" s="1" t="n"/>
      <c r="N759" s="1" t="n"/>
      <c r="O759" s="1" t="n"/>
      <c r="P759" s="1" t="n"/>
      <c r="Q759" s="1" t="n"/>
      <c r="R759" s="1" t="n"/>
    </row>
    <row r="760" ht="15.75" customHeight="1" s="143">
      <c r="B760" s="1" t="n"/>
      <c r="C760" s="1" t="n"/>
      <c r="D760" s="1" t="n"/>
      <c r="E760" s="1" t="n"/>
      <c r="F760" s="1" t="n"/>
      <c r="H760" s="1" t="n"/>
      <c r="I760" s="1" t="n"/>
      <c r="J760" s="1" t="n"/>
      <c r="K760" s="1" t="n"/>
      <c r="L760" s="1" t="n"/>
      <c r="N760" s="1" t="n"/>
      <c r="O760" s="1" t="n"/>
      <c r="P760" s="1" t="n"/>
      <c r="Q760" s="1" t="n"/>
      <c r="R760" s="1" t="n"/>
    </row>
    <row r="761" ht="15.75" customHeight="1" s="143">
      <c r="B761" s="1" t="n"/>
      <c r="C761" s="1" t="n"/>
      <c r="D761" s="1" t="n"/>
      <c r="E761" s="1" t="n"/>
      <c r="F761" s="1" t="n"/>
      <c r="H761" s="1" t="n"/>
      <c r="I761" s="1" t="n"/>
      <c r="J761" s="1" t="n"/>
      <c r="K761" s="1" t="n"/>
      <c r="L761" s="1" t="n"/>
      <c r="N761" s="1" t="n"/>
      <c r="O761" s="1" t="n"/>
      <c r="P761" s="1" t="n"/>
      <c r="Q761" s="1" t="n"/>
      <c r="R761" s="1" t="n"/>
    </row>
    <row r="762" ht="15.75" customHeight="1" s="143">
      <c r="B762" s="1" t="n"/>
      <c r="C762" s="1" t="n"/>
      <c r="D762" s="1" t="n"/>
      <c r="E762" s="1" t="n"/>
      <c r="F762" s="1" t="n"/>
      <c r="H762" s="1" t="n"/>
      <c r="I762" s="1" t="n"/>
      <c r="J762" s="1" t="n"/>
      <c r="K762" s="1" t="n"/>
      <c r="L762" s="1" t="n"/>
      <c r="N762" s="1" t="n"/>
      <c r="O762" s="1" t="n"/>
      <c r="P762" s="1" t="n"/>
      <c r="Q762" s="1" t="n"/>
      <c r="R762" s="1" t="n"/>
    </row>
    <row r="763" ht="15.75" customHeight="1" s="143">
      <c r="B763" s="1" t="n"/>
      <c r="C763" s="1" t="n"/>
      <c r="D763" s="1" t="n"/>
      <c r="E763" s="1" t="n"/>
      <c r="F763" s="1" t="n"/>
      <c r="H763" s="1" t="n"/>
      <c r="I763" s="1" t="n"/>
      <c r="J763" s="1" t="n"/>
      <c r="K763" s="1" t="n"/>
      <c r="L763" s="1" t="n"/>
      <c r="N763" s="1" t="n"/>
      <c r="O763" s="1" t="n"/>
      <c r="P763" s="1" t="n"/>
      <c r="Q763" s="1" t="n"/>
      <c r="R763" s="1" t="n"/>
    </row>
    <row r="764" ht="15.75" customHeight="1" s="143">
      <c r="B764" s="1" t="n"/>
      <c r="C764" s="1" t="n"/>
      <c r="D764" s="1" t="n"/>
      <c r="E764" s="1" t="n"/>
      <c r="F764" s="1" t="n"/>
      <c r="H764" s="1" t="n"/>
      <c r="I764" s="1" t="n"/>
      <c r="J764" s="1" t="n"/>
      <c r="K764" s="1" t="n"/>
      <c r="L764" s="1" t="n"/>
      <c r="N764" s="1" t="n"/>
      <c r="O764" s="1" t="n"/>
      <c r="P764" s="1" t="n"/>
      <c r="Q764" s="1" t="n"/>
      <c r="R764" s="1" t="n"/>
    </row>
    <row r="765" ht="15.75" customHeight="1" s="143">
      <c r="B765" s="1" t="n"/>
      <c r="C765" s="1" t="n"/>
      <c r="D765" s="1" t="n"/>
      <c r="E765" s="1" t="n"/>
      <c r="F765" s="1" t="n"/>
      <c r="H765" s="1" t="n"/>
      <c r="I765" s="1" t="n"/>
      <c r="J765" s="1" t="n"/>
      <c r="K765" s="1" t="n"/>
      <c r="L765" s="1" t="n"/>
      <c r="N765" s="1" t="n"/>
      <c r="O765" s="1" t="n"/>
      <c r="P765" s="1" t="n"/>
      <c r="Q765" s="1" t="n"/>
      <c r="R765" s="1" t="n"/>
    </row>
    <row r="766" ht="15.75" customHeight="1" s="143">
      <c r="B766" s="1" t="n"/>
      <c r="C766" s="1" t="n"/>
      <c r="D766" s="1" t="n"/>
      <c r="E766" s="1" t="n"/>
      <c r="F766" s="1" t="n"/>
      <c r="H766" s="1" t="n"/>
      <c r="I766" s="1" t="n"/>
      <c r="J766" s="1" t="n"/>
      <c r="K766" s="1" t="n"/>
      <c r="L766" s="1" t="n"/>
      <c r="N766" s="1" t="n"/>
      <c r="O766" s="1" t="n"/>
      <c r="P766" s="1" t="n"/>
      <c r="Q766" s="1" t="n"/>
      <c r="R766" s="1" t="n"/>
    </row>
    <row r="767" ht="15.75" customHeight="1" s="143">
      <c r="B767" s="1" t="n"/>
      <c r="C767" s="1" t="n"/>
      <c r="D767" s="1" t="n"/>
      <c r="E767" s="1" t="n"/>
      <c r="F767" s="1" t="n"/>
      <c r="H767" s="1" t="n"/>
      <c r="I767" s="1" t="n"/>
      <c r="J767" s="1" t="n"/>
      <c r="K767" s="1" t="n"/>
      <c r="L767" s="1" t="n"/>
      <c r="N767" s="1" t="n"/>
      <c r="O767" s="1" t="n"/>
      <c r="P767" s="1" t="n"/>
      <c r="Q767" s="1" t="n"/>
      <c r="R767" s="1" t="n"/>
    </row>
    <row r="768" ht="15.75" customHeight="1" s="143">
      <c r="B768" s="1" t="n"/>
      <c r="C768" s="1" t="n"/>
      <c r="D768" s="1" t="n"/>
      <c r="E768" s="1" t="n"/>
      <c r="F768" s="1" t="n"/>
      <c r="H768" s="1" t="n"/>
      <c r="I768" s="1" t="n"/>
      <c r="J768" s="1" t="n"/>
      <c r="K768" s="1" t="n"/>
      <c r="L768" s="1" t="n"/>
      <c r="N768" s="1" t="n"/>
      <c r="O768" s="1" t="n"/>
      <c r="P768" s="1" t="n"/>
      <c r="Q768" s="1" t="n"/>
      <c r="R768" s="1" t="n"/>
    </row>
    <row r="769" ht="15.75" customHeight="1" s="143">
      <c r="B769" s="1" t="n"/>
      <c r="C769" s="1" t="n"/>
      <c r="D769" s="1" t="n"/>
      <c r="E769" s="1" t="n"/>
      <c r="F769" s="1" t="n"/>
      <c r="H769" s="1" t="n"/>
      <c r="I769" s="1" t="n"/>
      <c r="J769" s="1" t="n"/>
      <c r="K769" s="1" t="n"/>
      <c r="L769" s="1" t="n"/>
      <c r="N769" s="1" t="n"/>
      <c r="O769" s="1" t="n"/>
      <c r="P769" s="1" t="n"/>
      <c r="Q769" s="1" t="n"/>
      <c r="R769" s="1" t="n"/>
    </row>
    <row r="770" ht="15.75" customHeight="1" s="143">
      <c r="B770" s="1" t="n"/>
      <c r="C770" s="1" t="n"/>
      <c r="D770" s="1" t="n"/>
      <c r="E770" s="1" t="n"/>
      <c r="F770" s="1" t="n"/>
      <c r="H770" s="1" t="n"/>
      <c r="I770" s="1" t="n"/>
      <c r="J770" s="1" t="n"/>
      <c r="K770" s="1" t="n"/>
      <c r="L770" s="1" t="n"/>
      <c r="N770" s="1" t="n"/>
      <c r="O770" s="1" t="n"/>
      <c r="P770" s="1" t="n"/>
      <c r="Q770" s="1" t="n"/>
      <c r="R770" s="1" t="n"/>
    </row>
    <row r="771" ht="15.75" customHeight="1" s="143">
      <c r="B771" s="1" t="n"/>
      <c r="C771" s="1" t="n"/>
      <c r="D771" s="1" t="n"/>
      <c r="E771" s="1" t="n"/>
      <c r="F771" s="1" t="n"/>
      <c r="H771" s="1" t="n"/>
      <c r="I771" s="1" t="n"/>
      <c r="J771" s="1" t="n"/>
      <c r="K771" s="1" t="n"/>
      <c r="L771" s="1" t="n"/>
      <c r="N771" s="1" t="n"/>
      <c r="O771" s="1" t="n"/>
      <c r="P771" s="1" t="n"/>
      <c r="Q771" s="1" t="n"/>
      <c r="R771" s="1" t="n"/>
    </row>
    <row r="772" ht="15.75" customHeight="1" s="143">
      <c r="B772" s="1" t="n"/>
      <c r="C772" s="1" t="n"/>
      <c r="D772" s="1" t="n"/>
      <c r="E772" s="1" t="n"/>
      <c r="F772" s="1" t="n"/>
      <c r="H772" s="1" t="n"/>
      <c r="I772" s="1" t="n"/>
      <c r="J772" s="1" t="n"/>
      <c r="K772" s="1" t="n"/>
      <c r="L772" s="1" t="n"/>
      <c r="N772" s="1" t="n"/>
      <c r="O772" s="1" t="n"/>
      <c r="P772" s="1" t="n"/>
      <c r="Q772" s="1" t="n"/>
      <c r="R772" s="1" t="n"/>
    </row>
    <row r="773" ht="15.75" customHeight="1" s="143">
      <c r="B773" s="1" t="n"/>
      <c r="C773" s="1" t="n"/>
      <c r="D773" s="1" t="n"/>
      <c r="E773" s="1" t="n"/>
      <c r="F773" s="1" t="n"/>
      <c r="H773" s="1" t="n"/>
      <c r="I773" s="1" t="n"/>
      <c r="J773" s="1" t="n"/>
      <c r="K773" s="1" t="n"/>
      <c r="L773" s="1" t="n"/>
      <c r="N773" s="1" t="n"/>
      <c r="O773" s="1" t="n"/>
      <c r="P773" s="1" t="n"/>
      <c r="Q773" s="1" t="n"/>
      <c r="R773" s="1" t="n"/>
    </row>
    <row r="774" ht="15.75" customHeight="1" s="143">
      <c r="B774" s="1" t="n"/>
      <c r="C774" s="1" t="n"/>
      <c r="D774" s="1" t="n"/>
      <c r="E774" s="1" t="n"/>
      <c r="F774" s="1" t="n"/>
      <c r="H774" s="1" t="n"/>
      <c r="I774" s="1" t="n"/>
      <c r="J774" s="1" t="n"/>
      <c r="K774" s="1" t="n"/>
      <c r="L774" s="1" t="n"/>
      <c r="N774" s="1" t="n"/>
      <c r="O774" s="1" t="n"/>
      <c r="P774" s="1" t="n"/>
      <c r="Q774" s="1" t="n"/>
      <c r="R774" s="1" t="n"/>
    </row>
    <row r="775" ht="15.75" customHeight="1" s="143">
      <c r="B775" s="1" t="n"/>
      <c r="C775" s="1" t="n"/>
      <c r="D775" s="1" t="n"/>
      <c r="E775" s="1" t="n"/>
      <c r="F775" s="1" t="n"/>
      <c r="H775" s="1" t="n"/>
      <c r="I775" s="1" t="n"/>
      <c r="J775" s="1" t="n"/>
      <c r="K775" s="1" t="n"/>
      <c r="L775" s="1" t="n"/>
      <c r="N775" s="1" t="n"/>
      <c r="O775" s="1" t="n"/>
      <c r="P775" s="1" t="n"/>
      <c r="Q775" s="1" t="n"/>
      <c r="R775" s="1" t="n"/>
    </row>
    <row r="776" ht="15.75" customHeight="1" s="143">
      <c r="B776" s="1" t="n"/>
      <c r="C776" s="1" t="n"/>
      <c r="D776" s="1" t="n"/>
      <c r="E776" s="1" t="n"/>
      <c r="F776" s="1" t="n"/>
      <c r="H776" s="1" t="n"/>
      <c r="I776" s="1" t="n"/>
      <c r="J776" s="1" t="n"/>
      <c r="K776" s="1" t="n"/>
      <c r="L776" s="1" t="n"/>
      <c r="N776" s="1" t="n"/>
      <c r="O776" s="1" t="n"/>
      <c r="P776" s="1" t="n"/>
      <c r="Q776" s="1" t="n"/>
      <c r="R776" s="1" t="n"/>
    </row>
    <row r="777" ht="15.75" customHeight="1" s="143">
      <c r="B777" s="1" t="n"/>
      <c r="C777" s="1" t="n"/>
      <c r="D777" s="1" t="n"/>
      <c r="E777" s="1" t="n"/>
      <c r="F777" s="1" t="n"/>
      <c r="H777" s="1" t="n"/>
      <c r="I777" s="1" t="n"/>
      <c r="J777" s="1" t="n"/>
      <c r="K777" s="1" t="n"/>
      <c r="L777" s="1" t="n"/>
      <c r="N777" s="1" t="n"/>
      <c r="O777" s="1" t="n"/>
      <c r="P777" s="1" t="n"/>
      <c r="Q777" s="1" t="n"/>
      <c r="R777" s="1" t="n"/>
    </row>
    <row r="778" ht="15.75" customHeight="1" s="143">
      <c r="B778" s="1" t="n"/>
      <c r="C778" s="1" t="n"/>
      <c r="D778" s="1" t="n"/>
      <c r="E778" s="1" t="n"/>
      <c r="F778" s="1" t="n"/>
      <c r="H778" s="1" t="n"/>
      <c r="I778" s="1" t="n"/>
      <c r="J778" s="1" t="n"/>
      <c r="K778" s="1" t="n"/>
      <c r="L778" s="1" t="n"/>
      <c r="N778" s="1" t="n"/>
      <c r="O778" s="1" t="n"/>
      <c r="P778" s="1" t="n"/>
      <c r="Q778" s="1" t="n"/>
      <c r="R778" s="1" t="n"/>
    </row>
    <row r="779" ht="15.75" customHeight="1" s="143">
      <c r="B779" s="1" t="n"/>
      <c r="C779" s="1" t="n"/>
      <c r="D779" s="1" t="n"/>
      <c r="E779" s="1" t="n"/>
      <c r="F779" s="1" t="n"/>
      <c r="H779" s="1" t="n"/>
      <c r="I779" s="1" t="n"/>
      <c r="J779" s="1" t="n"/>
      <c r="K779" s="1" t="n"/>
      <c r="L779" s="1" t="n"/>
      <c r="N779" s="1" t="n"/>
      <c r="O779" s="1" t="n"/>
      <c r="P779" s="1" t="n"/>
      <c r="Q779" s="1" t="n"/>
      <c r="R779" s="1" t="n"/>
    </row>
    <row r="780" ht="15.75" customHeight="1" s="143">
      <c r="B780" s="1" t="n"/>
      <c r="C780" s="1" t="n"/>
      <c r="D780" s="1" t="n"/>
      <c r="E780" s="1" t="n"/>
      <c r="F780" s="1" t="n"/>
      <c r="H780" s="1" t="n"/>
      <c r="I780" s="1" t="n"/>
      <c r="J780" s="1" t="n"/>
      <c r="K780" s="1" t="n"/>
      <c r="L780" s="1" t="n"/>
      <c r="N780" s="1" t="n"/>
      <c r="O780" s="1" t="n"/>
      <c r="P780" s="1" t="n"/>
      <c r="Q780" s="1" t="n"/>
      <c r="R780" s="1" t="n"/>
    </row>
    <row r="781" ht="15.75" customHeight="1" s="143">
      <c r="B781" s="1" t="n"/>
      <c r="C781" s="1" t="n"/>
      <c r="D781" s="1" t="n"/>
      <c r="E781" s="1" t="n"/>
      <c r="F781" s="1" t="n"/>
      <c r="H781" s="1" t="n"/>
      <c r="I781" s="1" t="n"/>
      <c r="J781" s="1" t="n"/>
      <c r="K781" s="1" t="n"/>
      <c r="L781" s="1" t="n"/>
      <c r="N781" s="1" t="n"/>
      <c r="O781" s="1" t="n"/>
      <c r="P781" s="1" t="n"/>
      <c r="Q781" s="1" t="n"/>
      <c r="R781" s="1" t="n"/>
    </row>
    <row r="782" ht="15.75" customHeight="1" s="143">
      <c r="B782" s="1" t="n"/>
      <c r="C782" s="1" t="n"/>
      <c r="D782" s="1" t="n"/>
      <c r="E782" s="1" t="n"/>
      <c r="F782" s="1" t="n"/>
      <c r="H782" s="1" t="n"/>
      <c r="I782" s="1" t="n"/>
      <c r="J782" s="1" t="n"/>
      <c r="K782" s="1" t="n"/>
      <c r="L782" s="1" t="n"/>
      <c r="N782" s="1" t="n"/>
      <c r="O782" s="1" t="n"/>
      <c r="P782" s="1" t="n"/>
      <c r="Q782" s="1" t="n"/>
      <c r="R782" s="1" t="n"/>
    </row>
    <row r="783" ht="15.75" customHeight="1" s="143">
      <c r="B783" s="1" t="n"/>
      <c r="C783" s="1" t="n"/>
      <c r="D783" s="1" t="n"/>
      <c r="E783" s="1" t="n"/>
      <c r="F783" s="1" t="n"/>
      <c r="H783" s="1" t="n"/>
      <c r="I783" s="1" t="n"/>
      <c r="J783" s="1" t="n"/>
      <c r="K783" s="1" t="n"/>
      <c r="L783" s="1" t="n"/>
      <c r="N783" s="1" t="n"/>
      <c r="O783" s="1" t="n"/>
      <c r="P783" s="1" t="n"/>
      <c r="Q783" s="1" t="n"/>
      <c r="R783" s="1" t="n"/>
    </row>
    <row r="784" ht="15.75" customHeight="1" s="143">
      <c r="B784" s="1" t="n"/>
      <c r="C784" s="1" t="n"/>
      <c r="D784" s="1" t="n"/>
      <c r="E784" s="1" t="n"/>
      <c r="F784" s="1" t="n"/>
      <c r="H784" s="1" t="n"/>
      <c r="I784" s="1" t="n"/>
      <c r="J784" s="1" t="n"/>
      <c r="K784" s="1" t="n"/>
      <c r="L784" s="1" t="n"/>
      <c r="N784" s="1" t="n"/>
      <c r="O784" s="1" t="n"/>
      <c r="P784" s="1" t="n"/>
      <c r="Q784" s="1" t="n"/>
      <c r="R784" s="1" t="n"/>
    </row>
    <row r="785" ht="15.75" customHeight="1" s="143">
      <c r="B785" s="1" t="n"/>
      <c r="C785" s="1" t="n"/>
      <c r="D785" s="1" t="n"/>
      <c r="E785" s="1" t="n"/>
      <c r="F785" s="1" t="n"/>
      <c r="H785" s="1" t="n"/>
      <c r="I785" s="1" t="n"/>
      <c r="J785" s="1" t="n"/>
      <c r="K785" s="1" t="n"/>
      <c r="L785" s="1" t="n"/>
      <c r="N785" s="1" t="n"/>
      <c r="O785" s="1" t="n"/>
      <c r="P785" s="1" t="n"/>
      <c r="Q785" s="1" t="n"/>
      <c r="R785" s="1" t="n"/>
    </row>
    <row r="786" ht="15.75" customHeight="1" s="143">
      <c r="B786" s="1" t="n"/>
      <c r="C786" s="1" t="n"/>
      <c r="D786" s="1" t="n"/>
      <c r="E786" s="1" t="n"/>
      <c r="F786" s="1" t="n"/>
      <c r="H786" s="1" t="n"/>
      <c r="I786" s="1" t="n"/>
      <c r="J786" s="1" t="n"/>
      <c r="K786" s="1" t="n"/>
      <c r="L786" s="1" t="n"/>
      <c r="N786" s="1" t="n"/>
      <c r="O786" s="1" t="n"/>
      <c r="P786" s="1" t="n"/>
      <c r="Q786" s="1" t="n"/>
      <c r="R786" s="1" t="n"/>
    </row>
    <row r="787" ht="15.75" customHeight="1" s="143">
      <c r="B787" s="1" t="n"/>
      <c r="C787" s="1" t="n"/>
      <c r="D787" s="1" t="n"/>
      <c r="E787" s="1" t="n"/>
      <c r="F787" s="1" t="n"/>
      <c r="H787" s="1" t="n"/>
      <c r="I787" s="1" t="n"/>
      <c r="J787" s="1" t="n"/>
      <c r="K787" s="1" t="n"/>
      <c r="L787" s="1" t="n"/>
      <c r="N787" s="1" t="n"/>
      <c r="O787" s="1" t="n"/>
      <c r="P787" s="1" t="n"/>
      <c r="Q787" s="1" t="n"/>
      <c r="R787" s="1" t="n"/>
    </row>
    <row r="788" ht="15.75" customHeight="1" s="143">
      <c r="B788" s="1" t="n"/>
      <c r="C788" s="1" t="n"/>
      <c r="D788" s="1" t="n"/>
      <c r="E788" s="1" t="n"/>
      <c r="F788" s="1" t="n"/>
      <c r="H788" s="1" t="n"/>
      <c r="I788" s="1" t="n"/>
      <c r="J788" s="1" t="n"/>
      <c r="K788" s="1" t="n"/>
      <c r="L788" s="1" t="n"/>
      <c r="N788" s="1" t="n"/>
      <c r="O788" s="1" t="n"/>
      <c r="P788" s="1" t="n"/>
      <c r="Q788" s="1" t="n"/>
      <c r="R788" s="1" t="n"/>
    </row>
    <row r="789" ht="15.75" customHeight="1" s="143">
      <c r="B789" s="1" t="n"/>
      <c r="C789" s="1" t="n"/>
      <c r="D789" s="1" t="n"/>
      <c r="E789" s="1" t="n"/>
      <c r="F789" s="1" t="n"/>
      <c r="H789" s="1" t="n"/>
      <c r="I789" s="1" t="n"/>
      <c r="J789" s="1" t="n"/>
      <c r="K789" s="1" t="n"/>
      <c r="L789" s="1" t="n"/>
      <c r="N789" s="1" t="n"/>
      <c r="O789" s="1" t="n"/>
      <c r="P789" s="1" t="n"/>
      <c r="Q789" s="1" t="n"/>
      <c r="R789" s="1" t="n"/>
    </row>
    <row r="790" ht="15.75" customHeight="1" s="143">
      <c r="B790" s="1" t="n"/>
      <c r="C790" s="1" t="n"/>
      <c r="D790" s="1" t="n"/>
      <c r="E790" s="1" t="n"/>
      <c r="F790" s="1" t="n"/>
      <c r="H790" s="1" t="n"/>
      <c r="I790" s="1" t="n"/>
      <c r="J790" s="1" t="n"/>
      <c r="K790" s="1" t="n"/>
      <c r="L790" s="1" t="n"/>
      <c r="N790" s="1" t="n"/>
      <c r="O790" s="1" t="n"/>
      <c r="P790" s="1" t="n"/>
      <c r="Q790" s="1" t="n"/>
      <c r="R790" s="1" t="n"/>
    </row>
    <row r="791" ht="15.75" customHeight="1" s="143">
      <c r="B791" s="1" t="n"/>
      <c r="C791" s="1" t="n"/>
      <c r="D791" s="1" t="n"/>
      <c r="E791" s="1" t="n"/>
      <c r="F791" s="1" t="n"/>
      <c r="H791" s="1" t="n"/>
      <c r="I791" s="1" t="n"/>
      <c r="J791" s="1" t="n"/>
      <c r="K791" s="1" t="n"/>
      <c r="L791" s="1" t="n"/>
      <c r="N791" s="1" t="n"/>
      <c r="O791" s="1" t="n"/>
      <c r="P791" s="1" t="n"/>
      <c r="Q791" s="1" t="n"/>
      <c r="R791" s="1" t="n"/>
    </row>
    <row r="792" ht="15.75" customHeight="1" s="143">
      <c r="B792" s="1" t="n"/>
      <c r="C792" s="1" t="n"/>
      <c r="D792" s="1" t="n"/>
      <c r="E792" s="1" t="n"/>
      <c r="F792" s="1" t="n"/>
      <c r="H792" s="1" t="n"/>
      <c r="I792" s="1" t="n"/>
      <c r="J792" s="1" t="n"/>
      <c r="K792" s="1" t="n"/>
      <c r="L792" s="1" t="n"/>
      <c r="N792" s="1" t="n"/>
      <c r="O792" s="1" t="n"/>
      <c r="P792" s="1" t="n"/>
      <c r="Q792" s="1" t="n"/>
      <c r="R792" s="1" t="n"/>
    </row>
    <row r="793" ht="15.75" customHeight="1" s="143">
      <c r="B793" s="1" t="n"/>
      <c r="C793" s="1" t="n"/>
      <c r="D793" s="1" t="n"/>
      <c r="E793" s="1" t="n"/>
      <c r="F793" s="1" t="n"/>
      <c r="H793" s="1" t="n"/>
      <c r="I793" s="1" t="n"/>
      <c r="J793" s="1" t="n"/>
      <c r="K793" s="1" t="n"/>
      <c r="L793" s="1" t="n"/>
      <c r="N793" s="1" t="n"/>
      <c r="O793" s="1" t="n"/>
      <c r="P793" s="1" t="n"/>
      <c r="Q793" s="1" t="n"/>
      <c r="R793" s="1" t="n"/>
    </row>
    <row r="794" ht="15.75" customHeight="1" s="143">
      <c r="B794" s="1" t="n"/>
      <c r="C794" s="1" t="n"/>
      <c r="D794" s="1" t="n"/>
      <c r="E794" s="1" t="n"/>
      <c r="F794" s="1" t="n"/>
      <c r="H794" s="1" t="n"/>
      <c r="I794" s="1" t="n"/>
      <c r="J794" s="1" t="n"/>
      <c r="K794" s="1" t="n"/>
      <c r="L794" s="1" t="n"/>
      <c r="N794" s="1" t="n"/>
      <c r="O794" s="1" t="n"/>
      <c r="P794" s="1" t="n"/>
      <c r="Q794" s="1" t="n"/>
      <c r="R794" s="1" t="n"/>
    </row>
    <row r="795" ht="15.75" customHeight="1" s="143">
      <c r="B795" s="1" t="n"/>
      <c r="C795" s="1" t="n"/>
      <c r="D795" s="1" t="n"/>
      <c r="E795" s="1" t="n"/>
      <c r="F795" s="1" t="n"/>
      <c r="H795" s="1" t="n"/>
      <c r="I795" s="1" t="n"/>
      <c r="J795" s="1" t="n"/>
      <c r="K795" s="1" t="n"/>
      <c r="L795" s="1" t="n"/>
      <c r="N795" s="1" t="n"/>
      <c r="O795" s="1" t="n"/>
      <c r="P795" s="1" t="n"/>
      <c r="Q795" s="1" t="n"/>
      <c r="R795" s="1" t="n"/>
    </row>
    <row r="796" ht="15.75" customHeight="1" s="143">
      <c r="B796" s="1" t="n"/>
      <c r="C796" s="1" t="n"/>
      <c r="D796" s="1" t="n"/>
      <c r="E796" s="1" t="n"/>
      <c r="F796" s="1" t="n"/>
      <c r="H796" s="1" t="n"/>
      <c r="I796" s="1" t="n"/>
      <c r="J796" s="1" t="n"/>
      <c r="K796" s="1" t="n"/>
      <c r="L796" s="1" t="n"/>
      <c r="N796" s="1" t="n"/>
      <c r="O796" s="1" t="n"/>
      <c r="P796" s="1" t="n"/>
      <c r="Q796" s="1" t="n"/>
      <c r="R796" s="1" t="n"/>
    </row>
    <row r="797" ht="15.75" customHeight="1" s="143">
      <c r="B797" s="1" t="n"/>
      <c r="C797" s="1" t="n"/>
      <c r="D797" s="1" t="n"/>
      <c r="E797" s="1" t="n"/>
      <c r="F797" s="1" t="n"/>
      <c r="H797" s="1" t="n"/>
      <c r="I797" s="1" t="n"/>
      <c r="J797" s="1" t="n"/>
      <c r="K797" s="1" t="n"/>
      <c r="L797" s="1" t="n"/>
      <c r="N797" s="1" t="n"/>
      <c r="O797" s="1" t="n"/>
      <c r="P797" s="1" t="n"/>
      <c r="Q797" s="1" t="n"/>
      <c r="R797" s="1" t="n"/>
    </row>
    <row r="798" ht="15.75" customHeight="1" s="143">
      <c r="B798" s="1" t="n"/>
      <c r="C798" s="1" t="n"/>
      <c r="D798" s="1" t="n"/>
      <c r="E798" s="1" t="n"/>
      <c r="F798" s="1" t="n"/>
      <c r="H798" s="1" t="n"/>
      <c r="I798" s="1" t="n"/>
      <c r="J798" s="1" t="n"/>
      <c r="K798" s="1" t="n"/>
      <c r="L798" s="1" t="n"/>
      <c r="N798" s="1" t="n"/>
      <c r="O798" s="1" t="n"/>
      <c r="P798" s="1" t="n"/>
      <c r="Q798" s="1" t="n"/>
      <c r="R798" s="1" t="n"/>
    </row>
    <row r="799" ht="15.75" customHeight="1" s="143">
      <c r="B799" s="1" t="n"/>
      <c r="C799" s="1" t="n"/>
      <c r="D799" s="1" t="n"/>
      <c r="E799" s="1" t="n"/>
      <c r="F799" s="1" t="n"/>
      <c r="H799" s="1" t="n"/>
      <c r="I799" s="1" t="n"/>
      <c r="J799" s="1" t="n"/>
      <c r="K799" s="1" t="n"/>
      <c r="L799" s="1" t="n"/>
      <c r="N799" s="1" t="n"/>
      <c r="O799" s="1" t="n"/>
      <c r="P799" s="1" t="n"/>
      <c r="Q799" s="1" t="n"/>
      <c r="R799" s="1" t="n"/>
    </row>
    <row r="800" ht="15.75" customHeight="1" s="143">
      <c r="B800" s="1" t="n"/>
      <c r="C800" s="1" t="n"/>
      <c r="D800" s="1" t="n"/>
      <c r="E800" s="1" t="n"/>
      <c r="F800" s="1" t="n"/>
      <c r="H800" s="1" t="n"/>
      <c r="I800" s="1" t="n"/>
      <c r="J800" s="1" t="n"/>
      <c r="K800" s="1" t="n"/>
      <c r="L800" s="1" t="n"/>
      <c r="N800" s="1" t="n"/>
      <c r="O800" s="1" t="n"/>
      <c r="P800" s="1" t="n"/>
      <c r="Q800" s="1" t="n"/>
      <c r="R800" s="1" t="n"/>
    </row>
    <row r="801" ht="15.75" customHeight="1" s="143">
      <c r="B801" s="1" t="n"/>
      <c r="C801" s="1" t="n"/>
      <c r="D801" s="1" t="n"/>
      <c r="E801" s="1" t="n"/>
      <c r="F801" s="1" t="n"/>
      <c r="H801" s="1" t="n"/>
      <c r="I801" s="1" t="n"/>
      <c r="J801" s="1" t="n"/>
      <c r="K801" s="1" t="n"/>
      <c r="L801" s="1" t="n"/>
      <c r="N801" s="1" t="n"/>
      <c r="O801" s="1" t="n"/>
      <c r="P801" s="1" t="n"/>
      <c r="Q801" s="1" t="n"/>
      <c r="R801" s="1" t="n"/>
    </row>
    <row r="802" ht="15.75" customHeight="1" s="143">
      <c r="B802" s="1" t="n"/>
      <c r="C802" s="1" t="n"/>
      <c r="D802" s="1" t="n"/>
      <c r="E802" s="1" t="n"/>
      <c r="F802" s="1" t="n"/>
      <c r="H802" s="1" t="n"/>
      <c r="I802" s="1" t="n"/>
      <c r="J802" s="1" t="n"/>
      <c r="K802" s="1" t="n"/>
      <c r="L802" s="1" t="n"/>
      <c r="N802" s="1" t="n"/>
      <c r="O802" s="1" t="n"/>
      <c r="P802" s="1" t="n"/>
      <c r="Q802" s="1" t="n"/>
      <c r="R802" s="1" t="n"/>
    </row>
    <row r="803" ht="15.75" customHeight="1" s="143">
      <c r="B803" s="1" t="n"/>
      <c r="C803" s="1" t="n"/>
      <c r="D803" s="1" t="n"/>
      <c r="E803" s="1" t="n"/>
      <c r="F803" s="1" t="n"/>
      <c r="H803" s="1" t="n"/>
      <c r="I803" s="1" t="n"/>
      <c r="J803" s="1" t="n"/>
      <c r="K803" s="1" t="n"/>
      <c r="L803" s="1" t="n"/>
      <c r="N803" s="1" t="n"/>
      <c r="O803" s="1" t="n"/>
      <c r="P803" s="1" t="n"/>
      <c r="Q803" s="1" t="n"/>
      <c r="R803" s="1" t="n"/>
    </row>
    <row r="804" ht="15.75" customHeight="1" s="143">
      <c r="B804" s="1" t="n"/>
      <c r="C804" s="1" t="n"/>
      <c r="D804" s="1" t="n"/>
      <c r="E804" s="1" t="n"/>
      <c r="F804" s="1" t="n"/>
      <c r="H804" s="1" t="n"/>
      <c r="I804" s="1" t="n"/>
      <c r="J804" s="1" t="n"/>
      <c r="K804" s="1" t="n"/>
      <c r="L804" s="1" t="n"/>
      <c r="N804" s="1" t="n"/>
      <c r="O804" s="1" t="n"/>
      <c r="P804" s="1" t="n"/>
      <c r="Q804" s="1" t="n"/>
      <c r="R804" s="1" t="n"/>
    </row>
    <row r="805" ht="15.75" customHeight="1" s="143">
      <c r="B805" s="1" t="n"/>
      <c r="C805" s="1" t="n"/>
      <c r="D805" s="1" t="n"/>
      <c r="E805" s="1" t="n"/>
      <c r="F805" s="1" t="n"/>
      <c r="H805" s="1" t="n"/>
      <c r="I805" s="1" t="n"/>
      <c r="J805" s="1" t="n"/>
      <c r="K805" s="1" t="n"/>
      <c r="L805" s="1" t="n"/>
      <c r="N805" s="1" t="n"/>
      <c r="O805" s="1" t="n"/>
      <c r="P805" s="1" t="n"/>
      <c r="Q805" s="1" t="n"/>
      <c r="R805" s="1" t="n"/>
    </row>
    <row r="806" ht="15.75" customHeight="1" s="143">
      <c r="B806" s="1" t="n"/>
      <c r="C806" s="1" t="n"/>
      <c r="D806" s="1" t="n"/>
      <c r="E806" s="1" t="n"/>
      <c r="F806" s="1" t="n"/>
      <c r="H806" s="1" t="n"/>
      <c r="I806" s="1" t="n"/>
      <c r="J806" s="1" t="n"/>
      <c r="K806" s="1" t="n"/>
      <c r="L806" s="1" t="n"/>
      <c r="N806" s="1" t="n"/>
      <c r="O806" s="1" t="n"/>
      <c r="P806" s="1" t="n"/>
      <c r="Q806" s="1" t="n"/>
      <c r="R806" s="1" t="n"/>
    </row>
    <row r="807" ht="15.75" customHeight="1" s="143">
      <c r="B807" s="1" t="n"/>
      <c r="C807" s="1" t="n"/>
      <c r="D807" s="1" t="n"/>
      <c r="E807" s="1" t="n"/>
      <c r="F807" s="1" t="n"/>
      <c r="H807" s="1" t="n"/>
      <c r="I807" s="1" t="n"/>
      <c r="J807" s="1" t="n"/>
      <c r="K807" s="1" t="n"/>
      <c r="L807" s="1" t="n"/>
      <c r="N807" s="1" t="n"/>
      <c r="O807" s="1" t="n"/>
      <c r="P807" s="1" t="n"/>
      <c r="Q807" s="1" t="n"/>
      <c r="R807" s="1" t="n"/>
    </row>
    <row r="808" ht="15.75" customHeight="1" s="143">
      <c r="B808" s="1" t="n"/>
      <c r="C808" s="1" t="n"/>
      <c r="D808" s="1" t="n"/>
      <c r="E808" s="1" t="n"/>
      <c r="F808" s="1" t="n"/>
      <c r="H808" s="1" t="n"/>
      <c r="I808" s="1" t="n"/>
      <c r="J808" s="1" t="n"/>
      <c r="K808" s="1" t="n"/>
      <c r="L808" s="1" t="n"/>
      <c r="N808" s="1" t="n"/>
      <c r="O808" s="1" t="n"/>
      <c r="P808" s="1" t="n"/>
      <c r="Q808" s="1" t="n"/>
      <c r="R808" s="1" t="n"/>
    </row>
    <row r="809" ht="15.75" customHeight="1" s="143">
      <c r="B809" s="1" t="n"/>
      <c r="C809" s="1" t="n"/>
      <c r="D809" s="1" t="n"/>
      <c r="E809" s="1" t="n"/>
      <c r="F809" s="1" t="n"/>
      <c r="H809" s="1" t="n"/>
      <c r="I809" s="1" t="n"/>
      <c r="J809" s="1" t="n"/>
      <c r="K809" s="1" t="n"/>
      <c r="L809" s="1" t="n"/>
      <c r="N809" s="1" t="n"/>
      <c r="O809" s="1" t="n"/>
      <c r="P809" s="1" t="n"/>
      <c r="Q809" s="1" t="n"/>
      <c r="R809" s="1" t="n"/>
    </row>
    <row r="810" ht="15.75" customHeight="1" s="143">
      <c r="B810" s="1" t="n"/>
      <c r="C810" s="1" t="n"/>
      <c r="D810" s="1" t="n"/>
      <c r="E810" s="1" t="n"/>
      <c r="F810" s="1" t="n"/>
      <c r="H810" s="1" t="n"/>
      <c r="I810" s="1" t="n"/>
      <c r="J810" s="1" t="n"/>
      <c r="K810" s="1" t="n"/>
      <c r="L810" s="1" t="n"/>
      <c r="N810" s="1" t="n"/>
      <c r="O810" s="1" t="n"/>
      <c r="P810" s="1" t="n"/>
      <c r="Q810" s="1" t="n"/>
      <c r="R810" s="1" t="n"/>
    </row>
    <row r="811" ht="15.75" customHeight="1" s="143">
      <c r="B811" s="1" t="n"/>
      <c r="C811" s="1" t="n"/>
      <c r="D811" s="1" t="n"/>
      <c r="E811" s="1" t="n"/>
      <c r="F811" s="1" t="n"/>
      <c r="H811" s="1" t="n"/>
      <c r="I811" s="1" t="n"/>
      <c r="J811" s="1" t="n"/>
      <c r="K811" s="1" t="n"/>
      <c r="L811" s="1" t="n"/>
      <c r="N811" s="1" t="n"/>
      <c r="O811" s="1" t="n"/>
      <c r="P811" s="1" t="n"/>
      <c r="Q811" s="1" t="n"/>
      <c r="R811" s="1" t="n"/>
    </row>
    <row r="812" ht="15.75" customHeight="1" s="143">
      <c r="B812" s="1" t="n"/>
      <c r="C812" s="1" t="n"/>
      <c r="D812" s="1" t="n"/>
      <c r="E812" s="1" t="n"/>
      <c r="F812" s="1" t="n"/>
      <c r="H812" s="1" t="n"/>
      <c r="I812" s="1" t="n"/>
      <c r="J812" s="1" t="n"/>
      <c r="K812" s="1" t="n"/>
      <c r="L812" s="1" t="n"/>
      <c r="N812" s="1" t="n"/>
      <c r="O812" s="1" t="n"/>
      <c r="P812" s="1" t="n"/>
      <c r="Q812" s="1" t="n"/>
      <c r="R812" s="1" t="n"/>
    </row>
    <row r="813" ht="15.75" customHeight="1" s="143">
      <c r="B813" s="1" t="n"/>
      <c r="C813" s="1" t="n"/>
      <c r="D813" s="1" t="n"/>
      <c r="E813" s="1" t="n"/>
      <c r="F813" s="1" t="n"/>
      <c r="H813" s="1" t="n"/>
      <c r="I813" s="1" t="n"/>
      <c r="J813" s="1" t="n"/>
      <c r="K813" s="1" t="n"/>
      <c r="L813" s="1" t="n"/>
      <c r="N813" s="1" t="n"/>
      <c r="O813" s="1" t="n"/>
      <c r="P813" s="1" t="n"/>
      <c r="Q813" s="1" t="n"/>
      <c r="R813" s="1" t="n"/>
    </row>
    <row r="814" ht="15.75" customHeight="1" s="143">
      <c r="B814" s="1" t="n"/>
      <c r="C814" s="1" t="n"/>
      <c r="D814" s="1" t="n"/>
      <c r="E814" s="1" t="n"/>
      <c r="F814" s="1" t="n"/>
      <c r="H814" s="1" t="n"/>
      <c r="I814" s="1" t="n"/>
      <c r="J814" s="1" t="n"/>
      <c r="K814" s="1" t="n"/>
      <c r="L814" s="1" t="n"/>
      <c r="N814" s="1" t="n"/>
      <c r="O814" s="1" t="n"/>
      <c r="P814" s="1" t="n"/>
      <c r="Q814" s="1" t="n"/>
      <c r="R814" s="1" t="n"/>
    </row>
    <row r="815" ht="15.75" customHeight="1" s="143">
      <c r="B815" s="1" t="n"/>
      <c r="C815" s="1" t="n"/>
      <c r="D815" s="1" t="n"/>
      <c r="E815" s="1" t="n"/>
      <c r="F815" s="1" t="n"/>
      <c r="H815" s="1" t="n"/>
      <c r="I815" s="1" t="n"/>
      <c r="J815" s="1" t="n"/>
      <c r="K815" s="1" t="n"/>
      <c r="L815" s="1" t="n"/>
      <c r="N815" s="1" t="n"/>
      <c r="O815" s="1" t="n"/>
      <c r="P815" s="1" t="n"/>
      <c r="Q815" s="1" t="n"/>
      <c r="R815" s="1" t="n"/>
    </row>
    <row r="816" ht="15.75" customHeight="1" s="143">
      <c r="B816" s="1" t="n"/>
      <c r="C816" s="1" t="n"/>
      <c r="D816" s="1" t="n"/>
      <c r="E816" s="1" t="n"/>
      <c r="F816" s="1" t="n"/>
      <c r="H816" s="1" t="n"/>
      <c r="I816" s="1" t="n"/>
      <c r="J816" s="1" t="n"/>
      <c r="K816" s="1" t="n"/>
      <c r="L816" s="1" t="n"/>
      <c r="N816" s="1" t="n"/>
      <c r="O816" s="1" t="n"/>
      <c r="P816" s="1" t="n"/>
      <c r="Q816" s="1" t="n"/>
      <c r="R816" s="1" t="n"/>
    </row>
    <row r="817" ht="15.75" customHeight="1" s="143">
      <c r="B817" s="1" t="n"/>
      <c r="C817" s="1" t="n"/>
      <c r="D817" s="1" t="n"/>
      <c r="E817" s="1" t="n"/>
      <c r="F817" s="1" t="n"/>
      <c r="H817" s="1" t="n"/>
      <c r="I817" s="1" t="n"/>
      <c r="J817" s="1" t="n"/>
      <c r="K817" s="1" t="n"/>
      <c r="L817" s="1" t="n"/>
      <c r="N817" s="1" t="n"/>
      <c r="O817" s="1" t="n"/>
      <c r="P817" s="1" t="n"/>
      <c r="Q817" s="1" t="n"/>
      <c r="R817" s="1" t="n"/>
    </row>
    <row r="818" ht="15.75" customHeight="1" s="143">
      <c r="B818" s="1" t="n"/>
      <c r="C818" s="1" t="n"/>
      <c r="D818" s="1" t="n"/>
      <c r="E818" s="1" t="n"/>
      <c r="F818" s="1" t="n"/>
      <c r="H818" s="1" t="n"/>
      <c r="I818" s="1" t="n"/>
      <c r="J818" s="1" t="n"/>
      <c r="K818" s="1" t="n"/>
      <c r="L818" s="1" t="n"/>
      <c r="N818" s="1" t="n"/>
      <c r="O818" s="1" t="n"/>
      <c r="P818" s="1" t="n"/>
      <c r="Q818" s="1" t="n"/>
      <c r="R818" s="1" t="n"/>
    </row>
    <row r="819" ht="15.75" customHeight="1" s="143">
      <c r="B819" s="1" t="n"/>
      <c r="C819" s="1" t="n"/>
      <c r="D819" s="1" t="n"/>
      <c r="E819" s="1" t="n"/>
      <c r="F819" s="1" t="n"/>
      <c r="H819" s="1" t="n"/>
      <c r="I819" s="1" t="n"/>
      <c r="J819" s="1" t="n"/>
      <c r="K819" s="1" t="n"/>
      <c r="L819" s="1" t="n"/>
      <c r="N819" s="1" t="n"/>
      <c r="O819" s="1" t="n"/>
      <c r="P819" s="1" t="n"/>
      <c r="Q819" s="1" t="n"/>
      <c r="R819" s="1" t="n"/>
    </row>
    <row r="820" ht="15.75" customHeight="1" s="143">
      <c r="B820" s="1" t="n"/>
      <c r="C820" s="1" t="n"/>
      <c r="D820" s="1" t="n"/>
      <c r="E820" s="1" t="n"/>
      <c r="F820" s="1" t="n"/>
      <c r="H820" s="1" t="n"/>
      <c r="I820" s="1" t="n"/>
      <c r="J820" s="1" t="n"/>
      <c r="K820" s="1" t="n"/>
      <c r="L820" s="1" t="n"/>
      <c r="N820" s="1" t="n"/>
      <c r="O820" s="1" t="n"/>
      <c r="P820" s="1" t="n"/>
      <c r="Q820" s="1" t="n"/>
      <c r="R820" s="1" t="n"/>
    </row>
    <row r="821" ht="15.75" customHeight="1" s="143">
      <c r="B821" s="1" t="n"/>
      <c r="C821" s="1" t="n"/>
      <c r="D821" s="1" t="n"/>
      <c r="E821" s="1" t="n"/>
      <c r="F821" s="1" t="n"/>
      <c r="H821" s="1" t="n"/>
      <c r="I821" s="1" t="n"/>
      <c r="J821" s="1" t="n"/>
      <c r="K821" s="1" t="n"/>
      <c r="L821" s="1" t="n"/>
      <c r="N821" s="1" t="n"/>
      <c r="O821" s="1" t="n"/>
      <c r="P821" s="1" t="n"/>
      <c r="Q821" s="1" t="n"/>
      <c r="R821" s="1" t="n"/>
    </row>
    <row r="822" ht="15.75" customHeight="1" s="143">
      <c r="B822" s="1" t="n"/>
      <c r="C822" s="1" t="n"/>
      <c r="D822" s="1" t="n"/>
      <c r="E822" s="1" t="n"/>
      <c r="F822" s="1" t="n"/>
      <c r="H822" s="1" t="n"/>
      <c r="I822" s="1" t="n"/>
      <c r="J822" s="1" t="n"/>
      <c r="K822" s="1" t="n"/>
      <c r="L822" s="1" t="n"/>
      <c r="N822" s="1" t="n"/>
      <c r="O822" s="1" t="n"/>
      <c r="P822" s="1" t="n"/>
      <c r="Q822" s="1" t="n"/>
      <c r="R822" s="1" t="n"/>
    </row>
    <row r="823" ht="15.75" customHeight="1" s="143">
      <c r="B823" s="1" t="n"/>
      <c r="C823" s="1" t="n"/>
      <c r="D823" s="1" t="n"/>
      <c r="E823" s="1" t="n"/>
      <c r="F823" s="1" t="n"/>
      <c r="H823" s="1" t="n"/>
      <c r="I823" s="1" t="n"/>
      <c r="J823" s="1" t="n"/>
      <c r="K823" s="1" t="n"/>
      <c r="L823" s="1" t="n"/>
      <c r="N823" s="1" t="n"/>
      <c r="O823" s="1" t="n"/>
      <c r="P823" s="1" t="n"/>
      <c r="Q823" s="1" t="n"/>
      <c r="R823" s="1" t="n"/>
    </row>
    <row r="824" ht="15.75" customHeight="1" s="143">
      <c r="B824" s="1" t="n"/>
      <c r="C824" s="1" t="n"/>
      <c r="D824" s="1" t="n"/>
      <c r="E824" s="1" t="n"/>
      <c r="F824" s="1" t="n"/>
      <c r="H824" s="1" t="n"/>
      <c r="I824" s="1" t="n"/>
      <c r="J824" s="1" t="n"/>
      <c r="K824" s="1" t="n"/>
      <c r="L824" s="1" t="n"/>
      <c r="N824" s="1" t="n"/>
      <c r="O824" s="1" t="n"/>
      <c r="P824" s="1" t="n"/>
      <c r="Q824" s="1" t="n"/>
      <c r="R824" s="1" t="n"/>
    </row>
    <row r="825" ht="15.75" customHeight="1" s="143">
      <c r="B825" s="1" t="n"/>
      <c r="C825" s="1" t="n"/>
      <c r="D825" s="1" t="n"/>
      <c r="E825" s="1" t="n"/>
      <c r="F825" s="1" t="n"/>
      <c r="H825" s="1" t="n"/>
      <c r="I825" s="1" t="n"/>
      <c r="J825" s="1" t="n"/>
      <c r="K825" s="1" t="n"/>
      <c r="L825" s="1" t="n"/>
      <c r="N825" s="1" t="n"/>
      <c r="O825" s="1" t="n"/>
      <c r="P825" s="1" t="n"/>
      <c r="Q825" s="1" t="n"/>
      <c r="R825" s="1" t="n"/>
    </row>
    <row r="826" ht="15.75" customHeight="1" s="143">
      <c r="B826" s="1" t="n"/>
      <c r="C826" s="1" t="n"/>
      <c r="D826" s="1" t="n"/>
      <c r="E826" s="1" t="n"/>
      <c r="F826" s="1" t="n"/>
      <c r="H826" s="1" t="n"/>
      <c r="I826" s="1" t="n"/>
      <c r="J826" s="1" t="n"/>
      <c r="K826" s="1" t="n"/>
      <c r="L826" s="1" t="n"/>
      <c r="N826" s="1" t="n"/>
      <c r="O826" s="1" t="n"/>
      <c r="P826" s="1" t="n"/>
      <c r="Q826" s="1" t="n"/>
      <c r="R826" s="1" t="n"/>
    </row>
    <row r="827" ht="15.75" customHeight="1" s="143">
      <c r="B827" s="1" t="n"/>
      <c r="C827" s="1" t="n"/>
      <c r="D827" s="1" t="n"/>
      <c r="E827" s="1" t="n"/>
      <c r="F827" s="1" t="n"/>
      <c r="H827" s="1" t="n"/>
      <c r="I827" s="1" t="n"/>
      <c r="J827" s="1" t="n"/>
      <c r="K827" s="1" t="n"/>
      <c r="L827" s="1" t="n"/>
      <c r="N827" s="1" t="n"/>
      <c r="O827" s="1" t="n"/>
      <c r="P827" s="1" t="n"/>
      <c r="Q827" s="1" t="n"/>
      <c r="R827" s="1" t="n"/>
    </row>
    <row r="828" ht="15.75" customHeight="1" s="143">
      <c r="B828" s="1" t="n"/>
      <c r="C828" s="1" t="n"/>
      <c r="D828" s="1" t="n"/>
      <c r="E828" s="1" t="n"/>
      <c r="F828" s="1" t="n"/>
      <c r="H828" s="1" t="n"/>
      <c r="I828" s="1" t="n"/>
      <c r="J828" s="1" t="n"/>
      <c r="K828" s="1" t="n"/>
      <c r="L828" s="1" t="n"/>
      <c r="N828" s="1" t="n"/>
      <c r="O828" s="1" t="n"/>
      <c r="P828" s="1" t="n"/>
      <c r="Q828" s="1" t="n"/>
      <c r="R828" s="1" t="n"/>
    </row>
    <row r="829" ht="15.75" customHeight="1" s="143">
      <c r="B829" s="1" t="n"/>
      <c r="C829" s="1" t="n"/>
      <c r="D829" s="1" t="n"/>
      <c r="E829" s="1" t="n"/>
      <c r="F829" s="1" t="n"/>
      <c r="H829" s="1" t="n"/>
      <c r="I829" s="1" t="n"/>
      <c r="J829" s="1" t="n"/>
      <c r="K829" s="1" t="n"/>
      <c r="L829" s="1" t="n"/>
      <c r="N829" s="1" t="n"/>
      <c r="O829" s="1" t="n"/>
      <c r="P829" s="1" t="n"/>
      <c r="Q829" s="1" t="n"/>
      <c r="R829" s="1" t="n"/>
    </row>
    <row r="830" ht="15.75" customHeight="1" s="143">
      <c r="B830" s="1" t="n"/>
      <c r="C830" s="1" t="n"/>
      <c r="D830" s="1" t="n"/>
      <c r="E830" s="1" t="n"/>
      <c r="F830" s="1" t="n"/>
      <c r="H830" s="1" t="n"/>
      <c r="I830" s="1" t="n"/>
      <c r="J830" s="1" t="n"/>
      <c r="K830" s="1" t="n"/>
      <c r="L830" s="1" t="n"/>
      <c r="N830" s="1" t="n"/>
      <c r="O830" s="1" t="n"/>
      <c r="P830" s="1" t="n"/>
      <c r="Q830" s="1" t="n"/>
      <c r="R830" s="1" t="n"/>
    </row>
    <row r="831" ht="15.75" customHeight="1" s="143">
      <c r="B831" s="1" t="n"/>
      <c r="C831" s="1" t="n"/>
      <c r="D831" s="1" t="n"/>
      <c r="E831" s="1" t="n"/>
      <c r="F831" s="1" t="n"/>
      <c r="H831" s="1" t="n"/>
      <c r="I831" s="1" t="n"/>
      <c r="J831" s="1" t="n"/>
      <c r="K831" s="1" t="n"/>
      <c r="L831" s="1" t="n"/>
      <c r="N831" s="1" t="n"/>
      <c r="O831" s="1" t="n"/>
      <c r="P831" s="1" t="n"/>
      <c r="Q831" s="1" t="n"/>
      <c r="R831" s="1" t="n"/>
    </row>
    <row r="832" ht="15.75" customHeight="1" s="143">
      <c r="B832" s="1" t="n"/>
      <c r="C832" s="1" t="n"/>
      <c r="D832" s="1" t="n"/>
      <c r="E832" s="1" t="n"/>
      <c r="F832" s="1" t="n"/>
      <c r="H832" s="1" t="n"/>
      <c r="I832" s="1" t="n"/>
      <c r="J832" s="1" t="n"/>
      <c r="K832" s="1" t="n"/>
      <c r="L832" s="1" t="n"/>
      <c r="N832" s="1" t="n"/>
      <c r="O832" s="1" t="n"/>
      <c r="P832" s="1" t="n"/>
      <c r="Q832" s="1" t="n"/>
      <c r="R832" s="1" t="n"/>
    </row>
    <row r="833" ht="15.75" customHeight="1" s="143">
      <c r="B833" s="1" t="n"/>
      <c r="C833" s="1" t="n"/>
      <c r="D833" s="1" t="n"/>
      <c r="E833" s="1" t="n"/>
      <c r="F833" s="1" t="n"/>
      <c r="H833" s="1" t="n"/>
      <c r="I833" s="1" t="n"/>
      <c r="J833" s="1" t="n"/>
      <c r="K833" s="1" t="n"/>
      <c r="L833" s="1" t="n"/>
      <c r="N833" s="1" t="n"/>
      <c r="O833" s="1" t="n"/>
      <c r="P833" s="1" t="n"/>
      <c r="Q833" s="1" t="n"/>
      <c r="R833" s="1" t="n"/>
    </row>
    <row r="834" ht="15.75" customHeight="1" s="143">
      <c r="B834" s="1" t="n"/>
      <c r="C834" s="1" t="n"/>
      <c r="D834" s="1" t="n"/>
      <c r="E834" s="1" t="n"/>
      <c r="F834" s="1" t="n"/>
      <c r="H834" s="1" t="n"/>
      <c r="I834" s="1" t="n"/>
      <c r="J834" s="1" t="n"/>
      <c r="K834" s="1" t="n"/>
      <c r="L834" s="1" t="n"/>
      <c r="N834" s="1" t="n"/>
      <c r="O834" s="1" t="n"/>
      <c r="P834" s="1" t="n"/>
      <c r="Q834" s="1" t="n"/>
      <c r="R834" s="1" t="n"/>
    </row>
    <row r="835" ht="15.75" customHeight="1" s="143">
      <c r="B835" s="1" t="n"/>
      <c r="C835" s="1" t="n"/>
      <c r="D835" s="1" t="n"/>
      <c r="E835" s="1" t="n"/>
      <c r="F835" s="1" t="n"/>
      <c r="H835" s="1" t="n"/>
      <c r="I835" s="1" t="n"/>
      <c r="J835" s="1" t="n"/>
      <c r="K835" s="1" t="n"/>
      <c r="L835" s="1" t="n"/>
      <c r="N835" s="1" t="n"/>
      <c r="O835" s="1" t="n"/>
      <c r="P835" s="1" t="n"/>
      <c r="Q835" s="1" t="n"/>
      <c r="R835" s="1" t="n"/>
    </row>
    <row r="836" ht="15.75" customHeight="1" s="143">
      <c r="B836" s="1" t="n"/>
      <c r="C836" s="1" t="n"/>
      <c r="D836" s="1" t="n"/>
      <c r="E836" s="1" t="n"/>
      <c r="F836" s="1" t="n"/>
      <c r="H836" s="1" t="n"/>
      <c r="I836" s="1" t="n"/>
      <c r="J836" s="1" t="n"/>
      <c r="K836" s="1" t="n"/>
      <c r="L836" s="1" t="n"/>
      <c r="N836" s="1" t="n"/>
      <c r="O836" s="1" t="n"/>
      <c r="P836" s="1" t="n"/>
      <c r="Q836" s="1" t="n"/>
      <c r="R836" s="1" t="n"/>
    </row>
    <row r="837" ht="15.75" customHeight="1" s="143">
      <c r="B837" s="1" t="n"/>
      <c r="C837" s="1" t="n"/>
      <c r="D837" s="1" t="n"/>
      <c r="E837" s="1" t="n"/>
      <c r="F837" s="1" t="n"/>
      <c r="H837" s="1" t="n"/>
      <c r="I837" s="1" t="n"/>
      <c r="J837" s="1" t="n"/>
      <c r="K837" s="1" t="n"/>
      <c r="L837" s="1" t="n"/>
      <c r="N837" s="1" t="n"/>
      <c r="O837" s="1" t="n"/>
      <c r="P837" s="1" t="n"/>
      <c r="Q837" s="1" t="n"/>
      <c r="R837" s="1" t="n"/>
    </row>
    <row r="838" ht="15.75" customHeight="1" s="143">
      <c r="B838" s="1" t="n"/>
      <c r="C838" s="1" t="n"/>
      <c r="D838" s="1" t="n"/>
      <c r="E838" s="1" t="n"/>
      <c r="F838" s="1" t="n"/>
      <c r="H838" s="1" t="n"/>
      <c r="I838" s="1" t="n"/>
      <c r="J838" s="1" t="n"/>
      <c r="K838" s="1" t="n"/>
      <c r="L838" s="1" t="n"/>
      <c r="N838" s="1" t="n"/>
      <c r="O838" s="1" t="n"/>
      <c r="P838" s="1" t="n"/>
      <c r="Q838" s="1" t="n"/>
      <c r="R838" s="1" t="n"/>
    </row>
    <row r="839" ht="15.75" customHeight="1" s="143">
      <c r="B839" s="1" t="n"/>
      <c r="C839" s="1" t="n"/>
      <c r="D839" s="1" t="n"/>
      <c r="E839" s="1" t="n"/>
      <c r="F839" s="1" t="n"/>
      <c r="H839" s="1" t="n"/>
      <c r="I839" s="1" t="n"/>
      <c r="J839" s="1" t="n"/>
      <c r="K839" s="1" t="n"/>
      <c r="L839" s="1" t="n"/>
      <c r="N839" s="1" t="n"/>
      <c r="O839" s="1" t="n"/>
      <c r="P839" s="1" t="n"/>
      <c r="Q839" s="1" t="n"/>
      <c r="R839" s="1" t="n"/>
    </row>
    <row r="840" ht="15.75" customHeight="1" s="143">
      <c r="B840" s="1" t="n"/>
      <c r="C840" s="1" t="n"/>
      <c r="D840" s="1" t="n"/>
      <c r="E840" s="1" t="n"/>
      <c r="F840" s="1" t="n"/>
      <c r="H840" s="1" t="n"/>
      <c r="I840" s="1" t="n"/>
      <c r="J840" s="1" t="n"/>
      <c r="K840" s="1" t="n"/>
      <c r="L840" s="1" t="n"/>
      <c r="N840" s="1" t="n"/>
      <c r="O840" s="1" t="n"/>
      <c r="P840" s="1" t="n"/>
      <c r="Q840" s="1" t="n"/>
      <c r="R840" s="1" t="n"/>
    </row>
    <row r="841" ht="15.75" customHeight="1" s="143">
      <c r="B841" s="1" t="n"/>
      <c r="C841" s="1" t="n"/>
      <c r="D841" s="1" t="n"/>
      <c r="E841" s="1" t="n"/>
      <c r="F841" s="1" t="n"/>
      <c r="H841" s="1" t="n"/>
      <c r="I841" s="1" t="n"/>
      <c r="J841" s="1" t="n"/>
      <c r="K841" s="1" t="n"/>
      <c r="L841" s="1" t="n"/>
      <c r="N841" s="1" t="n"/>
      <c r="O841" s="1" t="n"/>
      <c r="P841" s="1" t="n"/>
      <c r="Q841" s="1" t="n"/>
      <c r="R841" s="1" t="n"/>
    </row>
    <row r="842" ht="15.75" customHeight="1" s="143">
      <c r="B842" s="1" t="n"/>
      <c r="C842" s="1" t="n"/>
      <c r="D842" s="1" t="n"/>
      <c r="E842" s="1" t="n"/>
      <c r="F842" s="1" t="n"/>
      <c r="H842" s="1" t="n"/>
      <c r="I842" s="1" t="n"/>
      <c r="J842" s="1" t="n"/>
      <c r="K842" s="1" t="n"/>
      <c r="L842" s="1" t="n"/>
      <c r="N842" s="1" t="n"/>
      <c r="O842" s="1" t="n"/>
      <c r="P842" s="1" t="n"/>
      <c r="Q842" s="1" t="n"/>
      <c r="R842" s="1" t="n"/>
    </row>
    <row r="843" ht="15.75" customHeight="1" s="143">
      <c r="B843" s="1" t="n"/>
      <c r="C843" s="1" t="n"/>
      <c r="D843" s="1" t="n"/>
      <c r="E843" s="1" t="n"/>
      <c r="F843" s="1" t="n"/>
      <c r="H843" s="1" t="n"/>
      <c r="I843" s="1" t="n"/>
      <c r="J843" s="1" t="n"/>
      <c r="K843" s="1" t="n"/>
      <c r="L843" s="1" t="n"/>
      <c r="N843" s="1" t="n"/>
      <c r="O843" s="1" t="n"/>
      <c r="P843" s="1" t="n"/>
      <c r="Q843" s="1" t="n"/>
      <c r="R843" s="1" t="n"/>
    </row>
    <row r="844" ht="15.75" customHeight="1" s="143">
      <c r="B844" s="1" t="n"/>
      <c r="C844" s="1" t="n"/>
      <c r="D844" s="1" t="n"/>
      <c r="E844" s="1" t="n"/>
      <c r="F844" s="1" t="n"/>
      <c r="H844" s="1" t="n"/>
      <c r="I844" s="1" t="n"/>
      <c r="J844" s="1" t="n"/>
      <c r="K844" s="1" t="n"/>
      <c r="L844" s="1" t="n"/>
      <c r="N844" s="1" t="n"/>
      <c r="O844" s="1" t="n"/>
      <c r="P844" s="1" t="n"/>
      <c r="Q844" s="1" t="n"/>
      <c r="R844" s="1" t="n"/>
    </row>
    <row r="845" ht="15.75" customHeight="1" s="143">
      <c r="B845" s="1" t="n"/>
      <c r="C845" s="1" t="n"/>
      <c r="D845" s="1" t="n"/>
      <c r="E845" s="1" t="n"/>
      <c r="F845" s="1" t="n"/>
      <c r="H845" s="1" t="n"/>
      <c r="I845" s="1" t="n"/>
      <c r="J845" s="1" t="n"/>
      <c r="K845" s="1" t="n"/>
      <c r="L845" s="1" t="n"/>
      <c r="N845" s="1" t="n"/>
      <c r="O845" s="1" t="n"/>
      <c r="P845" s="1" t="n"/>
      <c r="Q845" s="1" t="n"/>
      <c r="R845" s="1" t="n"/>
    </row>
    <row r="846" ht="15.75" customHeight="1" s="143">
      <c r="B846" s="1" t="n"/>
      <c r="C846" s="1" t="n"/>
      <c r="D846" s="1" t="n"/>
      <c r="E846" s="1" t="n"/>
      <c r="F846" s="1" t="n"/>
      <c r="H846" s="1" t="n"/>
      <c r="I846" s="1" t="n"/>
      <c r="J846" s="1" t="n"/>
      <c r="K846" s="1" t="n"/>
      <c r="L846" s="1" t="n"/>
      <c r="N846" s="1" t="n"/>
      <c r="O846" s="1" t="n"/>
      <c r="P846" s="1" t="n"/>
      <c r="Q846" s="1" t="n"/>
      <c r="R846" s="1" t="n"/>
    </row>
    <row r="847" ht="15.75" customHeight="1" s="143">
      <c r="B847" s="1" t="n"/>
      <c r="C847" s="1" t="n"/>
      <c r="D847" s="1" t="n"/>
      <c r="E847" s="1" t="n"/>
      <c r="F847" s="1" t="n"/>
      <c r="H847" s="1" t="n"/>
      <c r="I847" s="1" t="n"/>
      <c r="J847" s="1" t="n"/>
      <c r="K847" s="1" t="n"/>
      <c r="L847" s="1" t="n"/>
      <c r="N847" s="1" t="n"/>
      <c r="O847" s="1" t="n"/>
      <c r="P847" s="1" t="n"/>
      <c r="Q847" s="1" t="n"/>
      <c r="R847" s="1" t="n"/>
    </row>
    <row r="848" ht="15.75" customHeight="1" s="143">
      <c r="B848" s="1" t="n"/>
      <c r="C848" s="1" t="n"/>
      <c r="D848" s="1" t="n"/>
      <c r="E848" s="1" t="n"/>
      <c r="F848" s="1" t="n"/>
      <c r="H848" s="1" t="n"/>
      <c r="I848" s="1" t="n"/>
      <c r="J848" s="1" t="n"/>
      <c r="K848" s="1" t="n"/>
      <c r="L848" s="1" t="n"/>
      <c r="N848" s="1" t="n"/>
      <c r="O848" s="1" t="n"/>
      <c r="P848" s="1" t="n"/>
      <c r="Q848" s="1" t="n"/>
      <c r="R848" s="1" t="n"/>
    </row>
    <row r="849" ht="15.75" customHeight="1" s="143">
      <c r="B849" s="1" t="n"/>
      <c r="C849" s="1" t="n"/>
      <c r="D849" s="1" t="n"/>
      <c r="E849" s="1" t="n"/>
      <c r="F849" s="1" t="n"/>
      <c r="H849" s="1" t="n"/>
      <c r="I849" s="1" t="n"/>
      <c r="J849" s="1" t="n"/>
      <c r="K849" s="1" t="n"/>
      <c r="L849" s="1" t="n"/>
      <c r="N849" s="1" t="n"/>
      <c r="O849" s="1" t="n"/>
      <c r="P849" s="1" t="n"/>
      <c r="Q849" s="1" t="n"/>
      <c r="R849" s="1" t="n"/>
    </row>
    <row r="850" ht="15.75" customHeight="1" s="143">
      <c r="B850" s="1" t="n"/>
      <c r="C850" s="1" t="n"/>
      <c r="D850" s="1" t="n"/>
      <c r="E850" s="1" t="n"/>
      <c r="F850" s="1" t="n"/>
      <c r="H850" s="1" t="n"/>
      <c r="I850" s="1" t="n"/>
      <c r="J850" s="1" t="n"/>
      <c r="K850" s="1" t="n"/>
      <c r="L850" s="1" t="n"/>
      <c r="N850" s="1" t="n"/>
      <c r="O850" s="1" t="n"/>
      <c r="P850" s="1" t="n"/>
      <c r="Q850" s="1" t="n"/>
      <c r="R850" s="1" t="n"/>
    </row>
    <row r="851" ht="15.75" customHeight="1" s="143">
      <c r="B851" s="1" t="n"/>
      <c r="C851" s="1" t="n"/>
      <c r="D851" s="1" t="n"/>
      <c r="E851" s="1" t="n"/>
      <c r="F851" s="1" t="n"/>
      <c r="H851" s="1" t="n"/>
      <c r="I851" s="1" t="n"/>
      <c r="J851" s="1" t="n"/>
      <c r="K851" s="1" t="n"/>
      <c r="L851" s="1" t="n"/>
      <c r="N851" s="1" t="n"/>
      <c r="O851" s="1" t="n"/>
      <c r="P851" s="1" t="n"/>
      <c r="Q851" s="1" t="n"/>
      <c r="R851" s="1" t="n"/>
    </row>
    <row r="852" ht="15.75" customHeight="1" s="143">
      <c r="B852" s="1" t="n"/>
      <c r="C852" s="1" t="n"/>
      <c r="D852" s="1" t="n"/>
      <c r="E852" s="1" t="n"/>
      <c r="F852" s="1" t="n"/>
      <c r="H852" s="1" t="n"/>
      <c r="I852" s="1" t="n"/>
      <c r="J852" s="1" t="n"/>
      <c r="K852" s="1" t="n"/>
      <c r="L852" s="1" t="n"/>
      <c r="N852" s="1" t="n"/>
      <c r="O852" s="1" t="n"/>
      <c r="P852" s="1" t="n"/>
      <c r="Q852" s="1" t="n"/>
      <c r="R852" s="1" t="n"/>
    </row>
    <row r="853" ht="15.75" customHeight="1" s="143">
      <c r="B853" s="1" t="n"/>
      <c r="C853" s="1" t="n"/>
      <c r="D853" s="1" t="n"/>
      <c r="E853" s="1" t="n"/>
      <c r="F853" s="1" t="n"/>
      <c r="H853" s="1" t="n"/>
      <c r="I853" s="1" t="n"/>
      <c r="J853" s="1" t="n"/>
      <c r="K853" s="1" t="n"/>
      <c r="L853" s="1" t="n"/>
      <c r="N853" s="1" t="n"/>
      <c r="O853" s="1" t="n"/>
      <c r="P853" s="1" t="n"/>
      <c r="Q853" s="1" t="n"/>
      <c r="R853" s="1" t="n"/>
    </row>
    <row r="854" ht="15.75" customHeight="1" s="143">
      <c r="B854" s="1" t="n"/>
      <c r="C854" s="1" t="n"/>
      <c r="D854" s="1" t="n"/>
      <c r="E854" s="1" t="n"/>
      <c r="F854" s="1" t="n"/>
      <c r="H854" s="1" t="n"/>
      <c r="I854" s="1" t="n"/>
      <c r="J854" s="1" t="n"/>
      <c r="K854" s="1" t="n"/>
      <c r="L854" s="1" t="n"/>
      <c r="N854" s="1" t="n"/>
      <c r="O854" s="1" t="n"/>
      <c r="P854" s="1" t="n"/>
      <c r="Q854" s="1" t="n"/>
      <c r="R854" s="1" t="n"/>
    </row>
    <row r="855" ht="15.75" customHeight="1" s="143">
      <c r="B855" s="1" t="n"/>
      <c r="C855" s="1" t="n"/>
      <c r="D855" s="1" t="n"/>
      <c r="E855" s="1" t="n"/>
      <c r="F855" s="1" t="n"/>
      <c r="H855" s="1" t="n"/>
      <c r="I855" s="1" t="n"/>
      <c r="J855" s="1" t="n"/>
      <c r="K855" s="1" t="n"/>
      <c r="L855" s="1" t="n"/>
      <c r="N855" s="1" t="n"/>
      <c r="O855" s="1" t="n"/>
      <c r="P855" s="1" t="n"/>
      <c r="Q855" s="1" t="n"/>
      <c r="R855" s="1" t="n"/>
    </row>
    <row r="856" ht="15.75" customHeight="1" s="143">
      <c r="B856" s="1" t="n"/>
      <c r="C856" s="1" t="n"/>
      <c r="D856" s="1" t="n"/>
      <c r="E856" s="1" t="n"/>
      <c r="F856" s="1" t="n"/>
      <c r="H856" s="1" t="n"/>
      <c r="I856" s="1" t="n"/>
      <c r="J856" s="1" t="n"/>
      <c r="K856" s="1" t="n"/>
      <c r="L856" s="1" t="n"/>
      <c r="N856" s="1" t="n"/>
      <c r="O856" s="1" t="n"/>
      <c r="P856" s="1" t="n"/>
      <c r="Q856" s="1" t="n"/>
      <c r="R856" s="1" t="n"/>
    </row>
    <row r="857" ht="15.75" customHeight="1" s="143">
      <c r="B857" s="1" t="n"/>
      <c r="C857" s="1" t="n"/>
      <c r="D857" s="1" t="n"/>
      <c r="E857" s="1" t="n"/>
      <c r="F857" s="1" t="n"/>
      <c r="H857" s="1" t="n"/>
      <c r="I857" s="1" t="n"/>
      <c r="J857" s="1" t="n"/>
      <c r="K857" s="1" t="n"/>
      <c r="L857" s="1" t="n"/>
      <c r="N857" s="1" t="n"/>
      <c r="O857" s="1" t="n"/>
      <c r="P857" s="1" t="n"/>
      <c r="Q857" s="1" t="n"/>
      <c r="R857" s="1" t="n"/>
    </row>
    <row r="858" ht="15.75" customHeight="1" s="143">
      <c r="B858" s="1" t="n"/>
      <c r="C858" s="1" t="n"/>
      <c r="D858" s="1" t="n"/>
      <c r="E858" s="1" t="n"/>
      <c r="F858" s="1" t="n"/>
      <c r="H858" s="1" t="n"/>
      <c r="I858" s="1" t="n"/>
      <c r="J858" s="1" t="n"/>
      <c r="K858" s="1" t="n"/>
      <c r="L858" s="1" t="n"/>
      <c r="N858" s="1" t="n"/>
      <c r="O858" s="1" t="n"/>
      <c r="P858" s="1" t="n"/>
      <c r="Q858" s="1" t="n"/>
      <c r="R858" s="1" t="n"/>
    </row>
    <row r="859" ht="15.75" customHeight="1" s="143">
      <c r="B859" s="1" t="n"/>
      <c r="C859" s="1" t="n"/>
      <c r="D859" s="1" t="n"/>
      <c r="E859" s="1" t="n"/>
      <c r="F859" s="1" t="n"/>
      <c r="H859" s="1" t="n"/>
      <c r="I859" s="1" t="n"/>
      <c r="J859" s="1" t="n"/>
      <c r="K859" s="1" t="n"/>
      <c r="L859" s="1" t="n"/>
      <c r="N859" s="1" t="n"/>
      <c r="O859" s="1" t="n"/>
      <c r="P859" s="1" t="n"/>
      <c r="Q859" s="1" t="n"/>
      <c r="R859" s="1" t="n"/>
    </row>
    <row r="860" ht="15.75" customHeight="1" s="143">
      <c r="B860" s="1" t="n"/>
      <c r="C860" s="1" t="n"/>
      <c r="D860" s="1" t="n"/>
      <c r="E860" s="1" t="n"/>
      <c r="F860" s="1" t="n"/>
      <c r="H860" s="1" t="n"/>
      <c r="I860" s="1" t="n"/>
      <c r="J860" s="1" t="n"/>
      <c r="K860" s="1" t="n"/>
      <c r="L860" s="1" t="n"/>
      <c r="N860" s="1" t="n"/>
      <c r="O860" s="1" t="n"/>
      <c r="P860" s="1" t="n"/>
      <c r="Q860" s="1" t="n"/>
      <c r="R860" s="1" t="n"/>
    </row>
    <row r="861" ht="15.75" customHeight="1" s="143">
      <c r="B861" s="1" t="n"/>
      <c r="C861" s="1" t="n"/>
      <c r="D861" s="1" t="n"/>
      <c r="E861" s="1" t="n"/>
      <c r="F861" s="1" t="n"/>
      <c r="H861" s="1" t="n"/>
      <c r="I861" s="1" t="n"/>
      <c r="J861" s="1" t="n"/>
      <c r="K861" s="1" t="n"/>
      <c r="L861" s="1" t="n"/>
      <c r="N861" s="1" t="n"/>
      <c r="O861" s="1" t="n"/>
      <c r="P861" s="1" t="n"/>
      <c r="Q861" s="1" t="n"/>
      <c r="R861" s="1" t="n"/>
    </row>
    <row r="862" ht="15.75" customHeight="1" s="143">
      <c r="B862" s="1" t="n"/>
      <c r="C862" s="1" t="n"/>
      <c r="D862" s="1" t="n"/>
      <c r="E862" s="1" t="n"/>
      <c r="F862" s="1" t="n"/>
      <c r="H862" s="1" t="n"/>
      <c r="I862" s="1" t="n"/>
      <c r="J862" s="1" t="n"/>
      <c r="K862" s="1" t="n"/>
      <c r="L862" s="1" t="n"/>
      <c r="N862" s="1" t="n"/>
      <c r="O862" s="1" t="n"/>
      <c r="P862" s="1" t="n"/>
      <c r="Q862" s="1" t="n"/>
      <c r="R862" s="1" t="n"/>
    </row>
    <row r="863" ht="15.75" customHeight="1" s="143">
      <c r="B863" s="1" t="n"/>
      <c r="C863" s="1" t="n"/>
      <c r="D863" s="1" t="n"/>
      <c r="E863" s="1" t="n"/>
      <c r="F863" s="1" t="n"/>
      <c r="H863" s="1" t="n"/>
      <c r="I863" s="1" t="n"/>
      <c r="J863" s="1" t="n"/>
      <c r="K863" s="1" t="n"/>
      <c r="L863" s="1" t="n"/>
      <c r="N863" s="1" t="n"/>
      <c r="O863" s="1" t="n"/>
      <c r="P863" s="1" t="n"/>
      <c r="Q863" s="1" t="n"/>
      <c r="R863" s="1" t="n"/>
    </row>
    <row r="864" ht="15.75" customHeight="1" s="143">
      <c r="B864" s="1" t="n"/>
      <c r="C864" s="1" t="n"/>
      <c r="D864" s="1" t="n"/>
      <c r="E864" s="1" t="n"/>
      <c r="F864" s="1" t="n"/>
      <c r="H864" s="1" t="n"/>
      <c r="I864" s="1" t="n"/>
      <c r="J864" s="1" t="n"/>
      <c r="K864" s="1" t="n"/>
      <c r="L864" s="1" t="n"/>
      <c r="N864" s="1" t="n"/>
      <c r="O864" s="1" t="n"/>
      <c r="P864" s="1" t="n"/>
      <c r="Q864" s="1" t="n"/>
      <c r="R864" s="1" t="n"/>
    </row>
    <row r="865" ht="15.75" customHeight="1" s="143">
      <c r="B865" s="1" t="n"/>
      <c r="C865" s="1" t="n"/>
      <c r="D865" s="1" t="n"/>
      <c r="E865" s="1" t="n"/>
      <c r="F865" s="1" t="n"/>
      <c r="H865" s="1" t="n"/>
      <c r="I865" s="1" t="n"/>
      <c r="J865" s="1" t="n"/>
      <c r="K865" s="1" t="n"/>
      <c r="L865" s="1" t="n"/>
      <c r="N865" s="1" t="n"/>
      <c r="O865" s="1" t="n"/>
      <c r="P865" s="1" t="n"/>
      <c r="Q865" s="1" t="n"/>
      <c r="R865" s="1" t="n"/>
    </row>
    <row r="866" ht="15.75" customHeight="1" s="143">
      <c r="B866" s="1" t="n"/>
      <c r="C866" s="1" t="n"/>
      <c r="D866" s="1" t="n"/>
      <c r="E866" s="1" t="n"/>
      <c r="F866" s="1" t="n"/>
      <c r="H866" s="1" t="n"/>
      <c r="I866" s="1" t="n"/>
      <c r="J866" s="1" t="n"/>
      <c r="K866" s="1" t="n"/>
      <c r="L866" s="1" t="n"/>
      <c r="N866" s="1" t="n"/>
      <c r="O866" s="1" t="n"/>
      <c r="P866" s="1" t="n"/>
      <c r="Q866" s="1" t="n"/>
      <c r="R866" s="1" t="n"/>
    </row>
    <row r="867" ht="15.75" customHeight="1" s="143">
      <c r="B867" s="1" t="n"/>
      <c r="C867" s="1" t="n"/>
      <c r="D867" s="1" t="n"/>
      <c r="E867" s="1" t="n"/>
      <c r="F867" s="1" t="n"/>
      <c r="H867" s="1" t="n"/>
      <c r="I867" s="1" t="n"/>
      <c r="J867" s="1" t="n"/>
      <c r="K867" s="1" t="n"/>
      <c r="L867" s="1" t="n"/>
      <c r="N867" s="1" t="n"/>
      <c r="O867" s="1" t="n"/>
      <c r="P867" s="1" t="n"/>
      <c r="Q867" s="1" t="n"/>
      <c r="R867" s="1" t="n"/>
    </row>
    <row r="868" ht="15.75" customHeight="1" s="143">
      <c r="B868" s="1" t="n"/>
      <c r="C868" s="1" t="n"/>
      <c r="D868" s="1" t="n"/>
      <c r="E868" s="1" t="n"/>
      <c r="F868" s="1" t="n"/>
      <c r="H868" s="1" t="n"/>
      <c r="I868" s="1" t="n"/>
      <c r="J868" s="1" t="n"/>
      <c r="K868" s="1" t="n"/>
      <c r="L868" s="1" t="n"/>
      <c r="N868" s="1" t="n"/>
      <c r="O868" s="1" t="n"/>
      <c r="P868" s="1" t="n"/>
      <c r="Q868" s="1" t="n"/>
      <c r="R868" s="1" t="n"/>
    </row>
    <row r="869" ht="15.75" customHeight="1" s="143">
      <c r="B869" s="1" t="n"/>
      <c r="C869" s="1" t="n"/>
      <c r="D869" s="1" t="n"/>
      <c r="E869" s="1" t="n"/>
      <c r="F869" s="1" t="n"/>
      <c r="H869" s="1" t="n"/>
      <c r="I869" s="1" t="n"/>
      <c r="J869" s="1" t="n"/>
      <c r="K869" s="1" t="n"/>
      <c r="L869" s="1" t="n"/>
      <c r="N869" s="1" t="n"/>
      <c r="O869" s="1" t="n"/>
      <c r="P869" s="1" t="n"/>
      <c r="Q869" s="1" t="n"/>
      <c r="R869" s="1" t="n"/>
    </row>
    <row r="870" ht="15.75" customHeight="1" s="143">
      <c r="B870" s="1" t="n"/>
      <c r="C870" s="1" t="n"/>
      <c r="D870" s="1" t="n"/>
      <c r="E870" s="1" t="n"/>
      <c r="F870" s="1" t="n"/>
      <c r="H870" s="1" t="n"/>
      <c r="I870" s="1" t="n"/>
      <c r="J870" s="1" t="n"/>
      <c r="K870" s="1" t="n"/>
      <c r="L870" s="1" t="n"/>
      <c r="N870" s="1" t="n"/>
      <c r="O870" s="1" t="n"/>
      <c r="P870" s="1" t="n"/>
      <c r="Q870" s="1" t="n"/>
      <c r="R870" s="1" t="n"/>
    </row>
    <row r="871" ht="15.75" customHeight="1" s="143">
      <c r="B871" s="1" t="n"/>
      <c r="C871" s="1" t="n"/>
      <c r="D871" s="1" t="n"/>
      <c r="E871" s="1" t="n"/>
      <c r="F871" s="1" t="n"/>
      <c r="H871" s="1" t="n"/>
      <c r="I871" s="1" t="n"/>
      <c r="J871" s="1" t="n"/>
      <c r="K871" s="1" t="n"/>
      <c r="L871" s="1" t="n"/>
      <c r="N871" s="1" t="n"/>
      <c r="O871" s="1" t="n"/>
      <c r="P871" s="1" t="n"/>
      <c r="Q871" s="1" t="n"/>
      <c r="R871" s="1" t="n"/>
    </row>
    <row r="872" ht="15.75" customHeight="1" s="143">
      <c r="B872" s="1" t="n"/>
      <c r="C872" s="1" t="n"/>
      <c r="D872" s="1" t="n"/>
      <c r="E872" s="1" t="n"/>
      <c r="F872" s="1" t="n"/>
      <c r="H872" s="1" t="n"/>
      <c r="I872" s="1" t="n"/>
      <c r="J872" s="1" t="n"/>
      <c r="K872" s="1" t="n"/>
      <c r="L872" s="1" t="n"/>
      <c r="N872" s="1" t="n"/>
      <c r="O872" s="1" t="n"/>
      <c r="P872" s="1" t="n"/>
      <c r="Q872" s="1" t="n"/>
      <c r="R872" s="1" t="n"/>
    </row>
    <row r="873" ht="15.75" customHeight="1" s="143">
      <c r="B873" s="1" t="n"/>
      <c r="C873" s="1" t="n"/>
      <c r="D873" s="1" t="n"/>
      <c r="E873" s="1" t="n"/>
      <c r="F873" s="1" t="n"/>
      <c r="H873" s="1" t="n"/>
      <c r="I873" s="1" t="n"/>
      <c r="J873" s="1" t="n"/>
      <c r="K873" s="1" t="n"/>
      <c r="L873" s="1" t="n"/>
      <c r="N873" s="1" t="n"/>
      <c r="O873" s="1" t="n"/>
      <c r="P873" s="1" t="n"/>
      <c r="Q873" s="1" t="n"/>
      <c r="R873" s="1" t="n"/>
    </row>
    <row r="874" ht="15.75" customHeight="1" s="143">
      <c r="B874" s="1" t="n"/>
      <c r="C874" s="1" t="n"/>
      <c r="D874" s="1" t="n"/>
      <c r="E874" s="1" t="n"/>
      <c r="F874" s="1" t="n"/>
      <c r="H874" s="1" t="n"/>
      <c r="I874" s="1" t="n"/>
      <c r="J874" s="1" t="n"/>
      <c r="K874" s="1" t="n"/>
      <c r="L874" s="1" t="n"/>
      <c r="N874" s="1" t="n"/>
      <c r="O874" s="1" t="n"/>
      <c r="P874" s="1" t="n"/>
      <c r="Q874" s="1" t="n"/>
      <c r="R874" s="1" t="n"/>
    </row>
    <row r="875" ht="15.75" customHeight="1" s="143">
      <c r="B875" s="1" t="n"/>
      <c r="C875" s="1" t="n"/>
      <c r="D875" s="1" t="n"/>
      <c r="E875" s="1" t="n"/>
      <c r="F875" s="1" t="n"/>
      <c r="H875" s="1" t="n"/>
      <c r="I875" s="1" t="n"/>
      <c r="J875" s="1" t="n"/>
      <c r="K875" s="1" t="n"/>
      <c r="L875" s="1" t="n"/>
      <c r="N875" s="1" t="n"/>
      <c r="O875" s="1" t="n"/>
      <c r="P875" s="1" t="n"/>
      <c r="Q875" s="1" t="n"/>
      <c r="R875" s="1" t="n"/>
    </row>
    <row r="876" ht="15.75" customHeight="1" s="143">
      <c r="B876" s="1" t="n"/>
      <c r="C876" s="1" t="n"/>
      <c r="D876" s="1" t="n"/>
      <c r="E876" s="1" t="n"/>
      <c r="F876" s="1" t="n"/>
      <c r="H876" s="1" t="n"/>
      <c r="I876" s="1" t="n"/>
      <c r="J876" s="1" t="n"/>
      <c r="K876" s="1" t="n"/>
      <c r="L876" s="1" t="n"/>
      <c r="N876" s="1" t="n"/>
      <c r="O876" s="1" t="n"/>
      <c r="P876" s="1" t="n"/>
      <c r="Q876" s="1" t="n"/>
      <c r="R876" s="1" t="n"/>
    </row>
    <row r="877" ht="15.75" customHeight="1" s="143">
      <c r="B877" s="1" t="n"/>
      <c r="C877" s="1" t="n"/>
      <c r="D877" s="1" t="n"/>
      <c r="E877" s="1" t="n"/>
      <c r="F877" s="1" t="n"/>
      <c r="H877" s="1" t="n"/>
      <c r="I877" s="1" t="n"/>
      <c r="J877" s="1" t="n"/>
      <c r="K877" s="1" t="n"/>
      <c r="L877" s="1" t="n"/>
      <c r="N877" s="1" t="n"/>
      <c r="O877" s="1" t="n"/>
      <c r="P877" s="1" t="n"/>
      <c r="Q877" s="1" t="n"/>
      <c r="R877" s="1" t="n"/>
    </row>
    <row r="878" ht="15.75" customHeight="1" s="143">
      <c r="B878" s="1" t="n"/>
      <c r="C878" s="1" t="n"/>
      <c r="D878" s="1" t="n"/>
      <c r="E878" s="1" t="n"/>
      <c r="F878" s="1" t="n"/>
      <c r="H878" s="1" t="n"/>
      <c r="I878" s="1" t="n"/>
      <c r="J878" s="1" t="n"/>
      <c r="K878" s="1" t="n"/>
      <c r="L878" s="1" t="n"/>
      <c r="N878" s="1" t="n"/>
      <c r="O878" s="1" t="n"/>
      <c r="P878" s="1" t="n"/>
      <c r="Q878" s="1" t="n"/>
      <c r="R878" s="1" t="n"/>
    </row>
    <row r="879" ht="15.75" customHeight="1" s="143">
      <c r="B879" s="1" t="n"/>
      <c r="C879" s="1" t="n"/>
      <c r="D879" s="1" t="n"/>
      <c r="E879" s="1" t="n"/>
      <c r="F879" s="1" t="n"/>
      <c r="H879" s="1" t="n"/>
      <c r="I879" s="1" t="n"/>
      <c r="J879" s="1" t="n"/>
      <c r="K879" s="1" t="n"/>
      <c r="L879" s="1" t="n"/>
      <c r="N879" s="1" t="n"/>
      <c r="O879" s="1" t="n"/>
      <c r="P879" s="1" t="n"/>
      <c r="Q879" s="1" t="n"/>
      <c r="R879" s="1" t="n"/>
    </row>
    <row r="880" ht="15.75" customHeight="1" s="143">
      <c r="B880" s="1" t="n"/>
      <c r="C880" s="1" t="n"/>
      <c r="D880" s="1" t="n"/>
      <c r="E880" s="1" t="n"/>
      <c r="F880" s="1" t="n"/>
      <c r="H880" s="1" t="n"/>
      <c r="I880" s="1" t="n"/>
      <c r="J880" s="1" t="n"/>
      <c r="K880" s="1" t="n"/>
      <c r="L880" s="1" t="n"/>
      <c r="N880" s="1" t="n"/>
      <c r="O880" s="1" t="n"/>
      <c r="P880" s="1" t="n"/>
      <c r="Q880" s="1" t="n"/>
      <c r="R880" s="1" t="n"/>
    </row>
    <row r="881" ht="15.75" customHeight="1" s="143">
      <c r="B881" s="1" t="n"/>
      <c r="C881" s="1" t="n"/>
      <c r="D881" s="1" t="n"/>
      <c r="E881" s="1" t="n"/>
      <c r="F881" s="1" t="n"/>
      <c r="H881" s="1" t="n"/>
      <c r="I881" s="1" t="n"/>
      <c r="J881" s="1" t="n"/>
      <c r="K881" s="1" t="n"/>
      <c r="L881" s="1" t="n"/>
      <c r="N881" s="1" t="n"/>
      <c r="O881" s="1" t="n"/>
      <c r="P881" s="1" t="n"/>
      <c r="Q881" s="1" t="n"/>
      <c r="R881" s="1" t="n"/>
    </row>
    <row r="882" ht="15.75" customHeight="1" s="143">
      <c r="B882" s="1" t="n"/>
      <c r="C882" s="1" t="n"/>
      <c r="D882" s="1" t="n"/>
      <c r="E882" s="1" t="n"/>
      <c r="F882" s="1" t="n"/>
      <c r="H882" s="1" t="n"/>
      <c r="I882" s="1" t="n"/>
      <c r="J882" s="1" t="n"/>
      <c r="K882" s="1" t="n"/>
      <c r="L882" s="1" t="n"/>
      <c r="N882" s="1" t="n"/>
      <c r="O882" s="1" t="n"/>
      <c r="P882" s="1" t="n"/>
      <c r="Q882" s="1" t="n"/>
      <c r="R882" s="1" t="n"/>
    </row>
    <row r="883" ht="15.75" customHeight="1" s="143">
      <c r="B883" s="1" t="n"/>
      <c r="C883" s="1" t="n"/>
      <c r="D883" s="1" t="n"/>
      <c r="E883" s="1" t="n"/>
      <c r="F883" s="1" t="n"/>
      <c r="H883" s="1" t="n"/>
      <c r="I883" s="1" t="n"/>
      <c r="J883" s="1" t="n"/>
      <c r="K883" s="1" t="n"/>
      <c r="L883" s="1" t="n"/>
      <c r="N883" s="1" t="n"/>
      <c r="O883" s="1" t="n"/>
      <c r="P883" s="1" t="n"/>
      <c r="Q883" s="1" t="n"/>
      <c r="R883" s="1" t="n"/>
    </row>
    <row r="884" ht="15.75" customHeight="1" s="143">
      <c r="B884" s="1" t="n"/>
      <c r="C884" s="1" t="n"/>
      <c r="D884" s="1" t="n"/>
      <c r="E884" s="1" t="n"/>
      <c r="F884" s="1" t="n"/>
      <c r="H884" s="1" t="n"/>
      <c r="I884" s="1" t="n"/>
      <c r="J884" s="1" t="n"/>
      <c r="K884" s="1" t="n"/>
      <c r="L884" s="1" t="n"/>
      <c r="N884" s="1" t="n"/>
      <c r="O884" s="1" t="n"/>
      <c r="P884" s="1" t="n"/>
      <c r="Q884" s="1" t="n"/>
      <c r="R884" s="1" t="n"/>
    </row>
    <row r="885" ht="15.75" customHeight="1" s="143">
      <c r="B885" s="1" t="n"/>
      <c r="C885" s="1" t="n"/>
      <c r="D885" s="1" t="n"/>
      <c r="E885" s="1" t="n"/>
      <c r="F885" s="1" t="n"/>
      <c r="H885" s="1" t="n"/>
      <c r="I885" s="1" t="n"/>
      <c r="J885" s="1" t="n"/>
      <c r="K885" s="1" t="n"/>
      <c r="L885" s="1" t="n"/>
      <c r="N885" s="1" t="n"/>
      <c r="O885" s="1" t="n"/>
      <c r="P885" s="1" t="n"/>
      <c r="Q885" s="1" t="n"/>
      <c r="R885" s="1" t="n"/>
    </row>
    <row r="886" ht="15.75" customHeight="1" s="143">
      <c r="B886" s="1" t="n"/>
      <c r="C886" s="1" t="n"/>
      <c r="D886" s="1" t="n"/>
      <c r="E886" s="1" t="n"/>
      <c r="F886" s="1" t="n"/>
      <c r="H886" s="1" t="n"/>
      <c r="I886" s="1" t="n"/>
      <c r="J886" s="1" t="n"/>
      <c r="K886" s="1" t="n"/>
      <c r="L886" s="1" t="n"/>
      <c r="N886" s="1" t="n"/>
      <c r="O886" s="1" t="n"/>
      <c r="P886" s="1" t="n"/>
      <c r="Q886" s="1" t="n"/>
      <c r="R886" s="1" t="n"/>
    </row>
    <row r="887" ht="15.75" customHeight="1" s="143">
      <c r="B887" s="1" t="n"/>
      <c r="C887" s="1" t="n"/>
      <c r="D887" s="1" t="n"/>
      <c r="E887" s="1" t="n"/>
      <c r="F887" s="1" t="n"/>
      <c r="H887" s="1" t="n"/>
      <c r="I887" s="1" t="n"/>
      <c r="J887" s="1" t="n"/>
      <c r="K887" s="1" t="n"/>
      <c r="L887" s="1" t="n"/>
      <c r="N887" s="1" t="n"/>
      <c r="O887" s="1" t="n"/>
      <c r="P887" s="1" t="n"/>
      <c r="Q887" s="1" t="n"/>
      <c r="R887" s="1" t="n"/>
    </row>
    <row r="888" ht="15.75" customHeight="1" s="143">
      <c r="B888" s="1" t="n"/>
      <c r="C888" s="1" t="n"/>
      <c r="D888" s="1" t="n"/>
      <c r="E888" s="1" t="n"/>
      <c r="F888" s="1" t="n"/>
      <c r="H888" s="1" t="n"/>
      <c r="I888" s="1" t="n"/>
      <c r="J888" s="1" t="n"/>
      <c r="K888" s="1" t="n"/>
      <c r="L888" s="1" t="n"/>
      <c r="N888" s="1" t="n"/>
      <c r="O888" s="1" t="n"/>
      <c r="P888" s="1" t="n"/>
      <c r="Q888" s="1" t="n"/>
      <c r="R888" s="1" t="n"/>
    </row>
    <row r="889" ht="15.75" customHeight="1" s="143">
      <c r="B889" s="1" t="n"/>
      <c r="C889" s="1" t="n"/>
      <c r="D889" s="1" t="n"/>
      <c r="E889" s="1" t="n"/>
      <c r="F889" s="1" t="n"/>
      <c r="H889" s="1" t="n"/>
      <c r="I889" s="1" t="n"/>
      <c r="J889" s="1" t="n"/>
      <c r="K889" s="1" t="n"/>
      <c r="L889" s="1" t="n"/>
      <c r="N889" s="1" t="n"/>
      <c r="O889" s="1" t="n"/>
      <c r="P889" s="1" t="n"/>
      <c r="Q889" s="1" t="n"/>
      <c r="R889" s="1" t="n"/>
    </row>
    <row r="890" ht="15.75" customHeight="1" s="143">
      <c r="B890" s="1" t="n"/>
      <c r="C890" s="1" t="n"/>
      <c r="D890" s="1" t="n"/>
      <c r="E890" s="1" t="n"/>
      <c r="F890" s="1" t="n"/>
      <c r="H890" s="1" t="n"/>
      <c r="I890" s="1" t="n"/>
      <c r="J890" s="1" t="n"/>
      <c r="K890" s="1" t="n"/>
      <c r="L890" s="1" t="n"/>
      <c r="N890" s="1" t="n"/>
      <c r="O890" s="1" t="n"/>
      <c r="P890" s="1" t="n"/>
      <c r="Q890" s="1" t="n"/>
      <c r="R890" s="1" t="n"/>
    </row>
    <row r="891" ht="15.75" customHeight="1" s="143">
      <c r="B891" s="1" t="n"/>
      <c r="C891" s="1" t="n"/>
      <c r="D891" s="1" t="n"/>
      <c r="E891" s="1" t="n"/>
      <c r="F891" s="1" t="n"/>
      <c r="H891" s="1" t="n"/>
      <c r="I891" s="1" t="n"/>
      <c r="J891" s="1" t="n"/>
      <c r="K891" s="1" t="n"/>
      <c r="L891" s="1" t="n"/>
      <c r="N891" s="1" t="n"/>
      <c r="O891" s="1" t="n"/>
      <c r="P891" s="1" t="n"/>
      <c r="Q891" s="1" t="n"/>
      <c r="R891" s="1" t="n"/>
    </row>
    <row r="892" ht="15.75" customHeight="1" s="143">
      <c r="B892" s="1" t="n"/>
      <c r="C892" s="1" t="n"/>
      <c r="D892" s="1" t="n"/>
      <c r="E892" s="1" t="n"/>
      <c r="F892" s="1" t="n"/>
      <c r="H892" s="1" t="n"/>
      <c r="I892" s="1" t="n"/>
      <c r="J892" s="1" t="n"/>
      <c r="K892" s="1" t="n"/>
      <c r="L892" s="1" t="n"/>
      <c r="N892" s="1" t="n"/>
      <c r="O892" s="1" t="n"/>
      <c r="P892" s="1" t="n"/>
      <c r="Q892" s="1" t="n"/>
      <c r="R892" s="1" t="n"/>
    </row>
    <row r="893" ht="15.75" customHeight="1" s="143">
      <c r="B893" s="1" t="n"/>
      <c r="C893" s="1" t="n"/>
      <c r="D893" s="1" t="n"/>
      <c r="E893" s="1" t="n"/>
      <c r="F893" s="1" t="n"/>
      <c r="H893" s="1" t="n"/>
      <c r="I893" s="1" t="n"/>
      <c r="J893" s="1" t="n"/>
      <c r="K893" s="1" t="n"/>
      <c r="L893" s="1" t="n"/>
      <c r="N893" s="1" t="n"/>
      <c r="O893" s="1" t="n"/>
      <c r="P893" s="1" t="n"/>
      <c r="Q893" s="1" t="n"/>
      <c r="R893" s="1" t="n"/>
    </row>
    <row r="894" ht="15.75" customHeight="1" s="143">
      <c r="B894" s="1" t="n"/>
      <c r="C894" s="1" t="n"/>
      <c r="D894" s="1" t="n"/>
      <c r="E894" s="1" t="n"/>
      <c r="F894" s="1" t="n"/>
      <c r="H894" s="1" t="n"/>
      <c r="I894" s="1" t="n"/>
      <c r="J894" s="1" t="n"/>
      <c r="K894" s="1" t="n"/>
      <c r="L894" s="1" t="n"/>
      <c r="N894" s="1" t="n"/>
      <c r="O894" s="1" t="n"/>
      <c r="P894" s="1" t="n"/>
      <c r="Q894" s="1" t="n"/>
      <c r="R894" s="1" t="n"/>
    </row>
    <row r="895" ht="15.75" customHeight="1" s="143">
      <c r="B895" s="1" t="n"/>
      <c r="C895" s="1" t="n"/>
      <c r="D895" s="1" t="n"/>
      <c r="E895" s="1" t="n"/>
      <c r="F895" s="1" t="n"/>
      <c r="H895" s="1" t="n"/>
      <c r="I895" s="1" t="n"/>
      <c r="J895" s="1" t="n"/>
      <c r="K895" s="1" t="n"/>
      <c r="L895" s="1" t="n"/>
      <c r="N895" s="1" t="n"/>
      <c r="O895" s="1" t="n"/>
      <c r="P895" s="1" t="n"/>
      <c r="Q895" s="1" t="n"/>
      <c r="R895" s="1" t="n"/>
    </row>
    <row r="896" ht="15.75" customHeight="1" s="143">
      <c r="B896" s="1" t="n"/>
      <c r="C896" s="1" t="n"/>
      <c r="D896" s="1" t="n"/>
      <c r="E896" s="1" t="n"/>
      <c r="F896" s="1" t="n"/>
      <c r="H896" s="1" t="n"/>
      <c r="I896" s="1" t="n"/>
      <c r="J896" s="1" t="n"/>
      <c r="K896" s="1" t="n"/>
      <c r="L896" s="1" t="n"/>
      <c r="N896" s="1" t="n"/>
      <c r="O896" s="1" t="n"/>
      <c r="P896" s="1" t="n"/>
      <c r="Q896" s="1" t="n"/>
      <c r="R896" s="1" t="n"/>
    </row>
    <row r="897" ht="15.75" customHeight="1" s="143">
      <c r="B897" s="1" t="n"/>
      <c r="C897" s="1" t="n"/>
      <c r="D897" s="1" t="n"/>
      <c r="E897" s="1" t="n"/>
      <c r="F897" s="1" t="n"/>
      <c r="H897" s="1" t="n"/>
      <c r="I897" s="1" t="n"/>
      <c r="J897" s="1" t="n"/>
      <c r="K897" s="1" t="n"/>
      <c r="L897" s="1" t="n"/>
      <c r="N897" s="1" t="n"/>
      <c r="O897" s="1" t="n"/>
      <c r="P897" s="1" t="n"/>
      <c r="Q897" s="1" t="n"/>
      <c r="R897" s="1" t="n"/>
    </row>
    <row r="898" ht="15.75" customHeight="1" s="143">
      <c r="B898" s="1" t="n"/>
      <c r="C898" s="1" t="n"/>
      <c r="D898" s="1" t="n"/>
      <c r="E898" s="1" t="n"/>
      <c r="F898" s="1" t="n"/>
      <c r="H898" s="1" t="n"/>
      <c r="I898" s="1" t="n"/>
      <c r="J898" s="1" t="n"/>
      <c r="K898" s="1" t="n"/>
      <c r="L898" s="1" t="n"/>
      <c r="N898" s="1" t="n"/>
      <c r="O898" s="1" t="n"/>
      <c r="P898" s="1" t="n"/>
      <c r="Q898" s="1" t="n"/>
      <c r="R898" s="1" t="n"/>
    </row>
    <row r="899" ht="15.75" customHeight="1" s="143">
      <c r="B899" s="1" t="n"/>
      <c r="C899" s="1" t="n"/>
      <c r="D899" s="1" t="n"/>
      <c r="E899" s="1" t="n"/>
      <c r="F899" s="1" t="n"/>
      <c r="H899" s="1" t="n"/>
      <c r="I899" s="1" t="n"/>
      <c r="J899" s="1" t="n"/>
      <c r="K899" s="1" t="n"/>
      <c r="L899" s="1" t="n"/>
      <c r="N899" s="1" t="n"/>
      <c r="O899" s="1" t="n"/>
      <c r="P899" s="1" t="n"/>
      <c r="Q899" s="1" t="n"/>
      <c r="R899" s="1" t="n"/>
    </row>
    <row r="900" ht="15.75" customHeight="1" s="143">
      <c r="B900" s="1" t="n"/>
      <c r="C900" s="1" t="n"/>
      <c r="D900" s="1" t="n"/>
      <c r="E900" s="1" t="n"/>
      <c r="F900" s="1" t="n"/>
      <c r="H900" s="1" t="n"/>
      <c r="I900" s="1" t="n"/>
      <c r="J900" s="1" t="n"/>
      <c r="K900" s="1" t="n"/>
      <c r="L900" s="1" t="n"/>
      <c r="N900" s="1" t="n"/>
      <c r="O900" s="1" t="n"/>
      <c r="P900" s="1" t="n"/>
      <c r="Q900" s="1" t="n"/>
      <c r="R900" s="1" t="n"/>
    </row>
    <row r="901" ht="15.75" customHeight="1" s="143">
      <c r="B901" s="1" t="n"/>
      <c r="C901" s="1" t="n"/>
      <c r="D901" s="1" t="n"/>
      <c r="E901" s="1" t="n"/>
      <c r="F901" s="1" t="n"/>
      <c r="H901" s="1" t="n"/>
      <c r="I901" s="1" t="n"/>
      <c r="J901" s="1" t="n"/>
      <c r="K901" s="1" t="n"/>
      <c r="L901" s="1" t="n"/>
      <c r="N901" s="1" t="n"/>
      <c r="O901" s="1" t="n"/>
      <c r="P901" s="1" t="n"/>
      <c r="Q901" s="1" t="n"/>
      <c r="R901" s="1" t="n"/>
    </row>
    <row r="902" ht="15.75" customHeight="1" s="143">
      <c r="B902" s="1" t="n"/>
      <c r="C902" s="1" t="n"/>
      <c r="D902" s="1" t="n"/>
      <c r="E902" s="1" t="n"/>
      <c r="F902" s="1" t="n"/>
      <c r="H902" s="1" t="n"/>
      <c r="I902" s="1" t="n"/>
      <c r="J902" s="1" t="n"/>
      <c r="K902" s="1" t="n"/>
      <c r="L902" s="1" t="n"/>
      <c r="N902" s="1" t="n"/>
      <c r="O902" s="1" t="n"/>
      <c r="P902" s="1" t="n"/>
      <c r="Q902" s="1" t="n"/>
      <c r="R902" s="1" t="n"/>
    </row>
    <row r="903" ht="15.75" customHeight="1" s="143">
      <c r="B903" s="1" t="n"/>
      <c r="C903" s="1" t="n"/>
      <c r="D903" s="1" t="n"/>
      <c r="E903" s="1" t="n"/>
      <c r="F903" s="1" t="n"/>
      <c r="H903" s="1" t="n"/>
      <c r="I903" s="1" t="n"/>
      <c r="J903" s="1" t="n"/>
      <c r="K903" s="1" t="n"/>
      <c r="L903" s="1" t="n"/>
      <c r="N903" s="1" t="n"/>
      <c r="O903" s="1" t="n"/>
      <c r="P903" s="1" t="n"/>
      <c r="Q903" s="1" t="n"/>
      <c r="R903" s="1" t="n"/>
    </row>
    <row r="904" ht="15.75" customHeight="1" s="143">
      <c r="B904" s="1" t="n"/>
      <c r="C904" s="1" t="n"/>
      <c r="D904" s="1" t="n"/>
      <c r="E904" s="1" t="n"/>
      <c r="F904" s="1" t="n"/>
      <c r="H904" s="1" t="n"/>
      <c r="I904" s="1" t="n"/>
      <c r="J904" s="1" t="n"/>
      <c r="K904" s="1" t="n"/>
      <c r="L904" s="1" t="n"/>
      <c r="N904" s="1" t="n"/>
      <c r="O904" s="1" t="n"/>
      <c r="P904" s="1" t="n"/>
      <c r="Q904" s="1" t="n"/>
      <c r="R904" s="1" t="n"/>
    </row>
    <row r="905" ht="15.75" customHeight="1" s="143">
      <c r="B905" s="1" t="n"/>
      <c r="C905" s="1" t="n"/>
      <c r="D905" s="1" t="n"/>
      <c r="E905" s="1" t="n"/>
      <c r="F905" s="1" t="n"/>
      <c r="H905" s="1" t="n"/>
      <c r="I905" s="1" t="n"/>
      <c r="J905" s="1" t="n"/>
      <c r="K905" s="1" t="n"/>
      <c r="L905" s="1" t="n"/>
      <c r="N905" s="1" t="n"/>
      <c r="O905" s="1" t="n"/>
      <c r="P905" s="1" t="n"/>
      <c r="Q905" s="1" t="n"/>
      <c r="R905" s="1" t="n"/>
    </row>
    <row r="906" ht="15.75" customHeight="1" s="143">
      <c r="B906" s="1" t="n"/>
      <c r="C906" s="1" t="n"/>
      <c r="D906" s="1" t="n"/>
      <c r="E906" s="1" t="n"/>
      <c r="F906" s="1" t="n"/>
      <c r="H906" s="1" t="n"/>
      <c r="I906" s="1" t="n"/>
      <c r="J906" s="1" t="n"/>
      <c r="K906" s="1" t="n"/>
      <c r="L906" s="1" t="n"/>
      <c r="N906" s="1" t="n"/>
      <c r="O906" s="1" t="n"/>
      <c r="P906" s="1" t="n"/>
      <c r="Q906" s="1" t="n"/>
      <c r="R906" s="1" t="n"/>
    </row>
    <row r="907" ht="15.75" customHeight="1" s="143">
      <c r="B907" s="1" t="n"/>
      <c r="C907" s="1" t="n"/>
      <c r="D907" s="1" t="n"/>
      <c r="E907" s="1" t="n"/>
      <c r="F907" s="1" t="n"/>
      <c r="H907" s="1" t="n"/>
      <c r="I907" s="1" t="n"/>
      <c r="J907" s="1" t="n"/>
      <c r="K907" s="1" t="n"/>
      <c r="L907" s="1" t="n"/>
      <c r="N907" s="1" t="n"/>
      <c r="O907" s="1" t="n"/>
      <c r="P907" s="1" t="n"/>
      <c r="Q907" s="1" t="n"/>
      <c r="R907" s="1" t="n"/>
    </row>
    <row r="908" ht="15.75" customHeight="1" s="143">
      <c r="B908" s="1" t="n"/>
      <c r="C908" s="1" t="n"/>
      <c r="D908" s="1" t="n"/>
      <c r="E908" s="1" t="n"/>
      <c r="F908" s="1" t="n"/>
      <c r="H908" s="1" t="n"/>
      <c r="I908" s="1" t="n"/>
      <c r="J908" s="1" t="n"/>
      <c r="K908" s="1" t="n"/>
      <c r="L908" s="1" t="n"/>
      <c r="N908" s="1" t="n"/>
      <c r="O908" s="1" t="n"/>
      <c r="P908" s="1" t="n"/>
      <c r="Q908" s="1" t="n"/>
      <c r="R908" s="1" t="n"/>
    </row>
    <row r="909" ht="15.75" customHeight="1" s="143">
      <c r="B909" s="1" t="n"/>
      <c r="C909" s="1" t="n"/>
      <c r="D909" s="1" t="n"/>
      <c r="E909" s="1" t="n"/>
      <c r="F909" s="1" t="n"/>
      <c r="H909" s="1" t="n"/>
      <c r="I909" s="1" t="n"/>
      <c r="J909" s="1" t="n"/>
      <c r="K909" s="1" t="n"/>
      <c r="L909" s="1" t="n"/>
      <c r="N909" s="1" t="n"/>
      <c r="O909" s="1" t="n"/>
      <c r="P909" s="1" t="n"/>
      <c r="Q909" s="1" t="n"/>
      <c r="R909" s="1" t="n"/>
    </row>
    <row r="910" ht="15.75" customHeight="1" s="143">
      <c r="B910" s="1" t="n"/>
      <c r="C910" s="1" t="n"/>
      <c r="D910" s="1" t="n"/>
      <c r="E910" s="1" t="n"/>
      <c r="F910" s="1" t="n"/>
      <c r="H910" s="1" t="n"/>
      <c r="I910" s="1" t="n"/>
      <c r="J910" s="1" t="n"/>
      <c r="K910" s="1" t="n"/>
      <c r="L910" s="1" t="n"/>
      <c r="N910" s="1" t="n"/>
      <c r="O910" s="1" t="n"/>
      <c r="P910" s="1" t="n"/>
      <c r="Q910" s="1" t="n"/>
      <c r="R910" s="1" t="n"/>
    </row>
    <row r="911" ht="15.75" customHeight="1" s="143">
      <c r="B911" s="1" t="n"/>
      <c r="C911" s="1" t="n"/>
      <c r="D911" s="1" t="n"/>
      <c r="E911" s="1" t="n"/>
      <c r="F911" s="1" t="n"/>
      <c r="H911" s="1" t="n"/>
      <c r="I911" s="1" t="n"/>
      <c r="J911" s="1" t="n"/>
      <c r="K911" s="1" t="n"/>
      <c r="L911" s="1" t="n"/>
      <c r="N911" s="1" t="n"/>
      <c r="O911" s="1" t="n"/>
      <c r="P911" s="1" t="n"/>
      <c r="Q911" s="1" t="n"/>
      <c r="R911" s="1" t="n"/>
    </row>
    <row r="912" ht="15.75" customHeight="1" s="143">
      <c r="B912" s="1" t="n"/>
      <c r="C912" s="1" t="n"/>
      <c r="D912" s="1" t="n"/>
      <c r="E912" s="1" t="n"/>
      <c r="F912" s="1" t="n"/>
      <c r="H912" s="1" t="n"/>
      <c r="I912" s="1" t="n"/>
      <c r="J912" s="1" t="n"/>
      <c r="K912" s="1" t="n"/>
      <c r="L912" s="1" t="n"/>
      <c r="N912" s="1" t="n"/>
      <c r="O912" s="1" t="n"/>
      <c r="P912" s="1" t="n"/>
      <c r="Q912" s="1" t="n"/>
      <c r="R912" s="1" t="n"/>
    </row>
    <row r="913" ht="15.75" customHeight="1" s="143">
      <c r="B913" s="1" t="n"/>
      <c r="C913" s="1" t="n"/>
      <c r="D913" s="1" t="n"/>
      <c r="E913" s="1" t="n"/>
      <c r="F913" s="1" t="n"/>
      <c r="H913" s="1" t="n"/>
      <c r="I913" s="1" t="n"/>
      <c r="J913" s="1" t="n"/>
      <c r="K913" s="1" t="n"/>
      <c r="L913" s="1" t="n"/>
      <c r="N913" s="1" t="n"/>
      <c r="O913" s="1" t="n"/>
      <c r="P913" s="1" t="n"/>
      <c r="Q913" s="1" t="n"/>
      <c r="R913" s="1" t="n"/>
    </row>
    <row r="914" ht="15.75" customHeight="1" s="143">
      <c r="B914" s="1" t="n"/>
      <c r="C914" s="1" t="n"/>
      <c r="D914" s="1" t="n"/>
      <c r="E914" s="1" t="n"/>
      <c r="F914" s="1" t="n"/>
      <c r="H914" s="1" t="n"/>
      <c r="I914" s="1" t="n"/>
      <c r="J914" s="1" t="n"/>
      <c r="K914" s="1" t="n"/>
      <c r="L914" s="1" t="n"/>
      <c r="N914" s="1" t="n"/>
      <c r="O914" s="1" t="n"/>
      <c r="P914" s="1" t="n"/>
      <c r="Q914" s="1" t="n"/>
      <c r="R914" s="1" t="n"/>
    </row>
    <row r="915" ht="15.75" customHeight="1" s="143">
      <c r="B915" s="1" t="n"/>
      <c r="C915" s="1" t="n"/>
      <c r="D915" s="1" t="n"/>
      <c r="E915" s="1" t="n"/>
      <c r="F915" s="1" t="n"/>
      <c r="H915" s="1" t="n"/>
      <c r="I915" s="1" t="n"/>
      <c r="J915" s="1" t="n"/>
      <c r="K915" s="1" t="n"/>
      <c r="L915" s="1" t="n"/>
      <c r="N915" s="1" t="n"/>
      <c r="O915" s="1" t="n"/>
      <c r="P915" s="1" t="n"/>
      <c r="Q915" s="1" t="n"/>
      <c r="R915" s="1" t="n"/>
    </row>
    <row r="916" ht="15.75" customHeight="1" s="143">
      <c r="B916" s="1" t="n"/>
      <c r="C916" s="1" t="n"/>
      <c r="D916" s="1" t="n"/>
      <c r="E916" s="1" t="n"/>
      <c r="F916" s="1" t="n"/>
      <c r="H916" s="1" t="n"/>
      <c r="I916" s="1" t="n"/>
      <c r="J916" s="1" t="n"/>
      <c r="K916" s="1" t="n"/>
      <c r="L916" s="1" t="n"/>
      <c r="N916" s="1" t="n"/>
      <c r="O916" s="1" t="n"/>
      <c r="P916" s="1" t="n"/>
      <c r="Q916" s="1" t="n"/>
      <c r="R916" s="1" t="n"/>
    </row>
    <row r="917" ht="15.75" customHeight="1" s="143">
      <c r="B917" s="1" t="n"/>
      <c r="C917" s="1" t="n"/>
      <c r="D917" s="1" t="n"/>
      <c r="E917" s="1" t="n"/>
      <c r="F917" s="1" t="n"/>
      <c r="H917" s="1" t="n"/>
      <c r="I917" s="1" t="n"/>
      <c r="J917" s="1" t="n"/>
      <c r="K917" s="1" t="n"/>
      <c r="L917" s="1" t="n"/>
      <c r="N917" s="1" t="n"/>
      <c r="O917" s="1" t="n"/>
      <c r="P917" s="1" t="n"/>
      <c r="Q917" s="1" t="n"/>
      <c r="R917" s="1" t="n"/>
    </row>
    <row r="918" ht="15.75" customHeight="1" s="143">
      <c r="B918" s="1" t="n"/>
      <c r="C918" s="1" t="n"/>
      <c r="D918" s="1" t="n"/>
      <c r="E918" s="1" t="n"/>
      <c r="F918" s="1" t="n"/>
      <c r="H918" s="1" t="n"/>
      <c r="I918" s="1" t="n"/>
      <c r="J918" s="1" t="n"/>
      <c r="K918" s="1" t="n"/>
      <c r="L918" s="1" t="n"/>
      <c r="N918" s="1" t="n"/>
      <c r="O918" s="1" t="n"/>
      <c r="P918" s="1" t="n"/>
      <c r="Q918" s="1" t="n"/>
      <c r="R918" s="1" t="n"/>
    </row>
    <row r="919" ht="15.75" customHeight="1" s="143">
      <c r="B919" s="1" t="n"/>
      <c r="C919" s="1" t="n"/>
      <c r="D919" s="1" t="n"/>
      <c r="E919" s="1" t="n"/>
      <c r="F919" s="1" t="n"/>
      <c r="H919" s="1" t="n"/>
      <c r="I919" s="1" t="n"/>
      <c r="J919" s="1" t="n"/>
      <c r="K919" s="1" t="n"/>
      <c r="L919" s="1" t="n"/>
      <c r="N919" s="1" t="n"/>
      <c r="O919" s="1" t="n"/>
      <c r="P919" s="1" t="n"/>
      <c r="Q919" s="1" t="n"/>
      <c r="R919" s="1" t="n"/>
    </row>
    <row r="920" ht="15.75" customHeight="1" s="143">
      <c r="B920" s="1" t="n"/>
      <c r="C920" s="1" t="n"/>
      <c r="D920" s="1" t="n"/>
      <c r="E920" s="1" t="n"/>
      <c r="F920" s="1" t="n"/>
      <c r="H920" s="1" t="n"/>
      <c r="I920" s="1" t="n"/>
      <c r="J920" s="1" t="n"/>
      <c r="K920" s="1" t="n"/>
      <c r="L920" s="1" t="n"/>
      <c r="N920" s="1" t="n"/>
      <c r="O920" s="1" t="n"/>
      <c r="P920" s="1" t="n"/>
      <c r="Q920" s="1" t="n"/>
      <c r="R920" s="1" t="n"/>
    </row>
    <row r="921" ht="15.75" customHeight="1" s="143">
      <c r="B921" s="1" t="n"/>
      <c r="C921" s="1" t="n"/>
      <c r="D921" s="1" t="n"/>
      <c r="E921" s="1" t="n"/>
      <c r="F921" s="1" t="n"/>
      <c r="H921" s="1" t="n"/>
      <c r="I921" s="1" t="n"/>
      <c r="J921" s="1" t="n"/>
      <c r="K921" s="1" t="n"/>
      <c r="L921" s="1" t="n"/>
      <c r="N921" s="1" t="n"/>
      <c r="O921" s="1" t="n"/>
      <c r="P921" s="1" t="n"/>
      <c r="Q921" s="1" t="n"/>
      <c r="R921" s="1" t="n"/>
    </row>
    <row r="922" ht="15.75" customHeight="1" s="143">
      <c r="B922" s="1" t="n"/>
      <c r="C922" s="1" t="n"/>
      <c r="D922" s="1" t="n"/>
      <c r="E922" s="1" t="n"/>
      <c r="F922" s="1" t="n"/>
      <c r="H922" s="1" t="n"/>
      <c r="I922" s="1" t="n"/>
      <c r="J922" s="1" t="n"/>
      <c r="K922" s="1" t="n"/>
      <c r="L922" s="1" t="n"/>
      <c r="N922" s="1" t="n"/>
      <c r="O922" s="1" t="n"/>
      <c r="P922" s="1" t="n"/>
      <c r="Q922" s="1" t="n"/>
      <c r="R922" s="1" t="n"/>
    </row>
    <row r="923" ht="15.75" customHeight="1" s="143">
      <c r="B923" s="1" t="n"/>
      <c r="C923" s="1" t="n"/>
      <c r="D923" s="1" t="n"/>
      <c r="E923" s="1" t="n"/>
      <c r="F923" s="1" t="n"/>
      <c r="H923" s="1" t="n"/>
      <c r="I923" s="1" t="n"/>
      <c r="J923" s="1" t="n"/>
      <c r="K923" s="1" t="n"/>
      <c r="L923" s="1" t="n"/>
      <c r="N923" s="1" t="n"/>
      <c r="O923" s="1" t="n"/>
      <c r="P923" s="1" t="n"/>
      <c r="Q923" s="1" t="n"/>
      <c r="R923" s="1" t="n"/>
    </row>
    <row r="924" ht="15.75" customHeight="1" s="143">
      <c r="B924" s="1" t="n"/>
      <c r="C924" s="1" t="n"/>
      <c r="D924" s="1" t="n"/>
      <c r="E924" s="1" t="n"/>
      <c r="F924" s="1" t="n"/>
      <c r="H924" s="1" t="n"/>
      <c r="I924" s="1" t="n"/>
      <c r="J924" s="1" t="n"/>
      <c r="K924" s="1" t="n"/>
      <c r="L924" s="1" t="n"/>
      <c r="N924" s="1" t="n"/>
      <c r="O924" s="1" t="n"/>
      <c r="P924" s="1" t="n"/>
      <c r="Q924" s="1" t="n"/>
      <c r="R924" s="1" t="n"/>
    </row>
    <row r="925" ht="15.75" customHeight="1" s="143">
      <c r="B925" s="1" t="n"/>
      <c r="C925" s="1" t="n"/>
      <c r="D925" s="1" t="n"/>
      <c r="E925" s="1" t="n"/>
      <c r="F925" s="1" t="n"/>
      <c r="H925" s="1" t="n"/>
      <c r="I925" s="1" t="n"/>
      <c r="J925" s="1" t="n"/>
      <c r="K925" s="1" t="n"/>
      <c r="L925" s="1" t="n"/>
      <c r="N925" s="1" t="n"/>
      <c r="O925" s="1" t="n"/>
      <c r="P925" s="1" t="n"/>
      <c r="Q925" s="1" t="n"/>
      <c r="R925" s="1" t="n"/>
    </row>
    <row r="926" ht="15.75" customHeight="1" s="143">
      <c r="B926" s="1" t="n"/>
      <c r="C926" s="1" t="n"/>
      <c r="D926" s="1" t="n"/>
      <c r="E926" s="1" t="n"/>
      <c r="F926" s="1" t="n"/>
      <c r="H926" s="1" t="n"/>
      <c r="I926" s="1" t="n"/>
      <c r="J926" s="1" t="n"/>
      <c r="K926" s="1" t="n"/>
      <c r="L926" s="1" t="n"/>
      <c r="N926" s="1" t="n"/>
      <c r="O926" s="1" t="n"/>
      <c r="P926" s="1" t="n"/>
      <c r="Q926" s="1" t="n"/>
      <c r="R926" s="1" t="n"/>
    </row>
    <row r="927" ht="15.75" customHeight="1" s="143">
      <c r="B927" s="1" t="n"/>
      <c r="C927" s="1" t="n"/>
      <c r="D927" s="1" t="n"/>
      <c r="E927" s="1" t="n"/>
      <c r="F927" s="1" t="n"/>
      <c r="H927" s="1" t="n"/>
      <c r="I927" s="1" t="n"/>
      <c r="J927" s="1" t="n"/>
      <c r="K927" s="1" t="n"/>
      <c r="L927" s="1" t="n"/>
      <c r="N927" s="1" t="n"/>
      <c r="O927" s="1" t="n"/>
      <c r="P927" s="1" t="n"/>
      <c r="Q927" s="1" t="n"/>
      <c r="R927" s="1" t="n"/>
    </row>
    <row r="928" ht="15.75" customHeight="1" s="143">
      <c r="B928" s="1" t="n"/>
      <c r="C928" s="1" t="n"/>
      <c r="D928" s="1" t="n"/>
      <c r="E928" s="1" t="n"/>
      <c r="F928" s="1" t="n"/>
      <c r="H928" s="1" t="n"/>
      <c r="I928" s="1" t="n"/>
      <c r="J928" s="1" t="n"/>
      <c r="K928" s="1" t="n"/>
      <c r="L928" s="1" t="n"/>
      <c r="N928" s="1" t="n"/>
      <c r="O928" s="1" t="n"/>
      <c r="P928" s="1" t="n"/>
      <c r="Q928" s="1" t="n"/>
      <c r="R928" s="1" t="n"/>
    </row>
    <row r="929" ht="15.75" customHeight="1" s="143">
      <c r="B929" s="1" t="n"/>
      <c r="C929" s="1" t="n"/>
      <c r="D929" s="1" t="n"/>
      <c r="E929" s="1" t="n"/>
      <c r="F929" s="1" t="n"/>
      <c r="H929" s="1" t="n"/>
      <c r="I929" s="1" t="n"/>
      <c r="J929" s="1" t="n"/>
      <c r="K929" s="1" t="n"/>
      <c r="L929" s="1" t="n"/>
      <c r="N929" s="1" t="n"/>
      <c r="O929" s="1" t="n"/>
      <c r="P929" s="1" t="n"/>
      <c r="Q929" s="1" t="n"/>
      <c r="R929" s="1" t="n"/>
    </row>
    <row r="930" ht="15.75" customHeight="1" s="143">
      <c r="B930" s="1" t="n"/>
      <c r="C930" s="1" t="n"/>
      <c r="D930" s="1" t="n"/>
      <c r="E930" s="1" t="n"/>
      <c r="F930" s="1" t="n"/>
      <c r="H930" s="1" t="n"/>
      <c r="I930" s="1" t="n"/>
      <c r="J930" s="1" t="n"/>
      <c r="K930" s="1" t="n"/>
      <c r="L930" s="1" t="n"/>
      <c r="N930" s="1" t="n"/>
      <c r="O930" s="1" t="n"/>
      <c r="P930" s="1" t="n"/>
      <c r="Q930" s="1" t="n"/>
      <c r="R930" s="1" t="n"/>
    </row>
    <row r="931" ht="15.75" customHeight="1" s="143">
      <c r="B931" s="1" t="n"/>
      <c r="C931" s="1" t="n"/>
      <c r="D931" s="1" t="n"/>
      <c r="E931" s="1" t="n"/>
      <c r="F931" s="1" t="n"/>
      <c r="H931" s="1" t="n"/>
      <c r="I931" s="1" t="n"/>
      <c r="J931" s="1" t="n"/>
      <c r="K931" s="1" t="n"/>
      <c r="L931" s="1" t="n"/>
      <c r="N931" s="1" t="n"/>
      <c r="O931" s="1" t="n"/>
      <c r="P931" s="1" t="n"/>
      <c r="Q931" s="1" t="n"/>
      <c r="R931" s="1" t="n"/>
    </row>
    <row r="932" ht="15.75" customHeight="1" s="143">
      <c r="B932" s="1" t="n"/>
      <c r="C932" s="1" t="n"/>
      <c r="D932" s="1" t="n"/>
      <c r="E932" s="1" t="n"/>
      <c r="F932" s="1" t="n"/>
      <c r="H932" s="1" t="n"/>
      <c r="I932" s="1" t="n"/>
      <c r="J932" s="1" t="n"/>
      <c r="K932" s="1" t="n"/>
      <c r="L932" s="1" t="n"/>
      <c r="N932" s="1" t="n"/>
      <c r="O932" s="1" t="n"/>
      <c r="P932" s="1" t="n"/>
      <c r="Q932" s="1" t="n"/>
      <c r="R932" s="1" t="n"/>
    </row>
    <row r="933" ht="15.75" customHeight="1" s="143">
      <c r="B933" s="1" t="n"/>
      <c r="C933" s="1" t="n"/>
      <c r="D933" s="1" t="n"/>
      <c r="E933" s="1" t="n"/>
      <c r="F933" s="1" t="n"/>
      <c r="H933" s="1" t="n"/>
      <c r="I933" s="1" t="n"/>
      <c r="J933" s="1" t="n"/>
      <c r="K933" s="1" t="n"/>
      <c r="L933" s="1" t="n"/>
      <c r="N933" s="1" t="n"/>
      <c r="O933" s="1" t="n"/>
      <c r="P933" s="1" t="n"/>
      <c r="Q933" s="1" t="n"/>
      <c r="R933" s="1" t="n"/>
    </row>
    <row r="934" ht="15.75" customHeight="1" s="143">
      <c r="B934" s="1" t="n"/>
      <c r="C934" s="1" t="n"/>
      <c r="D934" s="1" t="n"/>
      <c r="E934" s="1" t="n"/>
      <c r="F934" s="1" t="n"/>
      <c r="H934" s="1" t="n"/>
      <c r="I934" s="1" t="n"/>
      <c r="J934" s="1" t="n"/>
      <c r="K934" s="1" t="n"/>
      <c r="L934" s="1" t="n"/>
      <c r="N934" s="1" t="n"/>
      <c r="O934" s="1" t="n"/>
      <c r="P934" s="1" t="n"/>
      <c r="Q934" s="1" t="n"/>
      <c r="R934" s="1" t="n"/>
    </row>
    <row r="935" ht="15.75" customHeight="1" s="143">
      <c r="B935" s="1" t="n"/>
      <c r="C935" s="1" t="n"/>
      <c r="D935" s="1" t="n"/>
      <c r="E935" s="1" t="n"/>
      <c r="F935" s="1" t="n"/>
      <c r="H935" s="1" t="n"/>
      <c r="I935" s="1" t="n"/>
      <c r="J935" s="1" t="n"/>
      <c r="K935" s="1" t="n"/>
      <c r="L935" s="1" t="n"/>
      <c r="N935" s="1" t="n"/>
      <c r="O935" s="1" t="n"/>
      <c r="P935" s="1" t="n"/>
      <c r="Q935" s="1" t="n"/>
      <c r="R935" s="1" t="n"/>
    </row>
    <row r="936" ht="15.75" customHeight="1" s="143">
      <c r="B936" s="1" t="n"/>
      <c r="C936" s="1" t="n"/>
      <c r="D936" s="1" t="n"/>
      <c r="E936" s="1" t="n"/>
      <c r="F936" s="1" t="n"/>
      <c r="H936" s="1" t="n"/>
      <c r="I936" s="1" t="n"/>
      <c r="J936" s="1" t="n"/>
      <c r="K936" s="1" t="n"/>
      <c r="L936" s="1" t="n"/>
      <c r="N936" s="1" t="n"/>
      <c r="O936" s="1" t="n"/>
      <c r="P936" s="1" t="n"/>
      <c r="Q936" s="1" t="n"/>
      <c r="R936" s="1" t="n"/>
    </row>
    <row r="937" ht="15.75" customHeight="1" s="143">
      <c r="B937" s="1" t="n"/>
      <c r="C937" s="1" t="n"/>
      <c r="D937" s="1" t="n"/>
      <c r="E937" s="1" t="n"/>
      <c r="F937" s="1" t="n"/>
      <c r="H937" s="1" t="n"/>
      <c r="I937" s="1" t="n"/>
      <c r="J937" s="1" t="n"/>
      <c r="K937" s="1" t="n"/>
      <c r="L937" s="1" t="n"/>
      <c r="N937" s="1" t="n"/>
      <c r="O937" s="1" t="n"/>
      <c r="P937" s="1" t="n"/>
      <c r="Q937" s="1" t="n"/>
      <c r="R937" s="1" t="n"/>
    </row>
    <row r="938" ht="15.75" customHeight="1" s="143">
      <c r="B938" s="1" t="n"/>
      <c r="C938" s="1" t="n"/>
      <c r="D938" s="1" t="n"/>
      <c r="E938" s="1" t="n"/>
      <c r="F938" s="1" t="n"/>
      <c r="H938" s="1" t="n"/>
      <c r="I938" s="1" t="n"/>
      <c r="J938" s="1" t="n"/>
      <c r="K938" s="1" t="n"/>
      <c r="L938" s="1" t="n"/>
      <c r="N938" s="1" t="n"/>
      <c r="O938" s="1" t="n"/>
      <c r="P938" s="1" t="n"/>
      <c r="Q938" s="1" t="n"/>
      <c r="R938" s="1" t="n"/>
    </row>
    <row r="939" ht="15.75" customHeight="1" s="143">
      <c r="B939" s="1" t="n"/>
      <c r="C939" s="1" t="n"/>
      <c r="D939" s="1" t="n"/>
      <c r="E939" s="1" t="n"/>
      <c r="F939" s="1" t="n"/>
      <c r="H939" s="1" t="n"/>
      <c r="I939" s="1" t="n"/>
      <c r="J939" s="1" t="n"/>
      <c r="K939" s="1" t="n"/>
      <c r="L939" s="1" t="n"/>
      <c r="N939" s="1" t="n"/>
      <c r="O939" s="1" t="n"/>
      <c r="P939" s="1" t="n"/>
      <c r="Q939" s="1" t="n"/>
      <c r="R939" s="1" t="n"/>
    </row>
    <row r="940" ht="15.75" customHeight="1" s="143">
      <c r="B940" s="1" t="n"/>
      <c r="C940" s="1" t="n"/>
      <c r="D940" s="1" t="n"/>
      <c r="E940" s="1" t="n"/>
      <c r="F940" s="1" t="n"/>
      <c r="H940" s="1" t="n"/>
      <c r="I940" s="1" t="n"/>
      <c r="J940" s="1" t="n"/>
      <c r="K940" s="1" t="n"/>
      <c r="L940" s="1" t="n"/>
      <c r="N940" s="1" t="n"/>
      <c r="O940" s="1" t="n"/>
      <c r="P940" s="1" t="n"/>
      <c r="Q940" s="1" t="n"/>
      <c r="R940" s="1" t="n"/>
    </row>
    <row r="941" ht="15.75" customHeight="1" s="143">
      <c r="B941" s="1" t="n"/>
      <c r="C941" s="1" t="n"/>
      <c r="D941" s="1" t="n"/>
      <c r="E941" s="1" t="n"/>
      <c r="F941" s="1" t="n"/>
      <c r="H941" s="1" t="n"/>
      <c r="I941" s="1" t="n"/>
      <c r="J941" s="1" t="n"/>
      <c r="K941" s="1" t="n"/>
      <c r="L941" s="1" t="n"/>
      <c r="N941" s="1" t="n"/>
      <c r="O941" s="1" t="n"/>
      <c r="P941" s="1" t="n"/>
      <c r="Q941" s="1" t="n"/>
      <c r="R941" s="1" t="n"/>
    </row>
    <row r="942" ht="15.75" customHeight="1" s="143">
      <c r="B942" s="1" t="n"/>
      <c r="C942" s="1" t="n"/>
      <c r="D942" s="1" t="n"/>
      <c r="E942" s="1" t="n"/>
      <c r="F942" s="1" t="n"/>
      <c r="H942" s="1" t="n"/>
      <c r="I942" s="1" t="n"/>
      <c r="J942" s="1" t="n"/>
      <c r="K942" s="1" t="n"/>
      <c r="L942" s="1" t="n"/>
      <c r="N942" s="1" t="n"/>
      <c r="O942" s="1" t="n"/>
      <c r="P942" s="1" t="n"/>
      <c r="Q942" s="1" t="n"/>
      <c r="R942" s="1" t="n"/>
    </row>
    <row r="943" ht="15.75" customHeight="1" s="143">
      <c r="B943" s="1" t="n"/>
      <c r="C943" s="1" t="n"/>
      <c r="D943" s="1" t="n"/>
      <c r="E943" s="1" t="n"/>
      <c r="F943" s="1" t="n"/>
      <c r="H943" s="1" t="n"/>
      <c r="I943" s="1" t="n"/>
      <c r="J943" s="1" t="n"/>
      <c r="K943" s="1" t="n"/>
      <c r="L943" s="1" t="n"/>
      <c r="N943" s="1" t="n"/>
      <c r="O943" s="1" t="n"/>
      <c r="P943" s="1" t="n"/>
      <c r="Q943" s="1" t="n"/>
      <c r="R943" s="1" t="n"/>
    </row>
    <row r="944" ht="15.75" customHeight="1" s="143">
      <c r="B944" s="1" t="n"/>
      <c r="C944" s="1" t="n"/>
      <c r="D944" s="1" t="n"/>
      <c r="E944" s="1" t="n"/>
      <c r="F944" s="1" t="n"/>
      <c r="H944" s="1" t="n"/>
      <c r="I944" s="1" t="n"/>
      <c r="J944" s="1" t="n"/>
      <c r="K944" s="1" t="n"/>
      <c r="L944" s="1" t="n"/>
      <c r="N944" s="1" t="n"/>
      <c r="O944" s="1" t="n"/>
      <c r="P944" s="1" t="n"/>
      <c r="Q944" s="1" t="n"/>
      <c r="R944" s="1" t="n"/>
    </row>
    <row r="945" ht="15.75" customHeight="1" s="143">
      <c r="B945" s="1" t="n"/>
      <c r="C945" s="1" t="n"/>
      <c r="D945" s="1" t="n"/>
      <c r="E945" s="1" t="n"/>
      <c r="F945" s="1" t="n"/>
      <c r="H945" s="1" t="n"/>
      <c r="I945" s="1" t="n"/>
      <c r="J945" s="1" t="n"/>
      <c r="K945" s="1" t="n"/>
      <c r="L945" s="1" t="n"/>
      <c r="N945" s="1" t="n"/>
      <c r="O945" s="1" t="n"/>
      <c r="P945" s="1" t="n"/>
      <c r="Q945" s="1" t="n"/>
      <c r="R945" s="1" t="n"/>
    </row>
    <row r="946" ht="15.75" customHeight="1" s="143">
      <c r="B946" s="1" t="n"/>
      <c r="C946" s="1" t="n"/>
      <c r="D946" s="1" t="n"/>
      <c r="E946" s="1" t="n"/>
      <c r="F946" s="1" t="n"/>
      <c r="H946" s="1" t="n"/>
      <c r="I946" s="1" t="n"/>
      <c r="J946" s="1" t="n"/>
      <c r="K946" s="1" t="n"/>
      <c r="L946" s="1" t="n"/>
      <c r="N946" s="1" t="n"/>
      <c r="O946" s="1" t="n"/>
      <c r="P946" s="1" t="n"/>
      <c r="Q946" s="1" t="n"/>
      <c r="R946" s="1" t="n"/>
    </row>
    <row r="947" ht="15.75" customHeight="1" s="143">
      <c r="B947" s="1" t="n"/>
      <c r="C947" s="1" t="n"/>
      <c r="D947" s="1" t="n"/>
      <c r="E947" s="1" t="n"/>
      <c r="F947" s="1" t="n"/>
      <c r="H947" s="1" t="n"/>
      <c r="I947" s="1" t="n"/>
      <c r="J947" s="1" t="n"/>
      <c r="K947" s="1" t="n"/>
      <c r="L947" s="1" t="n"/>
      <c r="N947" s="1" t="n"/>
      <c r="O947" s="1" t="n"/>
      <c r="P947" s="1" t="n"/>
      <c r="Q947" s="1" t="n"/>
      <c r="R947" s="1" t="n"/>
    </row>
    <row r="948" ht="15.75" customHeight="1" s="143">
      <c r="B948" s="1" t="n"/>
      <c r="C948" s="1" t="n"/>
      <c r="D948" s="1" t="n"/>
      <c r="E948" s="1" t="n"/>
      <c r="F948" s="1" t="n"/>
      <c r="H948" s="1" t="n"/>
      <c r="I948" s="1" t="n"/>
      <c r="J948" s="1" t="n"/>
      <c r="K948" s="1" t="n"/>
      <c r="L948" s="1" t="n"/>
      <c r="N948" s="1" t="n"/>
      <c r="O948" s="1" t="n"/>
      <c r="P948" s="1" t="n"/>
      <c r="Q948" s="1" t="n"/>
      <c r="R948" s="1" t="n"/>
    </row>
    <row r="949" ht="15.75" customHeight="1" s="143">
      <c r="B949" s="1" t="n"/>
      <c r="C949" s="1" t="n"/>
      <c r="D949" s="1" t="n"/>
      <c r="E949" s="1" t="n"/>
      <c r="F949" s="1" t="n"/>
      <c r="H949" s="1" t="n"/>
      <c r="I949" s="1" t="n"/>
      <c r="J949" s="1" t="n"/>
      <c r="K949" s="1" t="n"/>
      <c r="L949" s="1" t="n"/>
      <c r="N949" s="1" t="n"/>
      <c r="O949" s="1" t="n"/>
      <c r="P949" s="1" t="n"/>
      <c r="Q949" s="1" t="n"/>
      <c r="R949" s="1" t="n"/>
    </row>
    <row r="950" ht="15.75" customHeight="1" s="143">
      <c r="B950" s="1" t="n"/>
      <c r="C950" s="1" t="n"/>
      <c r="D950" s="1" t="n"/>
      <c r="E950" s="1" t="n"/>
      <c r="F950" s="1" t="n"/>
      <c r="H950" s="1" t="n"/>
      <c r="I950" s="1" t="n"/>
      <c r="J950" s="1" t="n"/>
      <c r="K950" s="1" t="n"/>
      <c r="L950" s="1" t="n"/>
      <c r="N950" s="1" t="n"/>
      <c r="O950" s="1" t="n"/>
      <c r="P950" s="1" t="n"/>
      <c r="Q950" s="1" t="n"/>
      <c r="R950" s="1" t="n"/>
    </row>
    <row r="951" ht="15.75" customHeight="1" s="143">
      <c r="B951" s="1" t="n"/>
      <c r="C951" s="1" t="n"/>
      <c r="D951" s="1" t="n"/>
      <c r="E951" s="1" t="n"/>
      <c r="F951" s="1" t="n"/>
      <c r="H951" s="1" t="n"/>
      <c r="I951" s="1" t="n"/>
      <c r="J951" s="1" t="n"/>
      <c r="K951" s="1" t="n"/>
      <c r="L951" s="1" t="n"/>
      <c r="N951" s="1" t="n"/>
      <c r="O951" s="1" t="n"/>
      <c r="P951" s="1" t="n"/>
      <c r="Q951" s="1" t="n"/>
      <c r="R951" s="1" t="n"/>
    </row>
    <row r="952" ht="15.75" customHeight="1" s="143">
      <c r="B952" s="1" t="n"/>
      <c r="C952" s="1" t="n"/>
      <c r="D952" s="1" t="n"/>
      <c r="E952" s="1" t="n"/>
      <c r="F952" s="1" t="n"/>
      <c r="H952" s="1" t="n"/>
      <c r="I952" s="1" t="n"/>
      <c r="J952" s="1" t="n"/>
      <c r="K952" s="1" t="n"/>
      <c r="L952" s="1" t="n"/>
      <c r="N952" s="1" t="n"/>
      <c r="O952" s="1" t="n"/>
      <c r="P952" s="1" t="n"/>
      <c r="Q952" s="1" t="n"/>
      <c r="R952" s="1" t="n"/>
    </row>
    <row r="953" ht="15.75" customHeight="1" s="143">
      <c r="B953" s="1" t="n"/>
      <c r="C953" s="1" t="n"/>
      <c r="D953" s="1" t="n"/>
      <c r="E953" s="1" t="n"/>
      <c r="F953" s="1" t="n"/>
      <c r="H953" s="1" t="n"/>
      <c r="I953" s="1" t="n"/>
      <c r="J953" s="1" t="n"/>
      <c r="K953" s="1" t="n"/>
      <c r="L953" s="1" t="n"/>
      <c r="N953" s="1" t="n"/>
      <c r="O953" s="1" t="n"/>
      <c r="P953" s="1" t="n"/>
      <c r="Q953" s="1" t="n"/>
      <c r="R953" s="1" t="n"/>
    </row>
    <row r="954" ht="15.75" customHeight="1" s="143">
      <c r="B954" s="1" t="n"/>
      <c r="C954" s="1" t="n"/>
      <c r="D954" s="1" t="n"/>
      <c r="E954" s="1" t="n"/>
      <c r="F954" s="1" t="n"/>
      <c r="H954" s="1" t="n"/>
      <c r="I954" s="1" t="n"/>
      <c r="J954" s="1" t="n"/>
      <c r="K954" s="1" t="n"/>
      <c r="L954" s="1" t="n"/>
      <c r="N954" s="1" t="n"/>
      <c r="O954" s="1" t="n"/>
      <c r="P954" s="1" t="n"/>
      <c r="Q954" s="1" t="n"/>
      <c r="R954" s="1" t="n"/>
    </row>
    <row r="955" ht="15.75" customHeight="1" s="143">
      <c r="B955" s="1" t="n"/>
      <c r="C955" s="1" t="n"/>
      <c r="D955" s="1" t="n"/>
      <c r="E955" s="1" t="n"/>
      <c r="F955" s="1" t="n"/>
      <c r="H955" s="1" t="n"/>
      <c r="I955" s="1" t="n"/>
      <c r="J955" s="1" t="n"/>
      <c r="K955" s="1" t="n"/>
      <c r="L955" s="1" t="n"/>
      <c r="N955" s="1" t="n"/>
      <c r="O955" s="1" t="n"/>
      <c r="P955" s="1" t="n"/>
      <c r="Q955" s="1" t="n"/>
      <c r="R955" s="1" t="n"/>
    </row>
    <row r="956" ht="15.75" customHeight="1" s="143">
      <c r="B956" s="1" t="n"/>
      <c r="C956" s="1" t="n"/>
      <c r="D956" s="1" t="n"/>
      <c r="E956" s="1" t="n"/>
      <c r="F956" s="1" t="n"/>
      <c r="H956" s="1" t="n"/>
      <c r="I956" s="1" t="n"/>
      <c r="J956" s="1" t="n"/>
      <c r="K956" s="1" t="n"/>
      <c r="L956" s="1" t="n"/>
      <c r="N956" s="1" t="n"/>
      <c r="O956" s="1" t="n"/>
      <c r="P956" s="1" t="n"/>
      <c r="Q956" s="1" t="n"/>
      <c r="R956" s="1" t="n"/>
    </row>
    <row r="957" ht="15.75" customHeight="1" s="143">
      <c r="B957" s="1" t="n"/>
      <c r="C957" s="1" t="n"/>
      <c r="D957" s="1" t="n"/>
      <c r="E957" s="1" t="n"/>
      <c r="F957" s="1" t="n"/>
      <c r="H957" s="1" t="n"/>
      <c r="I957" s="1" t="n"/>
      <c r="J957" s="1" t="n"/>
      <c r="K957" s="1" t="n"/>
      <c r="L957" s="1" t="n"/>
      <c r="N957" s="1" t="n"/>
      <c r="O957" s="1" t="n"/>
      <c r="P957" s="1" t="n"/>
      <c r="Q957" s="1" t="n"/>
      <c r="R957" s="1" t="n"/>
    </row>
    <row r="958" ht="15.75" customHeight="1" s="143">
      <c r="B958" s="1" t="n"/>
      <c r="C958" s="1" t="n"/>
      <c r="D958" s="1" t="n"/>
      <c r="E958" s="1" t="n"/>
      <c r="F958" s="1" t="n"/>
      <c r="H958" s="1" t="n"/>
      <c r="I958" s="1" t="n"/>
      <c r="J958" s="1" t="n"/>
      <c r="K958" s="1" t="n"/>
      <c r="L958" s="1" t="n"/>
      <c r="N958" s="1" t="n"/>
      <c r="O958" s="1" t="n"/>
      <c r="P958" s="1" t="n"/>
      <c r="Q958" s="1" t="n"/>
      <c r="R958" s="1" t="n"/>
    </row>
    <row r="959" ht="15.75" customHeight="1" s="143">
      <c r="B959" s="1" t="n"/>
      <c r="C959" s="1" t="n"/>
      <c r="D959" s="1" t="n"/>
      <c r="E959" s="1" t="n"/>
      <c r="F959" s="1" t="n"/>
      <c r="H959" s="1" t="n"/>
      <c r="I959" s="1" t="n"/>
      <c r="J959" s="1" t="n"/>
      <c r="K959" s="1" t="n"/>
      <c r="L959" s="1" t="n"/>
      <c r="N959" s="1" t="n"/>
      <c r="O959" s="1" t="n"/>
      <c r="P959" s="1" t="n"/>
      <c r="Q959" s="1" t="n"/>
      <c r="R959" s="1" t="n"/>
    </row>
    <row r="960" ht="15.75" customHeight="1" s="143">
      <c r="B960" s="1" t="n"/>
      <c r="C960" s="1" t="n"/>
      <c r="D960" s="1" t="n"/>
      <c r="E960" s="1" t="n"/>
      <c r="F960" s="1" t="n"/>
      <c r="H960" s="1" t="n"/>
      <c r="I960" s="1" t="n"/>
      <c r="J960" s="1" t="n"/>
      <c r="K960" s="1" t="n"/>
      <c r="L960" s="1" t="n"/>
      <c r="N960" s="1" t="n"/>
      <c r="O960" s="1" t="n"/>
      <c r="P960" s="1" t="n"/>
      <c r="Q960" s="1" t="n"/>
      <c r="R960" s="1" t="n"/>
    </row>
    <row r="961" ht="15.75" customHeight="1" s="143">
      <c r="B961" s="1" t="n"/>
      <c r="C961" s="1" t="n"/>
      <c r="D961" s="1" t="n"/>
      <c r="E961" s="1" t="n"/>
      <c r="F961" s="1" t="n"/>
      <c r="H961" s="1" t="n"/>
      <c r="I961" s="1" t="n"/>
      <c r="J961" s="1" t="n"/>
      <c r="K961" s="1" t="n"/>
      <c r="L961" s="1" t="n"/>
      <c r="N961" s="1" t="n"/>
      <c r="O961" s="1" t="n"/>
      <c r="P961" s="1" t="n"/>
      <c r="Q961" s="1" t="n"/>
      <c r="R961" s="1" t="n"/>
    </row>
    <row r="962" ht="15.75" customHeight="1" s="143">
      <c r="B962" s="1" t="n"/>
      <c r="C962" s="1" t="n"/>
      <c r="D962" s="1" t="n"/>
      <c r="E962" s="1" t="n"/>
      <c r="F962" s="1" t="n"/>
      <c r="H962" s="1" t="n"/>
      <c r="I962" s="1" t="n"/>
      <c r="J962" s="1" t="n"/>
      <c r="K962" s="1" t="n"/>
      <c r="L962" s="1" t="n"/>
      <c r="N962" s="1" t="n"/>
      <c r="O962" s="1" t="n"/>
      <c r="P962" s="1" t="n"/>
      <c r="Q962" s="1" t="n"/>
      <c r="R962" s="1" t="n"/>
    </row>
    <row r="963" ht="15.75" customHeight="1" s="143">
      <c r="B963" s="1" t="n"/>
      <c r="C963" s="1" t="n"/>
      <c r="D963" s="1" t="n"/>
      <c r="E963" s="1" t="n"/>
      <c r="F963" s="1" t="n"/>
      <c r="H963" s="1" t="n"/>
      <c r="I963" s="1" t="n"/>
      <c r="J963" s="1" t="n"/>
      <c r="K963" s="1" t="n"/>
      <c r="L963" s="1" t="n"/>
      <c r="N963" s="1" t="n"/>
      <c r="O963" s="1" t="n"/>
      <c r="P963" s="1" t="n"/>
      <c r="Q963" s="1" t="n"/>
      <c r="R963" s="1" t="n"/>
    </row>
    <row r="964" ht="15.75" customHeight="1" s="143">
      <c r="B964" s="1" t="n"/>
      <c r="C964" s="1" t="n"/>
      <c r="D964" s="1" t="n"/>
      <c r="E964" s="1" t="n"/>
      <c r="F964" s="1" t="n"/>
      <c r="H964" s="1" t="n"/>
      <c r="I964" s="1" t="n"/>
      <c r="J964" s="1" t="n"/>
      <c r="K964" s="1" t="n"/>
      <c r="L964" s="1" t="n"/>
      <c r="N964" s="1" t="n"/>
      <c r="O964" s="1" t="n"/>
      <c r="P964" s="1" t="n"/>
      <c r="Q964" s="1" t="n"/>
      <c r="R964" s="1" t="n"/>
    </row>
    <row r="965" ht="15.75" customHeight="1" s="143">
      <c r="B965" s="1" t="n"/>
      <c r="C965" s="1" t="n"/>
      <c r="D965" s="1" t="n"/>
      <c r="E965" s="1" t="n"/>
      <c r="F965" s="1" t="n"/>
      <c r="H965" s="1" t="n"/>
      <c r="I965" s="1" t="n"/>
      <c r="J965" s="1" t="n"/>
      <c r="K965" s="1" t="n"/>
      <c r="L965" s="1" t="n"/>
      <c r="N965" s="1" t="n"/>
      <c r="O965" s="1" t="n"/>
      <c r="P965" s="1" t="n"/>
      <c r="Q965" s="1" t="n"/>
      <c r="R965" s="1" t="n"/>
    </row>
    <row r="966" ht="15.75" customHeight="1" s="143">
      <c r="B966" s="1" t="n"/>
      <c r="C966" s="1" t="n"/>
      <c r="D966" s="1" t="n"/>
      <c r="E966" s="1" t="n"/>
      <c r="F966" s="1" t="n"/>
      <c r="H966" s="1" t="n"/>
      <c r="I966" s="1" t="n"/>
      <c r="J966" s="1" t="n"/>
      <c r="K966" s="1" t="n"/>
      <c r="L966" s="1" t="n"/>
      <c r="N966" s="1" t="n"/>
      <c r="O966" s="1" t="n"/>
      <c r="P966" s="1" t="n"/>
      <c r="Q966" s="1" t="n"/>
      <c r="R966" s="1" t="n"/>
    </row>
    <row r="967" ht="15.75" customHeight="1" s="143">
      <c r="B967" s="1" t="n"/>
      <c r="C967" s="1" t="n"/>
      <c r="D967" s="1" t="n"/>
      <c r="E967" s="1" t="n"/>
      <c r="F967" s="1" t="n"/>
      <c r="H967" s="1" t="n"/>
      <c r="I967" s="1" t="n"/>
      <c r="J967" s="1" t="n"/>
      <c r="K967" s="1" t="n"/>
      <c r="L967" s="1" t="n"/>
      <c r="N967" s="1" t="n"/>
      <c r="O967" s="1" t="n"/>
      <c r="P967" s="1" t="n"/>
      <c r="Q967" s="1" t="n"/>
      <c r="R967" s="1" t="n"/>
    </row>
    <row r="968" ht="15.75" customHeight="1" s="143">
      <c r="B968" s="1" t="n"/>
      <c r="C968" s="1" t="n"/>
      <c r="D968" s="1" t="n"/>
      <c r="E968" s="1" t="n"/>
      <c r="F968" s="1" t="n"/>
      <c r="H968" s="1" t="n"/>
      <c r="I968" s="1" t="n"/>
      <c r="J968" s="1" t="n"/>
      <c r="K968" s="1" t="n"/>
      <c r="L968" s="1" t="n"/>
      <c r="N968" s="1" t="n"/>
      <c r="O968" s="1" t="n"/>
      <c r="P968" s="1" t="n"/>
      <c r="Q968" s="1" t="n"/>
      <c r="R968" s="1" t="n"/>
    </row>
    <row r="969" ht="15.75" customHeight="1" s="143">
      <c r="B969" s="1" t="n"/>
      <c r="C969" s="1" t="n"/>
      <c r="D969" s="1" t="n"/>
      <c r="E969" s="1" t="n"/>
      <c r="F969" s="1" t="n"/>
      <c r="H969" s="1" t="n"/>
      <c r="I969" s="1" t="n"/>
      <c r="J969" s="1" t="n"/>
      <c r="K969" s="1" t="n"/>
      <c r="L969" s="1" t="n"/>
      <c r="N969" s="1" t="n"/>
      <c r="O969" s="1" t="n"/>
      <c r="P969" s="1" t="n"/>
      <c r="Q969" s="1" t="n"/>
      <c r="R969" s="1" t="n"/>
    </row>
    <row r="970" ht="15.75" customHeight="1" s="143">
      <c r="B970" s="1" t="n"/>
      <c r="C970" s="1" t="n"/>
      <c r="D970" s="1" t="n"/>
      <c r="E970" s="1" t="n"/>
      <c r="F970" s="1" t="n"/>
      <c r="H970" s="1" t="n"/>
      <c r="I970" s="1" t="n"/>
      <c r="J970" s="1" t="n"/>
      <c r="K970" s="1" t="n"/>
      <c r="L970" s="1" t="n"/>
      <c r="N970" s="1" t="n"/>
      <c r="O970" s="1" t="n"/>
      <c r="P970" s="1" t="n"/>
      <c r="Q970" s="1" t="n"/>
      <c r="R970" s="1" t="n"/>
    </row>
    <row r="971" ht="15.75" customHeight="1" s="143">
      <c r="B971" s="1" t="n"/>
      <c r="C971" s="1" t="n"/>
      <c r="D971" s="1" t="n"/>
      <c r="E971" s="1" t="n"/>
      <c r="F971" s="1" t="n"/>
      <c r="H971" s="1" t="n"/>
      <c r="I971" s="1" t="n"/>
      <c r="J971" s="1" t="n"/>
      <c r="K971" s="1" t="n"/>
      <c r="L971" s="1" t="n"/>
      <c r="N971" s="1" t="n"/>
      <c r="O971" s="1" t="n"/>
      <c r="P971" s="1" t="n"/>
      <c r="Q971" s="1" t="n"/>
      <c r="R971" s="1" t="n"/>
    </row>
    <row r="972" ht="15.75" customHeight="1" s="143">
      <c r="B972" s="1" t="n"/>
      <c r="C972" s="1" t="n"/>
      <c r="D972" s="1" t="n"/>
      <c r="E972" s="1" t="n"/>
      <c r="F972" s="1" t="n"/>
      <c r="H972" s="1" t="n"/>
      <c r="I972" s="1" t="n"/>
      <c r="J972" s="1" t="n"/>
      <c r="K972" s="1" t="n"/>
      <c r="L972" s="1" t="n"/>
      <c r="N972" s="1" t="n"/>
      <c r="O972" s="1" t="n"/>
      <c r="P972" s="1" t="n"/>
      <c r="Q972" s="1" t="n"/>
      <c r="R972" s="1" t="n"/>
    </row>
    <row r="973" ht="15.75" customHeight="1" s="143">
      <c r="B973" s="1" t="n"/>
      <c r="C973" s="1" t="n"/>
      <c r="D973" s="1" t="n"/>
      <c r="E973" s="1" t="n"/>
      <c r="F973" s="1" t="n"/>
      <c r="H973" s="1" t="n"/>
      <c r="I973" s="1" t="n"/>
      <c r="J973" s="1" t="n"/>
      <c r="K973" s="1" t="n"/>
      <c r="L973" s="1" t="n"/>
      <c r="N973" s="1" t="n"/>
      <c r="O973" s="1" t="n"/>
      <c r="P973" s="1" t="n"/>
      <c r="Q973" s="1" t="n"/>
      <c r="R973" s="1" t="n"/>
    </row>
    <row r="974" ht="15.75" customHeight="1" s="143">
      <c r="B974" s="1" t="n"/>
      <c r="C974" s="1" t="n"/>
      <c r="D974" s="1" t="n"/>
      <c r="E974" s="1" t="n"/>
      <c r="F974" s="1" t="n"/>
      <c r="H974" s="1" t="n"/>
      <c r="I974" s="1" t="n"/>
      <c r="J974" s="1" t="n"/>
      <c r="K974" s="1" t="n"/>
      <c r="L974" s="1" t="n"/>
      <c r="N974" s="1" t="n"/>
      <c r="O974" s="1" t="n"/>
      <c r="P974" s="1" t="n"/>
      <c r="Q974" s="1" t="n"/>
      <c r="R974" s="1" t="n"/>
    </row>
    <row r="975" ht="15.75" customHeight="1" s="143">
      <c r="B975" s="1" t="n"/>
      <c r="C975" s="1" t="n"/>
      <c r="D975" s="1" t="n"/>
      <c r="E975" s="1" t="n"/>
      <c r="F975" s="1" t="n"/>
      <c r="H975" s="1" t="n"/>
      <c r="I975" s="1" t="n"/>
      <c r="J975" s="1" t="n"/>
      <c r="K975" s="1" t="n"/>
      <c r="L975" s="1" t="n"/>
      <c r="N975" s="1" t="n"/>
      <c r="O975" s="1" t="n"/>
      <c r="P975" s="1" t="n"/>
      <c r="Q975" s="1" t="n"/>
      <c r="R975" s="1" t="n"/>
    </row>
    <row r="976" ht="15.75" customHeight="1" s="143">
      <c r="B976" s="1" t="n"/>
      <c r="C976" s="1" t="n"/>
      <c r="D976" s="1" t="n"/>
      <c r="E976" s="1" t="n"/>
      <c r="F976" s="1" t="n"/>
      <c r="H976" s="1" t="n"/>
      <c r="I976" s="1" t="n"/>
      <c r="J976" s="1" t="n"/>
      <c r="K976" s="1" t="n"/>
      <c r="L976" s="1" t="n"/>
      <c r="N976" s="1" t="n"/>
      <c r="O976" s="1" t="n"/>
      <c r="P976" s="1" t="n"/>
      <c r="Q976" s="1" t="n"/>
      <c r="R976" s="1" t="n"/>
    </row>
    <row r="977" ht="15.75" customHeight="1" s="143">
      <c r="B977" s="1" t="n"/>
      <c r="C977" s="1" t="n"/>
      <c r="D977" s="1" t="n"/>
      <c r="E977" s="1" t="n"/>
      <c r="F977" s="1" t="n"/>
      <c r="H977" s="1" t="n"/>
      <c r="I977" s="1" t="n"/>
      <c r="J977" s="1" t="n"/>
      <c r="K977" s="1" t="n"/>
      <c r="L977" s="1" t="n"/>
      <c r="N977" s="1" t="n"/>
      <c r="O977" s="1" t="n"/>
      <c r="P977" s="1" t="n"/>
      <c r="Q977" s="1" t="n"/>
      <c r="R977" s="1" t="n"/>
    </row>
    <row r="978" ht="15.75" customHeight="1" s="143">
      <c r="B978" s="1" t="n"/>
      <c r="C978" s="1" t="n"/>
      <c r="D978" s="1" t="n"/>
      <c r="E978" s="1" t="n"/>
      <c r="F978" s="1" t="n"/>
      <c r="H978" s="1" t="n"/>
      <c r="I978" s="1" t="n"/>
      <c r="J978" s="1" t="n"/>
      <c r="K978" s="1" t="n"/>
      <c r="L978" s="1" t="n"/>
      <c r="N978" s="1" t="n"/>
      <c r="O978" s="1" t="n"/>
      <c r="P978" s="1" t="n"/>
      <c r="Q978" s="1" t="n"/>
      <c r="R978" s="1" t="n"/>
    </row>
    <row r="979" ht="15.75" customHeight="1" s="143">
      <c r="B979" s="1" t="n"/>
      <c r="C979" s="1" t="n"/>
      <c r="D979" s="1" t="n"/>
      <c r="E979" s="1" t="n"/>
      <c r="F979" s="1" t="n"/>
      <c r="H979" s="1" t="n"/>
      <c r="I979" s="1" t="n"/>
      <c r="J979" s="1" t="n"/>
      <c r="K979" s="1" t="n"/>
      <c r="L979" s="1" t="n"/>
      <c r="N979" s="1" t="n"/>
      <c r="O979" s="1" t="n"/>
      <c r="P979" s="1" t="n"/>
      <c r="Q979" s="1" t="n"/>
      <c r="R979" s="1" t="n"/>
    </row>
    <row r="980" ht="15.75" customHeight="1" s="143">
      <c r="B980" s="1" t="n"/>
      <c r="C980" s="1" t="n"/>
      <c r="D980" s="1" t="n"/>
      <c r="E980" s="1" t="n"/>
      <c r="F980" s="1" t="n"/>
      <c r="H980" s="1" t="n"/>
      <c r="I980" s="1" t="n"/>
      <c r="J980" s="1" t="n"/>
      <c r="K980" s="1" t="n"/>
      <c r="L980" s="1" t="n"/>
      <c r="N980" s="1" t="n"/>
      <c r="O980" s="1" t="n"/>
      <c r="P980" s="1" t="n"/>
      <c r="Q980" s="1" t="n"/>
      <c r="R980" s="1" t="n"/>
    </row>
    <row r="981" ht="15.75" customHeight="1" s="143">
      <c r="B981" s="1" t="n"/>
      <c r="C981" s="1" t="n"/>
      <c r="D981" s="1" t="n"/>
      <c r="E981" s="1" t="n"/>
      <c r="F981" s="1" t="n"/>
      <c r="H981" s="1" t="n"/>
      <c r="I981" s="1" t="n"/>
      <c r="J981" s="1" t="n"/>
      <c r="K981" s="1" t="n"/>
      <c r="L981" s="1" t="n"/>
      <c r="N981" s="1" t="n"/>
      <c r="O981" s="1" t="n"/>
      <c r="P981" s="1" t="n"/>
      <c r="Q981" s="1" t="n"/>
      <c r="R981" s="1" t="n"/>
    </row>
    <row r="982" ht="15.75" customHeight="1" s="143">
      <c r="B982" s="1" t="n"/>
      <c r="C982" s="1" t="n"/>
      <c r="D982" s="1" t="n"/>
      <c r="E982" s="1" t="n"/>
      <c r="F982" s="1" t="n"/>
      <c r="H982" s="1" t="n"/>
      <c r="I982" s="1" t="n"/>
      <c r="J982" s="1" t="n"/>
      <c r="K982" s="1" t="n"/>
      <c r="L982" s="1" t="n"/>
      <c r="N982" s="1" t="n"/>
      <c r="O982" s="1" t="n"/>
      <c r="P982" s="1" t="n"/>
      <c r="Q982" s="1" t="n"/>
      <c r="R982" s="1" t="n"/>
    </row>
    <row r="983" ht="15.75" customHeight="1" s="143">
      <c r="B983" s="1" t="n"/>
      <c r="C983" s="1" t="n"/>
      <c r="D983" s="1" t="n"/>
      <c r="E983" s="1" t="n"/>
      <c r="F983" s="1" t="n"/>
      <c r="H983" s="1" t="n"/>
      <c r="I983" s="1" t="n"/>
      <c r="J983" s="1" t="n"/>
      <c r="K983" s="1" t="n"/>
      <c r="L983" s="1" t="n"/>
      <c r="N983" s="1" t="n"/>
      <c r="O983" s="1" t="n"/>
      <c r="P983" s="1" t="n"/>
      <c r="Q983" s="1" t="n"/>
      <c r="R983" s="1" t="n"/>
    </row>
    <row r="984" ht="15.75" customHeight="1" s="143">
      <c r="B984" s="1" t="n"/>
      <c r="C984" s="1" t="n"/>
      <c r="D984" s="1" t="n"/>
      <c r="E984" s="1" t="n"/>
      <c r="F984" s="1" t="n"/>
      <c r="H984" s="1" t="n"/>
      <c r="I984" s="1" t="n"/>
      <c r="J984" s="1" t="n"/>
      <c r="K984" s="1" t="n"/>
      <c r="L984" s="1" t="n"/>
      <c r="N984" s="1" t="n"/>
      <c r="O984" s="1" t="n"/>
      <c r="P984" s="1" t="n"/>
      <c r="Q984" s="1" t="n"/>
      <c r="R984" s="1" t="n"/>
    </row>
    <row r="985" ht="15.75" customHeight="1" s="143">
      <c r="B985" s="1" t="n"/>
      <c r="C985" s="1" t="n"/>
      <c r="D985" s="1" t="n"/>
      <c r="E985" s="1" t="n"/>
      <c r="F985" s="1" t="n"/>
      <c r="H985" s="1" t="n"/>
      <c r="I985" s="1" t="n"/>
      <c r="J985" s="1" t="n"/>
      <c r="K985" s="1" t="n"/>
      <c r="L985" s="1" t="n"/>
      <c r="N985" s="1" t="n"/>
      <c r="O985" s="1" t="n"/>
      <c r="P985" s="1" t="n"/>
      <c r="Q985" s="1" t="n"/>
      <c r="R985" s="1" t="n"/>
    </row>
    <row r="986" ht="15.75" customHeight="1" s="143">
      <c r="B986" s="1" t="n"/>
      <c r="C986" s="1" t="n"/>
      <c r="D986" s="1" t="n"/>
      <c r="E986" s="1" t="n"/>
      <c r="F986" s="1" t="n"/>
      <c r="H986" s="1" t="n"/>
      <c r="I986" s="1" t="n"/>
      <c r="J986" s="1" t="n"/>
      <c r="K986" s="1" t="n"/>
      <c r="L986" s="1" t="n"/>
      <c r="N986" s="1" t="n"/>
      <c r="O986" s="1" t="n"/>
      <c r="P986" s="1" t="n"/>
      <c r="Q986" s="1" t="n"/>
      <c r="R986" s="1" t="n"/>
    </row>
    <row r="987" ht="15.75" customHeight="1" s="143">
      <c r="B987" s="1" t="n"/>
      <c r="C987" s="1" t="n"/>
      <c r="D987" s="1" t="n"/>
      <c r="E987" s="1" t="n"/>
      <c r="F987" s="1" t="n"/>
      <c r="H987" s="1" t="n"/>
      <c r="I987" s="1" t="n"/>
      <c r="J987" s="1" t="n"/>
      <c r="K987" s="1" t="n"/>
      <c r="L987" s="1" t="n"/>
      <c r="N987" s="1" t="n"/>
      <c r="O987" s="1" t="n"/>
      <c r="P987" s="1" t="n"/>
      <c r="Q987" s="1" t="n"/>
      <c r="R987" s="1" t="n"/>
    </row>
    <row r="988" ht="15.75" customHeight="1" s="143">
      <c r="B988" s="1" t="n"/>
      <c r="C988" s="1" t="n"/>
      <c r="D988" s="1" t="n"/>
      <c r="E988" s="1" t="n"/>
      <c r="F988" s="1" t="n"/>
      <c r="H988" s="1" t="n"/>
      <c r="I988" s="1" t="n"/>
      <c r="J988" s="1" t="n"/>
      <c r="K988" s="1" t="n"/>
      <c r="L988" s="1" t="n"/>
      <c r="N988" s="1" t="n"/>
      <c r="O988" s="1" t="n"/>
      <c r="P988" s="1" t="n"/>
      <c r="Q988" s="1" t="n"/>
      <c r="R988" s="1" t="n"/>
    </row>
    <row r="989" ht="15.75" customHeight="1" s="143">
      <c r="B989" s="1" t="n"/>
      <c r="C989" s="1" t="n"/>
      <c r="D989" s="1" t="n"/>
      <c r="E989" s="1" t="n"/>
      <c r="F989" s="1" t="n"/>
      <c r="H989" s="1" t="n"/>
      <c r="I989" s="1" t="n"/>
      <c r="J989" s="1" t="n"/>
      <c r="K989" s="1" t="n"/>
      <c r="L989" s="1" t="n"/>
      <c r="N989" s="1" t="n"/>
      <c r="O989" s="1" t="n"/>
      <c r="P989" s="1" t="n"/>
      <c r="Q989" s="1" t="n"/>
      <c r="R989" s="1" t="n"/>
    </row>
    <row r="990" ht="15.75" customHeight="1" s="143">
      <c r="B990" s="1" t="n"/>
      <c r="C990" s="1" t="n"/>
      <c r="D990" s="1" t="n"/>
      <c r="E990" s="1" t="n"/>
      <c r="F990" s="1" t="n"/>
      <c r="H990" s="1" t="n"/>
      <c r="I990" s="1" t="n"/>
      <c r="J990" s="1" t="n"/>
      <c r="K990" s="1" t="n"/>
      <c r="L990" s="1" t="n"/>
      <c r="N990" s="1" t="n"/>
      <c r="O990" s="1" t="n"/>
      <c r="P990" s="1" t="n"/>
      <c r="Q990" s="1" t="n"/>
      <c r="R990" s="1" t="n"/>
    </row>
    <row r="991" ht="15.75" customHeight="1" s="143">
      <c r="B991" s="1" t="n"/>
      <c r="C991" s="1" t="n"/>
      <c r="D991" s="1" t="n"/>
      <c r="E991" s="1" t="n"/>
      <c r="F991" s="1" t="n"/>
      <c r="H991" s="1" t="n"/>
      <c r="I991" s="1" t="n"/>
      <c r="J991" s="1" t="n"/>
      <c r="K991" s="1" t="n"/>
      <c r="L991" s="1" t="n"/>
      <c r="N991" s="1" t="n"/>
      <c r="O991" s="1" t="n"/>
      <c r="P991" s="1" t="n"/>
      <c r="Q991" s="1" t="n"/>
      <c r="R991" s="1" t="n"/>
    </row>
    <row r="992" ht="15.75" customHeight="1" s="143">
      <c r="B992" s="1" t="n"/>
      <c r="C992" s="1" t="n"/>
      <c r="D992" s="1" t="n"/>
      <c r="E992" s="1" t="n"/>
      <c r="F992" s="1" t="n"/>
      <c r="H992" s="1" t="n"/>
      <c r="I992" s="1" t="n"/>
      <c r="J992" s="1" t="n"/>
      <c r="K992" s="1" t="n"/>
      <c r="L992" s="1" t="n"/>
      <c r="N992" s="1" t="n"/>
      <c r="O992" s="1" t="n"/>
      <c r="P992" s="1" t="n"/>
      <c r="Q992" s="1" t="n"/>
      <c r="R992" s="1" t="n"/>
    </row>
    <row r="993" ht="15.75" customHeight="1" s="143">
      <c r="B993" s="1" t="n"/>
      <c r="C993" s="1" t="n"/>
      <c r="D993" s="1" t="n"/>
      <c r="E993" s="1" t="n"/>
      <c r="F993" s="1" t="n"/>
      <c r="H993" s="1" t="n"/>
      <c r="I993" s="1" t="n"/>
      <c r="J993" s="1" t="n"/>
      <c r="K993" s="1" t="n"/>
      <c r="L993" s="1" t="n"/>
      <c r="N993" s="1" t="n"/>
      <c r="O993" s="1" t="n"/>
      <c r="P993" s="1" t="n"/>
      <c r="Q993" s="1" t="n"/>
      <c r="R993" s="1" t="n"/>
    </row>
    <row r="994" ht="15.75" customHeight="1" s="143">
      <c r="B994" s="1" t="n"/>
      <c r="C994" s="1" t="n"/>
      <c r="D994" s="1" t="n"/>
      <c r="E994" s="1" t="n"/>
      <c r="F994" s="1" t="n"/>
      <c r="H994" s="1" t="n"/>
      <c r="I994" s="1" t="n"/>
      <c r="J994" s="1" t="n"/>
      <c r="K994" s="1" t="n"/>
      <c r="L994" s="1" t="n"/>
      <c r="N994" s="1" t="n"/>
      <c r="O994" s="1" t="n"/>
      <c r="P994" s="1" t="n"/>
      <c r="Q994" s="1" t="n"/>
      <c r="R994" s="1" t="n"/>
    </row>
    <row r="995" ht="15.75" customHeight="1" s="143">
      <c r="B995" s="1" t="n"/>
      <c r="C995" s="1" t="n"/>
      <c r="D995" s="1" t="n"/>
      <c r="E995" s="1" t="n"/>
      <c r="F995" s="1" t="n"/>
      <c r="H995" s="1" t="n"/>
      <c r="I995" s="1" t="n"/>
      <c r="J995" s="1" t="n"/>
      <c r="K995" s="1" t="n"/>
      <c r="L995" s="1" t="n"/>
      <c r="N995" s="1" t="n"/>
      <c r="O995" s="1" t="n"/>
      <c r="P995" s="1" t="n"/>
      <c r="Q995" s="1" t="n"/>
      <c r="R995" s="1" t="n"/>
    </row>
    <row r="996" ht="15.75" customHeight="1" s="143">
      <c r="B996" s="1" t="n"/>
      <c r="C996" s="1" t="n"/>
      <c r="D996" s="1" t="n"/>
      <c r="E996" s="1" t="n"/>
      <c r="F996" s="1" t="n"/>
      <c r="H996" s="1" t="n"/>
      <c r="I996" s="1" t="n"/>
      <c r="J996" s="1" t="n"/>
      <c r="K996" s="1" t="n"/>
      <c r="L996" s="1" t="n"/>
      <c r="N996" s="1" t="n"/>
      <c r="O996" s="1" t="n"/>
      <c r="P996" s="1" t="n"/>
      <c r="Q996" s="1" t="n"/>
      <c r="R996" s="1" t="n"/>
    </row>
    <row r="997" ht="15.75" customHeight="1" s="143">
      <c r="B997" s="1" t="n"/>
      <c r="C997" s="1" t="n"/>
      <c r="D997" s="1" t="n"/>
      <c r="E997" s="1" t="n"/>
      <c r="F997" s="1" t="n"/>
      <c r="H997" s="1" t="n"/>
      <c r="I997" s="1" t="n"/>
      <c r="J997" s="1" t="n"/>
      <c r="K997" s="1" t="n"/>
      <c r="L997" s="1" t="n"/>
      <c r="N997" s="1" t="n"/>
      <c r="O997" s="1" t="n"/>
      <c r="P997" s="1" t="n"/>
      <c r="Q997" s="1" t="n"/>
      <c r="R997" s="1" t="n"/>
    </row>
    <row r="998" ht="15.75" customHeight="1" s="143">
      <c r="B998" s="1" t="n"/>
      <c r="C998" s="1" t="n"/>
      <c r="D998" s="1" t="n"/>
      <c r="E998" s="1" t="n"/>
      <c r="F998" s="1" t="n"/>
      <c r="H998" s="1" t="n"/>
      <c r="I998" s="1" t="n"/>
      <c r="J998" s="1" t="n"/>
      <c r="K998" s="1" t="n"/>
      <c r="L998" s="1" t="n"/>
      <c r="N998" s="1" t="n"/>
      <c r="O998" s="1" t="n"/>
      <c r="P998" s="1" t="n"/>
      <c r="Q998" s="1" t="n"/>
      <c r="R998" s="1" t="n"/>
    </row>
    <row r="999" ht="15.75" customHeight="1" s="143">
      <c r="B999" s="1" t="n"/>
      <c r="C999" s="1" t="n"/>
      <c r="D999" s="1" t="n"/>
      <c r="E999" s="1" t="n"/>
      <c r="F999" s="1" t="n"/>
      <c r="H999" s="1" t="n"/>
      <c r="I999" s="1" t="n"/>
      <c r="J999" s="1" t="n"/>
      <c r="K999" s="1" t="n"/>
      <c r="L999" s="1" t="n"/>
      <c r="N999" s="1" t="n"/>
      <c r="O999" s="1" t="n"/>
      <c r="P999" s="1" t="n"/>
      <c r="Q999" s="1" t="n"/>
      <c r="R999" s="1" t="n"/>
    </row>
    <row r="1000" ht="15.75" customHeight="1" s="143">
      <c r="B1000" s="1" t="n"/>
      <c r="C1000" s="1" t="n"/>
      <c r="D1000" s="1" t="n"/>
      <c r="E1000" s="1" t="n"/>
      <c r="F1000" s="1" t="n"/>
      <c r="H1000" s="1" t="n"/>
      <c r="I1000" s="1" t="n"/>
      <c r="J1000" s="1" t="n"/>
      <c r="K1000" s="1" t="n"/>
      <c r="L1000" s="1" t="n"/>
      <c r="N1000" s="1" t="n"/>
      <c r="O1000" s="1" t="n"/>
      <c r="P1000" s="1" t="n"/>
      <c r="Q1000" s="1" t="n"/>
      <c r="R1000" s="1" t="n"/>
    </row>
  </sheetData>
  <mergeCells count="59">
    <mergeCell ref="H22:K22"/>
    <mergeCell ref="H26:L26"/>
    <mergeCell ref="N20:R20"/>
    <mergeCell ref="H13:K13"/>
    <mergeCell ref="N13:Q13"/>
    <mergeCell ref="N26:R26"/>
    <mergeCell ref="H20:L20"/>
    <mergeCell ref="N11:R11"/>
    <mergeCell ref="B6:E6"/>
    <mergeCell ref="B30:E30"/>
    <mergeCell ref="B34:E34"/>
    <mergeCell ref="N6:Q6"/>
    <mergeCell ref="B3:R3"/>
    <mergeCell ref="H18:K18"/>
    <mergeCell ref="B11:F11"/>
    <mergeCell ref="B2:R2"/>
    <mergeCell ref="B7:E7"/>
    <mergeCell ref="B25:E25"/>
    <mergeCell ref="B23:F23"/>
    <mergeCell ref="B42:R42"/>
    <mergeCell ref="B8:F8"/>
    <mergeCell ref="B14:F14"/>
    <mergeCell ref="N14:R14"/>
    <mergeCell ref="B17:F17"/>
    <mergeCell ref="N7:Q7"/>
    <mergeCell ref="N5:R5"/>
    <mergeCell ref="B22:E22"/>
    <mergeCell ref="H10:K10"/>
    <mergeCell ref="N23:R23"/>
    <mergeCell ref="N8:R8"/>
    <mergeCell ref="B31:E31"/>
    <mergeCell ref="N25:Q25"/>
    <mergeCell ref="B29:F29"/>
    <mergeCell ref="N17:R17"/>
    <mergeCell ref="H11:L11"/>
    <mergeCell ref="B38:F38"/>
    <mergeCell ref="N22:Q22"/>
    <mergeCell ref="H17:L17"/>
    <mergeCell ref="B18:E18"/>
    <mergeCell ref="B32:F32"/>
    <mergeCell ref="B35:F35"/>
    <mergeCell ref="H25:K25"/>
    <mergeCell ref="H6:K6"/>
    <mergeCell ref="H8:L8"/>
    <mergeCell ref="H5:L5"/>
    <mergeCell ref="B26:F26"/>
    <mergeCell ref="N18:Q18"/>
    <mergeCell ref="B20:F20"/>
    <mergeCell ref="B13:E13"/>
    <mergeCell ref="B5:F5"/>
    <mergeCell ref="H14:L14"/>
    <mergeCell ref="B19:E19"/>
    <mergeCell ref="B37:E37"/>
    <mergeCell ref="H23:L23"/>
    <mergeCell ref="B10:E10"/>
    <mergeCell ref="H7:K7"/>
    <mergeCell ref="N10:Q10"/>
    <mergeCell ref="H19:K19"/>
    <mergeCell ref="N19:Q19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2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3" min="1" max="1"/>
    <col width="26" customWidth="1" style="143" min="2" max="2"/>
    <col width="23" customWidth="1" style="143" min="3" max="9"/>
    <col width="12" customWidth="1" style="143" min="10" max="10"/>
    <col width="8.710000000000001" customWidth="1" style="143" min="11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42" customHeight="1" s="143">
      <c r="A2" s="1" t="n"/>
      <c r="B2" s="44" t="inlineStr">
        <is>
          <t>📈  СТАТИСТИКА СЕЗОНА</t>
        </is>
      </c>
      <c r="J2" s="1" t="n"/>
    </row>
    <row r="3" ht="21.75" customHeight="1" s="143">
      <c r="A3" s="1" t="n"/>
      <c r="B3" s="68" t="inlineStr">
        <is>
          <t>Общая аналитика по всем участникам · Обновляется автоматически</t>
        </is>
      </c>
      <c r="J3" s="1" t="n"/>
    </row>
    <row r="4" ht="13.5" customHeight="1" s="143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21.75" customHeight="1" s="143">
      <c r="A5" s="1" t="n"/>
      <c r="B5" s="69" t="inlineStr">
        <is>
          <t>🔢  ОБЩИЕ ПОКАЗАТЕЛИ</t>
        </is>
      </c>
      <c r="J5" s="1" t="n"/>
    </row>
    <row r="6" ht="13.5" customHeight="1" s="143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31.5" customHeight="1" s="143">
      <c r="A7" s="1" t="n"/>
      <c r="B7" s="70">
        <f>COUNTIF('👥 Участники'!C4:C103,"?*")</f>
        <v/>
      </c>
      <c r="C7" s="71">
        <f>6</f>
        <v/>
      </c>
      <c r="D7" s="72">
        <f>IFERROR(MAX('📊 Общий рейтинг'!J6:J105),0)</f>
        <v/>
      </c>
      <c r="E7" s="73">
        <f>IFERROR(ROUND(AVERAGEIF('📊 Общий рейтинг'!J6:J105,"&gt;0"),1),0)</f>
        <v/>
      </c>
      <c r="F7" s="74">
        <f>IFERROR(SUM('📊 Общий рейтинг'!J6:J105),0)</f>
        <v/>
      </c>
      <c r="G7" s="75">
        <f>IFERROR(COUNTIF('📊 Общий рейтинг'!K6:K105,"&lt;=3"),0)</f>
        <v/>
      </c>
      <c r="H7" s="1" t="n"/>
      <c r="I7" s="1" t="n"/>
      <c r="J7" s="1" t="n"/>
    </row>
    <row r="8" ht="27.75" customHeight="1" s="143">
      <c r="A8" s="1" t="n"/>
      <c r="B8" s="76" t="inlineStr">
        <is>
          <t>👥
Участников</t>
        </is>
      </c>
      <c r="C8" s="77" t="inlineStr">
        <is>
          <t>🏆
Номинаций</t>
        </is>
      </c>
      <c r="D8" s="78" t="inlineStr">
        <is>
          <t>⭐
Макс. баллов</t>
        </is>
      </c>
      <c r="E8" s="79" t="inlineStr">
        <is>
          <t>📊
Сред. баллов</t>
        </is>
      </c>
      <c r="F8" s="80" t="inlineStr">
        <is>
          <t>🎯
Всего баллов</t>
        </is>
      </c>
      <c r="G8" s="81" t="inlineStr">
        <is>
          <t>🏅
Уч-ков в ТОП3</t>
        </is>
      </c>
      <c r="H8" s="1" t="n"/>
      <c r="I8" s="1" t="n"/>
      <c r="J8" s="1" t="n"/>
    </row>
    <row r="9" ht="12" customHeight="1" s="143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 s="143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21.75" customHeight="1" s="143">
      <c r="A11" s="1" t="n"/>
      <c r="B11" s="69" t="inlineStr">
        <is>
          <t>🎯  УЧАСТНИКИ ПО НОМИНАЦИЯМ</t>
        </is>
      </c>
      <c r="J11" s="1" t="n"/>
    </row>
    <row r="12" ht="24" customHeight="1" s="143">
      <c r="A12" s="1" t="n"/>
      <c r="B12" s="31" t="inlineStr">
        <is>
          <t>Номинация</t>
        </is>
      </c>
      <c r="C12" s="31" t="inlineStr">
        <is>
          <t>Кол-во</t>
        </is>
      </c>
      <c r="D12" s="31" t="inlineStr">
        <is>
          <t>% от всех</t>
        </is>
      </c>
      <c r="E12" s="31" t="inlineStr">
        <is>
          <t>Макс. балл</t>
        </is>
      </c>
      <c r="F12" s="31" t="inlineStr">
        <is>
          <t>Сред. балл</t>
        </is>
      </c>
      <c r="G12" s="31" t="inlineStr">
        <is>
          <t>Мин. балл</t>
        </is>
      </c>
      <c r="H12" s="31" t="inlineStr">
        <is>
          <t>Лидер</t>
        </is>
      </c>
      <c r="I12" s="31" t="inlineStr">
        <is>
          <t>Баллы лидера</t>
        </is>
      </c>
      <c r="J12" s="1" t="n"/>
    </row>
    <row r="13" ht="21.75" customHeight="1" s="143">
      <c r="A13" s="1" t="n"/>
      <c r="B13" s="82" t="inlineStr">
        <is>
          <t>1 год обучения</t>
        </is>
      </c>
      <c r="C13" s="83">
        <f>COUNTIF('📊 Общий рейтинг'!$D$4:$D$103,"1 год обучения")</f>
        <v/>
      </c>
      <c r="D13" s="84">
        <f>IFERROR(COUNTIF('📊 Общий рейтинг'!$D$4:$D$103,"1 год обучения")/COUNTIF('👥 Участники'!C4:C103,"?*"),0)</f>
        <v/>
      </c>
      <c r="E13" s="83">
        <f>IFERROR(MAXIFS('📊 Общий рейтинг'!$J$4:$J$103,'📊 Общий рейтинг'!$D$4:$D$103,"1 год обучения"),0)</f>
        <v/>
      </c>
      <c r="F13" s="83">
        <f>IFERROR(ROUND(AVERAGEIFS('📊 Общий рейтинг'!$J$4:$J$103,'📊 Общий рейтинг'!$D$4:$D$103,"1 год обучения",'📊 Общий рейтинг'!$J$4:$J$103,"&gt;0"),1),0)</f>
        <v/>
      </c>
      <c r="G13" s="83">
        <f>IFERROR(MINIFS('📊 Общий рейтинг'!$J$4:$J$103,'📊 Общий рейтинг'!$D$4:$D$103,"1 год обучения",'📊 Общий рейтинг'!$J$4:$J$103,"&gt;0"),0)</f>
        <v/>
      </c>
      <c r="H13" s="83">
        <f t="array" ref="H13">IFERROR(INDEX('📊 Общий рейтинг'!$C$4:$C$103,MATCH(MAXIFS('📊 Общий рейтинг'!$J$4:$J$103,'📊 Общий рейтинг'!$D$4:$D$103,"1 год обучения"),IF('📊 Общий рейтинг'!$D$4:$D$103="1 год обучения",'📊 Общий рейтинг'!$J$4:$J$103),0)),"—")</f>
        <v/>
      </c>
      <c r="I13" s="83">
        <f>IFERROR(MAXIFS('📊 Общий рейтинг'!$J$4:$J$103,'📊 Общий рейтинг'!$D$4:$D$103,"1 год обучения"),0)</f>
        <v/>
      </c>
      <c r="J13" s="1" t="n"/>
    </row>
    <row r="14" ht="21.75" customHeight="1" s="143">
      <c r="A14" s="1" t="n"/>
      <c r="B14" s="85" t="inlineStr">
        <is>
          <t>до 3 лет опыта</t>
        </is>
      </c>
      <c r="C14" s="86">
        <f>COUNTIF('📊 Общий рейтинг'!$D$4:$D$103,"до 3 лет опыта")</f>
        <v/>
      </c>
      <c r="D14" s="87">
        <f>IFERROR(COUNTIF('📊 Общий рейтинг'!$D$4:$D$103,"до 3 лет опыта")/COUNTIF('👥 Участники'!C4:C103,"?*"),0)</f>
        <v/>
      </c>
      <c r="E14" s="86">
        <f>IFERROR(MAXIFS('📊 Общий рейтинг'!$J$4:$J$103,'📊 Общий рейтинг'!$D$4:$D$103,"до 3 лет опыта"),0)</f>
        <v/>
      </c>
      <c r="F14" s="86">
        <f>IFERROR(ROUND(AVERAGEIFS('📊 Общий рейтинг'!$J$4:$J$103,'📊 Общий рейтинг'!$D$4:$D$103,"до 3 лет опыта",'📊 Общий рейтинг'!$J$4:$J$103,"&gt;0"),1),0)</f>
        <v/>
      </c>
      <c r="G14" s="86">
        <f>IFERROR(MINIFS('📊 Общий рейтинг'!$J$4:$J$103,'📊 Общий рейтинг'!$D$4:$D$103,"до 3 лет опыта",'📊 Общий рейтинг'!$J$4:$J$103,"&gt;0"),0)</f>
        <v/>
      </c>
      <c r="H14" s="86">
        <f t="array" ref="H14">IFERROR(INDEX('📊 Общий рейтинг'!$C$4:$C$103,MATCH(MAXIFS('📊 Общий рейтинг'!$J$4:$J$103,'📊 Общий рейтинг'!$D$4:$D$103,"до 3 лет опыта"),IF('📊 Общий рейтинг'!$D$4:$D$103="до 3 лет опыта",'📊 Общий рейтинг'!$J$4:$J$103),0)),"—")</f>
        <v/>
      </c>
      <c r="I14" s="86">
        <f>IFERROR(MAXIFS('📊 Общий рейтинг'!$J$4:$J$103,'📊 Общий рейтинг'!$D$4:$D$103,"до 3 лет опыта"),0)</f>
        <v/>
      </c>
      <c r="J14" s="1" t="n"/>
    </row>
    <row r="15" ht="21.75" customHeight="1" s="143">
      <c r="A15" s="1" t="n"/>
      <c r="B15" s="88" t="inlineStr">
        <is>
          <t>до 6 лет</t>
        </is>
      </c>
      <c r="C15" s="89">
        <f>COUNTIF('📊 Общий рейтинг'!$D$4:$D$103,"до 6 лет")</f>
        <v/>
      </c>
      <c r="D15" s="90">
        <f>IFERROR(COUNTIF('📊 Общий рейтинг'!$D$4:$D$103,"до 6 лет")/COUNTIF('👥 Участники'!C4:C103,"?*"),0)</f>
        <v/>
      </c>
      <c r="E15" s="89">
        <f>IFERROR(MAXIFS('📊 Общий рейтинг'!$J$4:$J$103,'📊 Общий рейтинг'!$D$4:$D$103,"до 6 лет"),0)</f>
        <v/>
      </c>
      <c r="F15" s="89">
        <f>IFERROR(ROUND(AVERAGEIFS('📊 Общий рейтинг'!$J$4:$J$103,'📊 Общий рейтинг'!$D$4:$D$103,"до 6 лет",'📊 Общий рейтинг'!$J$4:$J$103,"&gt;0"),1),0)</f>
        <v/>
      </c>
      <c r="G15" s="89">
        <f>IFERROR(MINIFS('📊 Общий рейтинг'!$J$4:$J$103,'📊 Общий рейтинг'!$D$4:$D$103,"до 6 лет",'📊 Общий рейтинг'!$J$4:$J$103,"&gt;0"),0)</f>
        <v/>
      </c>
      <c r="H15" s="89">
        <f t="array" ref="H15">IFERROR(INDEX('📊 Общий рейтинг'!$C$4:$C$103,MATCH(MAXIFS('📊 Общий рейтинг'!$J$4:$J$103,'📊 Общий рейтинг'!$D$4:$D$103,"до 6 лет"),IF('📊 Общий рейтинг'!$D$4:$D$103="до 6 лет",'📊 Общий рейтинг'!$J$4:$J$103),0)),"—")</f>
        <v/>
      </c>
      <c r="I15" s="89">
        <f>IFERROR(MAXIFS('📊 Общий рейтинг'!$J$4:$J$103,'📊 Общий рейтинг'!$D$4:$D$103,"до 6 лет"),0)</f>
        <v/>
      </c>
      <c r="J15" s="1" t="n"/>
    </row>
    <row r="16" ht="21.75" customHeight="1" s="143">
      <c r="A16" s="1" t="n"/>
      <c r="B16" s="91" t="inlineStr">
        <is>
          <t>7-9 лет</t>
        </is>
      </c>
      <c r="C16" s="92">
        <f>COUNTIF('📊 Общий рейтинг'!$D$4:$D$103,"7-9 лет")</f>
        <v/>
      </c>
      <c r="D16" s="93">
        <f>IFERROR(COUNTIF('📊 Общий рейтинг'!$D$4:$D$103,"7-9 лет")/COUNTIF('👥 Участники'!C4:C103,"?*"),0)</f>
        <v/>
      </c>
      <c r="E16" s="92">
        <f>IFERROR(MAXIFS('📊 Общий рейтинг'!$J$4:$J$103,'📊 Общий рейтинг'!$D$4:$D$103,"7-9 лет"),0)</f>
        <v/>
      </c>
      <c r="F16" s="92">
        <f>IFERROR(ROUND(AVERAGEIFS('📊 Общий рейтинг'!$J$4:$J$103,'📊 Общий рейтинг'!$D$4:$D$103,"7-9 лет",'📊 Общий рейтинг'!$J$4:$J$103,"&gt;0"),1),0)</f>
        <v/>
      </c>
      <c r="G16" s="92">
        <f>IFERROR(MINIFS('📊 Общий рейтинг'!$J$4:$J$103,'📊 Общий рейтинг'!$D$4:$D$103,"7-9 лет",'📊 Общий рейтинг'!$J$4:$J$103,"&gt;0"),0)</f>
        <v/>
      </c>
      <c r="H16" s="92">
        <f t="array" ref="H16">IFERROR(INDEX('📊 Общий рейтинг'!$C$4:$C$103,MATCH(MAXIFS('📊 Общий рейтинг'!$J$4:$J$103,'📊 Общий рейтинг'!$D$4:$D$103,"7-9 лет"),IF('📊 Общий рейтинг'!$D$4:$D$103="7-9 лет",'📊 Общий рейтинг'!$J$4:$J$103),0)),"—")</f>
        <v/>
      </c>
      <c r="I16" s="92">
        <f>IFERROR(MAXIFS('📊 Общий рейтинг'!$J$4:$J$103,'📊 Общий рейтинг'!$D$4:$D$103,"7-9 лет"),0)</f>
        <v/>
      </c>
      <c r="J16" s="1" t="n"/>
    </row>
    <row r="17" ht="21.75" customHeight="1" s="143">
      <c r="A17" s="1" t="n"/>
      <c r="B17" s="94" t="inlineStr">
        <is>
          <t>10-13 лет</t>
        </is>
      </c>
      <c r="C17" s="95">
        <f>COUNTIF('📊 Общий рейтинг'!$D$4:$D$103,"10-13 лет")</f>
        <v/>
      </c>
      <c r="D17" s="96">
        <f>IFERROR(COUNTIF('📊 Общий рейтинг'!$D$4:$D$103,"10-13 лет")/COUNTIF('👥 Участники'!C4:C103,"?*"),0)</f>
        <v/>
      </c>
      <c r="E17" s="95">
        <f>IFERROR(MAXIFS('📊 Общий рейтинг'!$J$4:$J$103,'📊 Общий рейтинг'!$D$4:$D$103,"10-13 лет"),0)</f>
        <v/>
      </c>
      <c r="F17" s="95">
        <f>IFERROR(ROUND(AVERAGEIFS('📊 Общий рейтинг'!$J$4:$J$103,'📊 Общий рейтинг'!$D$4:$D$103,"10-13 лет",'📊 Общий рейтинг'!$J$4:$J$103,"&gt;0"),1),0)</f>
        <v/>
      </c>
      <c r="G17" s="95">
        <f>IFERROR(MINIFS('📊 Общий рейтинг'!$J$4:$J$103,'📊 Общий рейтинг'!$D$4:$D$103,"10-13 лет",'📊 Общий рейтинг'!$J$4:$J$103,"&gt;0"),0)</f>
        <v/>
      </c>
      <c r="H17" s="95">
        <f t="array" ref="H17">IFERROR(INDEX('📊 Общий рейтинг'!$C$4:$C$103,MATCH(MAXIFS('📊 Общий рейтинг'!$J$4:$J$103,'📊 Общий рейтинг'!$D$4:$D$103,"10-13 лет"),IF('📊 Общий рейтинг'!$D$4:$D$103="10-13 лет",'📊 Общий рейтинг'!$J$4:$J$103),0)),"—")</f>
        <v/>
      </c>
      <c r="I17" s="95">
        <f>IFERROR(MAXIFS('📊 Общий рейтинг'!$J$4:$J$103,'📊 Общий рейтинг'!$D$4:$D$103,"10-13 лет"),0)</f>
        <v/>
      </c>
      <c r="J17" s="1" t="n"/>
    </row>
    <row r="18" ht="21.75" customHeight="1" s="143">
      <c r="A18" s="1" t="n"/>
      <c r="B18" s="97" t="inlineStr">
        <is>
          <t>Kids Pro</t>
        </is>
      </c>
      <c r="C18" s="98">
        <f>COUNTIF('📊 Общий рейтинг'!$D$4:$D$103,"Kids Pro")</f>
        <v/>
      </c>
      <c r="D18" s="99">
        <f>IFERROR(COUNTIF('📊 Общий рейтинг'!$D$4:$D$103,"Kids Pro")/COUNTIF('👥 Участники'!C4:C103,"?*"),0)</f>
        <v/>
      </c>
      <c r="E18" s="98">
        <f>IFERROR(MAXIFS('📊 Общий рейтинг'!$J$4:$J$103,'📊 Общий рейтинг'!$D$4:$D$103,"Kids Pro"),0)</f>
        <v/>
      </c>
      <c r="F18" s="98">
        <f>IFERROR(ROUND(AVERAGEIFS('📊 Общий рейтинг'!$J$4:$J$103,'📊 Общий рейтинг'!$D$4:$D$103,"Kids Pro",'📊 Общий рейтинг'!$J$4:$J$103,"&gt;0"),1),0)</f>
        <v/>
      </c>
      <c r="G18" s="98">
        <f>IFERROR(MINIFS('📊 Общий рейтинг'!$J$4:$J$103,'📊 Общий рейтинг'!$D$4:$D$103,"Kids Pro",'📊 Общий рейтинг'!$J$4:$J$103,"&gt;0"),0)</f>
        <v/>
      </c>
      <c r="H18" s="98">
        <f t="array" ref="H18">IFERROR(INDEX('📊 Общий рейтинг'!$C$4:$C$103,MATCH(MAXIFS('📊 Общий рейтинг'!$J$4:$J$103,'📊 Общий рейтинг'!$D$4:$D$103,"Kids Pro"),IF('📊 Общий рейтинг'!$D$4:$D$103="Kids Pro",'📊 Общий рейтинг'!$J$4:$J$103),0)),"—")</f>
        <v/>
      </c>
      <c r="I18" s="98">
        <f>IFERROR(MAXIFS('📊 Общий рейтинг'!$J$4:$J$103,'📊 Общий рейтинг'!$D$4:$D$103,"Kids Pro"),0)</f>
        <v/>
      </c>
      <c r="J18" s="1" t="n"/>
    </row>
    <row r="19" ht="21.75" customHeight="1" s="143">
      <c r="A19" s="1" t="n"/>
      <c r="B19" s="100" t="inlineStr">
        <is>
          <t>Bgirl</t>
        </is>
      </c>
      <c r="C19" s="101">
        <f>COUNTIF('📊 Общий рейтинг'!$D$4:$D$103,"Bgirl")</f>
        <v/>
      </c>
      <c r="D19" s="102">
        <f>IFERROR(COUNTIF('📊 Общий рейтинг'!$D$4:$D$103,"Bgirl")/COUNTIF('👥 Участники'!C4:C103,"?*"),0)</f>
        <v/>
      </c>
      <c r="E19" s="101">
        <f>IFERROR(MAXIFS('📊 Общий рейтинг'!$J$4:$J$103,'📊 Общий рейтинг'!$D$4:$D$103,"Bgirl"),0)</f>
        <v/>
      </c>
      <c r="F19" s="101">
        <f>IFERROR(ROUND(AVERAGEIFS('📊 Общий рейтинг'!$J$4:$J$103,'📊 Общий рейтинг'!$D$4:$D$103,"Bgirl",'📊 Общий рейтинг'!$J$4:$J$103,"&gt;0"),1),0)</f>
        <v/>
      </c>
      <c r="G19" s="101">
        <f>IFERROR(MINIFS('📊 Общий рейтинг'!$J$4:$J$103,'📊 Общий рейтинг'!$D$4:$D$103,"Bgirl",'📊 Общий рейтинг'!$J$4:$J$103,"&gt;0"),0)</f>
        <v/>
      </c>
      <c r="H19" s="101">
        <f t="array" ref="H19">IFERROR(INDEX('📊 Общий рейтинг'!$C$4:$C$103,MATCH(MAXIFS('📊 Общий рейтинг'!$J$4:$J$103,'📊 Общий рейтинг'!$D$4:$D$103,"Bgirl"),IF('📊 Общий рейтинг'!$D$4:$D$103="Bgirl",'📊 Общий рейтинг'!$J$4:$J$103),0)),"—")</f>
        <v/>
      </c>
      <c r="I19" s="101">
        <f>IFERROR(MAXIFS('📊 Общий рейтинг'!$J$4:$J$103,'📊 Общий рейтинг'!$D$4:$D$103,"Bgirl"),0)</f>
        <v/>
      </c>
      <c r="J19" s="1" t="n"/>
    </row>
    <row r="20" ht="21.75" customHeight="1" s="143">
      <c r="A20" s="103" t="n"/>
      <c r="B20" s="104" t="n"/>
      <c r="C20" s="104" t="n"/>
      <c r="D20" s="104" t="n"/>
      <c r="E20" s="104" t="n"/>
      <c r="F20" s="104" t="n"/>
      <c r="G20" s="104" t="n"/>
      <c r="H20" s="104" t="n"/>
      <c r="I20" s="104" t="n"/>
      <c r="J20" s="103" t="n"/>
      <c r="K20" s="105" t="n"/>
      <c r="L20" s="105" t="n"/>
      <c r="M20" s="105" t="n"/>
      <c r="N20" s="105" t="n"/>
      <c r="O20" s="105" t="n"/>
      <c r="P20" s="105" t="n"/>
      <c r="Q20" s="105" t="n"/>
      <c r="R20" s="105" t="n"/>
      <c r="S20" s="105" t="n"/>
      <c r="T20" s="105" t="n"/>
      <c r="U20" s="105" t="n"/>
      <c r="V20" s="105" t="n"/>
      <c r="W20" s="105" t="n"/>
      <c r="X20" s="105" t="n"/>
      <c r="Y20" s="105" t="n"/>
      <c r="Z20" s="105" t="n"/>
    </row>
    <row r="21" ht="21.75" customHeight="1" s="143">
      <c r="A21" s="1" t="n"/>
      <c r="B21" s="69" t="inlineStr">
        <is>
          <t>📅  АКТИВНОСТЬ ПО МЕРОПРИЯТИЯМ</t>
        </is>
      </c>
      <c r="J21" s="1" t="n"/>
    </row>
    <row r="22" ht="24" customHeight="1" s="143">
      <c r="A22" s="1" t="n"/>
      <c r="B22" s="31" t="inlineStr">
        <is>
          <t>Мероприятие</t>
        </is>
      </c>
      <c r="C22" s="31" t="inlineStr">
        <is>
          <t>Участников</t>
        </is>
      </c>
      <c r="D22" s="31" t="inlineStr">
        <is>
          <t>% охват</t>
        </is>
      </c>
      <c r="E22" s="31" t="inlineStr">
        <is>
          <t>Макс. балл</t>
        </is>
      </c>
      <c r="F22" s="31" t="inlineStr">
        <is>
          <t>Сред. балл</t>
        </is>
      </c>
      <c r="G22" s="31" t="inlineStr">
        <is>
          <t>🥇 Победитель</t>
        </is>
      </c>
      <c r="H22" s="31" t="inlineStr">
        <is>
          <t>Баллы</t>
        </is>
      </c>
      <c r="I22" s="1" t="n"/>
      <c r="J22" s="1" t="n"/>
    </row>
    <row r="23" ht="21.75" customHeight="1" s="143">
      <c r="A23" s="1" t="n"/>
      <c r="B23" s="106" t="inlineStr">
        <is>
          <t>❄️ Winter</t>
        </is>
      </c>
      <c r="C23" s="107">
        <f>COUNTIF('📊 Общий рейтинг'!$E$4:$E$103,"&gt;0")</f>
        <v/>
      </c>
      <c r="D23" s="108">
        <f>IFERROR(COUNTIF('📊 Общий рейтинг'!$E$4:$E$103,"&gt;0")/COUNTIF('👥 Участники'!C4:C103,"?*"),0)</f>
        <v/>
      </c>
      <c r="E23" s="107">
        <f>IFERROR(MAX('📊 Общий рейтинг'!$E$4:$E$103),0)</f>
        <v/>
      </c>
      <c r="F23" s="107">
        <f>IFERROR(ROUND(AVERAGEIF('📊 Общий рейтинг'!$E$4:$E$103,"&gt;0"),1),0)</f>
        <v/>
      </c>
      <c r="G23" s="107">
        <f t="array" ref="G23">IFERROR(INDEX('📊 Общий рейтинг'!$C$4:$C$103,MATCH(MAX('📊 Общий рейтинг'!$E$4:$E$103),'📊 Общий рейтинг'!$E$4:$E$103,0)),"—")</f>
        <v/>
      </c>
      <c r="H23" s="107">
        <f>IFERROR(MAX('📊 Общий рейтинг'!$E$4:$E$103),0)</f>
        <v/>
      </c>
      <c r="I23" s="1" t="n"/>
      <c r="J23" s="1" t="n"/>
    </row>
    <row r="24" ht="21.75" customHeight="1" s="143">
      <c r="A24" s="1" t="n"/>
      <c r="B24" s="109" t="inlineStr">
        <is>
          <t>🌸 Spring</t>
        </is>
      </c>
      <c r="C24" s="110">
        <f>COUNTIF('📊 Общий рейтинг'!$F$4:$F$103,"&gt;0")</f>
        <v/>
      </c>
      <c r="D24" s="111">
        <f>IFERROR(COUNTIF('📊 Общий рейтинг'!$F$4:$F$103,"&gt;0")/COUNTIF('👥 Участники'!C4:C103,"?*"),0)</f>
        <v/>
      </c>
      <c r="E24" s="110">
        <f>IFERROR(MAX('📊 Общий рейтинг'!$F$4:$F$103),0)</f>
        <v/>
      </c>
      <c r="F24" s="110">
        <f>IFERROR(ROUND(AVERAGEIF('📊 Общий рейтинг'!$F$4:$F$103,"&gt;0"),1),0)</f>
        <v/>
      </c>
      <c r="G24" s="110">
        <f t="array" ref="G24">IFERROR(INDEX('📊 Общий рейтинг'!$C$4:$C$103,MATCH(MAX('📊 Общий рейтинг'!$F$4:$F$103),'📊 Общий рейтинг'!$F$4:$F$103,0)),"—")</f>
        <v/>
      </c>
      <c r="H24" s="110">
        <f>IFERROR(MAX('📊 Общий рейтинг'!$F$4:$F$103),0)</f>
        <v/>
      </c>
      <c r="I24" s="1" t="n"/>
      <c r="J24" s="1" t="n"/>
    </row>
    <row r="25" ht="21.75" customHeight="1" s="143">
      <c r="A25" s="1" t="n"/>
      <c r="B25" s="112" t="inlineStr">
        <is>
          <t>☀️ Summer</t>
        </is>
      </c>
      <c r="C25" s="113">
        <f>COUNTIF('📊 Общий рейтинг'!$G$4:$G$103,"&gt;0")</f>
        <v/>
      </c>
      <c r="D25" s="114">
        <f>IFERROR(COUNTIF('📊 Общий рейтинг'!$G$4:$G$103,"&gt;0")/COUNTIF('👥 Участники'!C4:C103,"?*"),0)</f>
        <v/>
      </c>
      <c r="E25" s="113">
        <f>IFERROR(MAX('📊 Общий рейтинг'!$G$4:$G$103),0)</f>
        <v/>
      </c>
      <c r="F25" s="113">
        <f>IFERROR(ROUND(AVERAGEIF('📊 Общий рейтинг'!$G$4:$G$103,"&gt;0"),1),0)</f>
        <v/>
      </c>
      <c r="G25" s="113">
        <f t="array" ref="G25">IFERROR(INDEX('📊 Общий рейтинг'!$C$4:$C$103,MATCH(MAX('📊 Общий рейтинг'!$G$4:$G$103),'📊 Общий рейтинг'!$G$4:$G$103,0)),"—")</f>
        <v/>
      </c>
      <c r="H25" s="113">
        <f>IFERROR(MAX('📊 Общий рейтинг'!$G$4:$G$103),0)</f>
        <v/>
      </c>
      <c r="I25" s="1" t="n"/>
      <c r="J25" s="1" t="n"/>
    </row>
    <row r="26" ht="21.75" customHeight="1" s="143">
      <c r="A26" s="1" t="n"/>
      <c r="B26" s="115" t="inlineStr">
        <is>
          <t>🍂 Autumn</t>
        </is>
      </c>
      <c r="C26" s="116">
        <f>COUNTIF('📊 Общий рейтинг'!$H$4:$H$103,"&gt;0")</f>
        <v/>
      </c>
      <c r="D26" s="117">
        <f>IFERROR(COUNTIF('📊 Общий рейтинг'!$H$4:$H$103,"&gt;0")/COUNTIF('👥 Участники'!C4:C103,"?*"),0)</f>
        <v/>
      </c>
      <c r="E26" s="116">
        <f>IFERROR(MAX('📊 Общий рейтинг'!$H$4:$H$103),0)</f>
        <v/>
      </c>
      <c r="F26" s="116">
        <f>IFERROR(ROUND(AVERAGEIF('📊 Общий рейтинг'!$H$4:$H$103,"&gt;0"),1),0)</f>
        <v/>
      </c>
      <c r="G26" s="116">
        <f t="array" ref="G26">IFERROR(INDEX('📊 Общий рейтинг'!$C$4:$C$103,MATCH(MAX('📊 Общий рейтинг'!$H$4:$H$103),'📊 Общий рейтинг'!$H$4:$H$103,0)),"—")</f>
        <v/>
      </c>
      <c r="H26" s="116">
        <f>IFERROR(MAX('📊 Общий рейтинг'!$H$4:$H$103),0)</f>
        <v/>
      </c>
      <c r="I26" s="1" t="n"/>
      <c r="J26" s="1" t="n"/>
    </row>
    <row r="27" ht="21.75" customHeight="1" s="143">
      <c r="A27" s="1" t="n"/>
      <c r="B27" s="118" t="inlineStr">
        <is>
          <t>🔥 Final</t>
        </is>
      </c>
      <c r="C27" s="119">
        <f>COUNTIF('📊 Общий рейтинг'!$I$4:$I$103,"&gt;0")</f>
        <v/>
      </c>
      <c r="D27" s="120">
        <f>IFERROR(COUNTIF('📊 Общий рейтинг'!$I$4:$I$103,"&gt;0")/COUNTIF('👥 Участники'!C4:C103,"?*"),0)</f>
        <v/>
      </c>
      <c r="E27" s="119">
        <f>IFERROR(MAX('📊 Общий рейтинг'!$I$4:$I$103),0)</f>
        <v/>
      </c>
      <c r="F27" s="119">
        <f>IFERROR(ROUND(AVERAGEIF('📊 Общий рейтинг'!$I$4:$I$103,"&gt;0"),1),0)</f>
        <v/>
      </c>
      <c r="G27" s="119">
        <f t="array" ref="G27">IFERROR(INDEX('📊 Общий рейтинг'!$C$4:$C$103,MATCH(MAX('📊 Общий рейтинг'!$I$4:$I$103),'📊 Общий рейтинг'!$I$4:$I$103,0)),"—")</f>
        <v/>
      </c>
      <c r="H27" s="119">
        <f>IFERROR(MAX('📊 Общий рейтинг'!$I$4:$I$103),0)</f>
        <v/>
      </c>
      <c r="I27" s="1" t="n"/>
      <c r="J27" s="1" t="n"/>
    </row>
    <row r="28" ht="18" customHeight="1" s="14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21.75" customHeight="1" s="143">
      <c r="A29" s="1" t="n"/>
      <c r="B29" s="69" t="inlineStr">
        <is>
          <t>🏆  ТОП-10 УЧАСТНИКОВ СЕЗОНА</t>
        </is>
      </c>
      <c r="J29" s="1" t="n"/>
    </row>
    <row r="30" ht="24" customHeight="1" s="143">
      <c r="A30" s="1" t="n"/>
      <c r="B30" s="31" t="inlineStr">
        <is>
          <t>Место</t>
        </is>
      </c>
      <c r="C30" s="31" t="inlineStr">
        <is>
          <t>Участник</t>
        </is>
      </c>
      <c r="D30" s="31" t="inlineStr">
        <is>
          <t>Номинация</t>
        </is>
      </c>
      <c r="E30" s="31" t="inlineStr">
        <is>
          <t>❄️</t>
        </is>
      </c>
      <c r="F30" s="31" t="inlineStr">
        <is>
          <t>🌸</t>
        </is>
      </c>
      <c r="G30" s="31" t="inlineStr">
        <is>
          <t>☀️</t>
        </is>
      </c>
      <c r="H30" s="31" t="inlineStr">
        <is>
          <t>🍂</t>
        </is>
      </c>
      <c r="I30" s="31" t="inlineStr">
        <is>
          <t>🔥 x2</t>
        </is>
      </c>
      <c r="J30" s="31" t="inlineStr">
        <is>
          <t>Итого</t>
        </is>
      </c>
    </row>
    <row r="31" ht="21.75" customHeight="1" s="143">
      <c r="A31" s="1" t="n"/>
      <c r="B31" s="121" t="inlineStr">
        <is>
          <t>1🥇</t>
        </is>
      </c>
      <c r="C31" s="122">
        <f>IFERROR(__xludf.DUMMYFUNCTION("IFERROR(INDEX(SORTN(FILTER('📊 Общий рейтинг'!$C$4:$C$103,('📊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рейтинг'!$J$4:$J$103&gt;0)),FALSE),1,1),""—"")"),"Bboy Brock")</f>
        <v/>
      </c>
      <c r="D31" s="123">
        <f>IFERROR(__xludf.DUMMYFUNCTION("IFERROR(INDEX(SORTN(FILTER('📊 Общий рейтинг'!$D$4:$D$103,('📊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рейтинг'!$J$4:$J$103&gt;0)),FALSE),1,1),""—"")"),"Kids Pro")</f>
        <v/>
      </c>
      <c r="E31" s="123">
        <f>IFERROR(__xludf.DUMMYFUNCTION("IFERROR(INDEX(SORTN(FILTER('📊 Общий рейтинг'!$E$4:$E$103,('📊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рейтинг'!$J$4:$J$103&gt;0)),FALSE),1,1),""—"")"),9.0)</f>
        <v/>
      </c>
      <c r="F31" s="123">
        <f>IFERROR(__xludf.DUMMYFUNCTION("IFERROR(INDEX(SORTN(FILTER('📊 Общий рейтинг'!$F$4:$F$103,('📊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рейтинг'!$J$4:$J$103&gt;0)),FALSE),1,1),""—"")"),0.0)</f>
        <v/>
      </c>
      <c r="G31" s="123">
        <f>IFERROR(__xludf.DUMMYFUNCTION("IFERROR(INDEX(SORTN(FILTER('📊 Общий рейтинг'!$G$4:$G$103,('📊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рейтинг'!$J$4:$J$103&gt;0)),FALSE),1,1),""—"")"),0.0)</f>
        <v/>
      </c>
      <c r="H31" s="123">
        <f>IFERROR(__xludf.DUMMYFUNCTION("IFERROR(INDEX(SORTN(FILTER('📊 Общий рейтинг'!$H$4:$H$103,('📊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рейтинг'!$J$4:$J$103&gt;0)),FALSE),1,1),""—"")"),0.0)</f>
        <v/>
      </c>
      <c r="I31" s="123">
        <f>IFERROR(__xludf.DUMMYFUNCTION("IFERROR(INDEX(SORTN(FILTER('📊 Общий рейтинг'!$I$4:$I$103,('📊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рейтинг'!$J$4:$J$103&gt;0)),FALSE),1,1),""—"")"),0.0)</f>
        <v/>
      </c>
      <c r="J31" s="121">
        <f>IFERROR(__xludf.DUMMYFUNCTION("IFERROR(INDEX(SORTN(FILTER('📊 Общий рейтинг'!$J$4:$J$103,('📊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рейтинг'!$J$4:$J$103&gt;0)),FALSE),1,1),""—"")"),9.0)</f>
        <v/>
      </c>
    </row>
    <row r="32" ht="21.75" customHeight="1" s="143">
      <c r="A32" s="1" t="n"/>
      <c r="B32" s="124" t="inlineStr">
        <is>
          <t>2🥈</t>
        </is>
      </c>
      <c r="C32" s="125">
        <f>IFERROR(__xludf.DUMMYFUNCTION("IFERROR(INDEX(SORTN(FILTER('📊 Общий рейтинг'!$C$4:$C$103,('📊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рейтинг'!$J$4:$J$103&gt;0)),FALSE),2,1),""—"")"),"Bboy Player")</f>
        <v/>
      </c>
      <c r="D32" s="126">
        <f>IFERROR(__xludf.DUMMYFUNCTION("IFERROR(INDEX(SORTN(FILTER('📊 Общий рейтинг'!$D$4:$D$103,('📊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рейтинг'!$J$4:$J$103&gt;0)),FALSE),2,1),""—"")"),"до 6 лет")</f>
        <v/>
      </c>
      <c r="E32" s="126">
        <f>IFERROR(__xludf.DUMMYFUNCTION("IFERROR(INDEX(SORTN(FILTER('📊 Общий рейтинг'!$E$4:$E$103,('📊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рейтинг'!$J$4:$J$103&gt;0)),FALSE),2,1),""—"")"),8.0)</f>
        <v/>
      </c>
      <c r="F32" s="126">
        <f>IFERROR(__xludf.DUMMYFUNCTION("IFERROR(INDEX(SORTN(FILTER('📊 Общий рейтинг'!$F$4:$F$103,('📊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рейтинг'!$J$4:$J$103&gt;0)),FALSE),2,1),""—"")"),0.0)</f>
        <v/>
      </c>
      <c r="G32" s="126">
        <f>IFERROR(__xludf.DUMMYFUNCTION("IFERROR(INDEX(SORTN(FILTER('📊 Общий рейтинг'!$G$4:$G$103,('📊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рейтинг'!$J$4:$J$103&gt;0)),FALSE),2,1),""—"")"),0.0)</f>
        <v/>
      </c>
      <c r="H32" s="126">
        <f>IFERROR(__xludf.DUMMYFUNCTION("IFERROR(INDEX(SORTN(FILTER('📊 Общий рейтинг'!$H$4:$H$103,('📊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рейтинг'!$J$4:$J$103&gt;0)),FALSE),2,1),""—"")"),0.0)</f>
        <v/>
      </c>
      <c r="I32" s="126">
        <f>IFERROR(__xludf.DUMMYFUNCTION("IFERROR(INDEX(SORTN(FILTER('📊 Общий рейтинг'!$I$4:$I$103,('📊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рейтинг'!$J$4:$J$103&gt;0)),FALSE),2,1),""—"")"),0.0)</f>
        <v/>
      </c>
      <c r="J32" s="124">
        <f>IFERROR(__xludf.DUMMYFUNCTION("IFERROR(INDEX(SORTN(FILTER('📊 Общий рейтинг'!$J$4:$J$103,('📊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рейтинг'!$J$4:$J$103&gt;0)),FALSE),2,1),""—"")"),8.0)</f>
        <v/>
      </c>
    </row>
    <row r="33" ht="21.75" customHeight="1" s="143">
      <c r="A33" s="1" t="n"/>
      <c r="B33" s="127" t="inlineStr">
        <is>
          <t>3🥉</t>
        </is>
      </c>
      <c r="C33" s="128">
        <f>IFERROR(__xludf.DUMMYFUNCTION("IFERROR(INDEX(SORTN(FILTER('📊 Общий рейтинг'!$C$4:$C$103,('📊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рейтинг'!$J$4:$J$103&gt;0)),FALSE),3,1),""—"")"),"Bgirl Puma")</f>
        <v/>
      </c>
      <c r="D33" s="129">
        <f>IFERROR(__xludf.DUMMYFUNCTION("IFERROR(INDEX(SORTN(FILTER('📊 Общий рейтинг'!$D$4:$D$103,('📊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рейтинг'!$J$4:$J$103&gt;0)),FALSE),3,1),""—"")"),"Bgirl")</f>
        <v/>
      </c>
      <c r="E33" s="129">
        <f>IFERROR(__xludf.DUMMYFUNCTION("IFERROR(INDEX(SORTN(FILTER('📊 Общий рейтинг'!$E$4:$E$103,('📊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рейтинг'!$J$4:$J$103&gt;0)),FALSE),3,1),""—"")"),8.0)</f>
        <v/>
      </c>
      <c r="F33" s="129">
        <f>IFERROR(__xludf.DUMMYFUNCTION("IFERROR(INDEX(SORTN(FILTER('📊 Общий рейтинг'!$F$4:$F$103,('📊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рейтинг'!$J$4:$J$103&gt;0)),FALSE),3,1),""—"")"),0.0)</f>
        <v/>
      </c>
      <c r="G33" s="129">
        <f>IFERROR(__xludf.DUMMYFUNCTION("IFERROR(INDEX(SORTN(FILTER('📊 Общий рейтинг'!$G$4:$G$103,('📊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рейтинг'!$J$4:$J$103&gt;0)),FALSE),3,1),""—"")"),0.0)</f>
        <v/>
      </c>
      <c r="H33" s="129">
        <f>IFERROR(__xludf.DUMMYFUNCTION("IFERROR(INDEX(SORTN(FILTER('📊 Общий рейтинг'!$H$4:$H$103,('📊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рейтинг'!$J$4:$J$103&gt;0)),FALSE),3,1),""—"")"),0.0)</f>
        <v/>
      </c>
      <c r="I33" s="129">
        <f>IFERROR(__xludf.DUMMYFUNCTION("IFERROR(INDEX(SORTN(FILTER('📊 Общий рейтинг'!$I$4:$I$103,('📊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рейтинг'!$J$4:$J$103&gt;0)),FALSE),3,1),""—"")"),0.0)</f>
        <v/>
      </c>
      <c r="J33" s="127">
        <f>IFERROR(__xludf.DUMMYFUNCTION("IFERROR(INDEX(SORTN(FILTER('📊 Общий рейтинг'!$J$4:$J$103,('📊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рейтинг'!$J$4:$J$103&gt;0)),FALSE),3,1),""—"")"),8.0)</f>
        <v/>
      </c>
    </row>
    <row r="34" ht="21.75" customHeight="1" s="143">
      <c r="A34" s="1" t="n"/>
      <c r="B34" s="130" t="inlineStr">
        <is>
          <t>4</t>
        </is>
      </c>
      <c r="C34" s="38">
        <f>IFERROR(__xludf.DUMMYFUNCTION("IFERROR(INDEX(SORTN(FILTER('📊 Общий рейтинг'!$C$4:$C$103,('📊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рейтинг'!$J$4:$J$103&gt;0)),FALSE),4,1),""—"")"),"Bboy Batmort")</f>
        <v/>
      </c>
      <c r="D34" s="130">
        <f>IFERROR(__xludf.DUMMYFUNCTION("IFERROR(INDEX(SORTN(FILTER('📊 Общий рейтинг'!$D$4:$D$103,('📊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рейтинг'!$J$4:$J$103&gt;0)),FALSE),4,1),""—"")"),"до 3 лет опыта")</f>
        <v/>
      </c>
      <c r="E34" s="130">
        <f>IFERROR(__xludf.DUMMYFUNCTION("IFERROR(INDEX(SORTN(FILTER('📊 Общий рейтинг'!$E$4:$E$103,('📊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рейтинг'!$J$4:$J$103&gt;0)),FALSE),4,1),""—"")"),6.0)</f>
        <v/>
      </c>
      <c r="F34" s="130">
        <f>IFERROR(__xludf.DUMMYFUNCTION("IFERROR(INDEX(SORTN(FILTER('📊 Общий рейтинг'!$F$4:$F$103,('📊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рейтинг'!$J$4:$J$103&gt;0)),FALSE),4,1),""—"")"),0.0)</f>
        <v/>
      </c>
      <c r="G34" s="130">
        <f>IFERROR(__xludf.DUMMYFUNCTION("IFERROR(INDEX(SORTN(FILTER('📊 Общий рейтинг'!$G$4:$G$103,('📊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рейтинг'!$J$4:$J$103&gt;0)),FALSE),4,1),""—"")"),0.0)</f>
        <v/>
      </c>
      <c r="H34" s="130">
        <f>IFERROR(__xludf.DUMMYFUNCTION("IFERROR(INDEX(SORTN(FILTER('📊 Общий рейтинг'!$H$4:$H$103,('📊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рейтинг'!$J$4:$J$103&gt;0)),FALSE),4,1),""—"")"),0.0)</f>
        <v/>
      </c>
      <c r="I34" s="130">
        <f>IFERROR(__xludf.DUMMYFUNCTION("IFERROR(INDEX(SORTN(FILTER('📊 Общий рейтинг'!$I$4:$I$103,('📊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рейтинг'!$J$4:$J$103&gt;0)),FALSE),4,1),""—"")"),0.0)</f>
        <v/>
      </c>
      <c r="J34" s="130">
        <f>IFERROR(__xludf.DUMMYFUNCTION("IFERROR(INDEX(SORTN(FILTER('📊 Общий рейтинг'!$J$4:$J$103,('📊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рейтинг'!$J$4:$J$103&gt;0)),FALSE),4,1),""—"")"),6.0)</f>
        <v/>
      </c>
    </row>
    <row r="35" ht="21.75" customHeight="1" s="143">
      <c r="A35" s="1" t="n"/>
      <c r="B35" s="131" t="inlineStr">
        <is>
          <t>5</t>
        </is>
      </c>
      <c r="C35" s="33">
        <f>IFERROR(__xludf.DUMMYFUNCTION("IFERROR(INDEX(SORTN(FILTER('📊 Общий рейтинг'!$C$4:$C$103,('📊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рейтинг'!$J$4:$J$103&gt;0)),FALSE),5,1),""—"")"),"Bboy Harlan")</f>
        <v/>
      </c>
      <c r="D35" s="131">
        <f>IFERROR(__xludf.DUMMYFUNCTION("IFERROR(INDEX(SORTN(FILTER('📊 Общий рейтинг'!$D$4:$D$103,('📊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рейтинг'!$J$4:$J$103&gt;0)),FALSE),5,1),""—"")"),"10-13 лет")</f>
        <v/>
      </c>
      <c r="E35" s="131">
        <f>IFERROR(__xludf.DUMMYFUNCTION("IFERROR(INDEX(SORTN(FILTER('📊 Общий рейтинг'!$E$4:$E$103,('📊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рейтинг'!$J$4:$J$103&gt;0)),FALSE),5,1),""—"")"),6.0)</f>
        <v/>
      </c>
      <c r="F35" s="131">
        <f>IFERROR(__xludf.DUMMYFUNCTION("IFERROR(INDEX(SORTN(FILTER('📊 Общий рейтинг'!$F$4:$F$103,('📊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рейтинг'!$J$4:$J$103&gt;0)),FALSE),5,1),""—"")"),0.0)</f>
        <v/>
      </c>
      <c r="G35" s="131">
        <f>IFERROR(__xludf.DUMMYFUNCTION("IFERROR(INDEX(SORTN(FILTER('📊 Общий рейтинг'!$G$4:$G$103,('📊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рейтинг'!$J$4:$J$103&gt;0)),FALSE),5,1),""—"")"),0.0)</f>
        <v/>
      </c>
      <c r="H35" s="131">
        <f>IFERROR(__xludf.DUMMYFUNCTION("IFERROR(INDEX(SORTN(FILTER('📊 Общий рейтинг'!$H$4:$H$103,('📊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рейтинг'!$J$4:$J$103&gt;0)),FALSE),5,1),""—"")"),0.0)</f>
        <v/>
      </c>
      <c r="I35" s="131">
        <f>IFERROR(__xludf.DUMMYFUNCTION("IFERROR(INDEX(SORTN(FILTER('📊 Общий рейтинг'!$I$4:$I$103,('📊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рейтинг'!$J$4:$J$103&gt;0)),FALSE),5,1),""—"")"),0.0)</f>
        <v/>
      </c>
      <c r="J35" s="131">
        <f>IFERROR(__xludf.DUMMYFUNCTION("IFERROR(INDEX(SORTN(FILTER('📊 Общий рейтинг'!$J$4:$J$103,('📊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рейтинг'!$J$4:$J$103&gt;0)),FALSE),5,1),""—"")"),6.0)</f>
        <v/>
      </c>
    </row>
    <row r="36" ht="21.75" customHeight="1" s="143">
      <c r="A36" s="1" t="n"/>
      <c r="B36" s="130" t="inlineStr">
        <is>
          <t>6</t>
        </is>
      </c>
      <c r="C36" s="38">
        <f>IFERROR(__xludf.DUMMYFUNCTION("IFERROR(INDEX(SORTN(FILTER('📊 Общий рейтинг'!$C$4:$C$103,('📊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рейтинг'!$J$4:$J$103&gt;0)),FALSE),6,1),""—"")"),"Bboy Max-Club")</f>
        <v/>
      </c>
      <c r="D36" s="130">
        <f>IFERROR(__xludf.DUMMYFUNCTION("IFERROR(INDEX(SORTN(FILTER('📊 Общий рейтинг'!$D$4:$D$103,('📊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рейтинг'!$J$4:$J$103&gt;0)),FALSE),6,1),""—"")"),"1 год обучения")</f>
        <v/>
      </c>
      <c r="E36" s="130">
        <f>IFERROR(__xludf.DUMMYFUNCTION("IFERROR(INDEX(SORTN(FILTER('📊 Общий рейтинг'!$E$4:$E$103,('📊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рейтинг'!$J$4:$J$103&gt;0)),FALSE),6,1),""—"")"),5.0)</f>
        <v/>
      </c>
      <c r="F36" s="130">
        <f>IFERROR(__xludf.DUMMYFUNCTION("IFERROR(INDEX(SORTN(FILTER('📊 Общий рейтинг'!$F$4:$F$103,('📊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рейтинг'!$J$4:$J$103&gt;0)),FALSE),6,1),""—"")"),0.0)</f>
        <v/>
      </c>
      <c r="G36" s="130">
        <f>IFERROR(__xludf.DUMMYFUNCTION("IFERROR(INDEX(SORTN(FILTER('📊 Общий рейтинг'!$G$4:$G$103,('📊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рейтинг'!$J$4:$J$103&gt;0)),FALSE),6,1),""—"")"),0.0)</f>
        <v/>
      </c>
      <c r="H36" s="130">
        <f>IFERROR(__xludf.DUMMYFUNCTION("IFERROR(INDEX(SORTN(FILTER('📊 Общий рейтинг'!$H$4:$H$103,('📊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рейтинг'!$J$4:$J$103&gt;0)),FALSE),6,1),""—"")"),0.0)</f>
        <v/>
      </c>
      <c r="I36" s="130">
        <f>IFERROR(__xludf.DUMMYFUNCTION("IFERROR(INDEX(SORTN(FILTER('📊 Общий рейтинг'!$I$4:$I$103,('📊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рейтинг'!$J$4:$J$103&gt;0)),FALSE),6,1),""—"")"),0.0)</f>
        <v/>
      </c>
      <c r="J36" s="130">
        <f>IFERROR(__xludf.DUMMYFUNCTION("IFERROR(INDEX(SORTN(FILTER('📊 Общий рейтинг'!$J$4:$J$103,('📊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рейтинг'!$J$4:$J$103&gt;0)),FALSE),6,1),""—"")"),5.0)</f>
        <v/>
      </c>
    </row>
    <row r="37" ht="21.75" customHeight="1" s="143">
      <c r="A37" s="1" t="n"/>
      <c r="B37" s="131" t="inlineStr">
        <is>
          <t>7</t>
        </is>
      </c>
      <c r="C37" s="33">
        <f>IFERROR(__xludf.DUMMYFUNCTION("IFERROR(INDEX(SORTN(FILTER('📊 Общий рейтинг'!$C$4:$C$103,('📊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рейтинг'!$J$4:$J$103&gt;0)),FALSE),7,1),""—"")"),"Bboy Лебедь")</f>
        <v/>
      </c>
      <c r="D37" s="131">
        <f>IFERROR(__xludf.DUMMYFUNCTION("IFERROR(INDEX(SORTN(FILTER('📊 Общий рейтинг'!$D$4:$D$103,('📊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рейтинг'!$J$4:$J$103&gt;0)),FALSE),7,1),""—"")"),"до 3 лет опыта")</f>
        <v/>
      </c>
      <c r="E37" s="131">
        <f>IFERROR(__xludf.DUMMYFUNCTION("IFERROR(INDEX(SORTN(FILTER('📊 Общий рейтинг'!$E$4:$E$103,('📊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рейтинг'!$J$4:$J$103&gt;0)),FALSE),7,1),""—"")"),5.0)</f>
        <v/>
      </c>
      <c r="F37" s="131">
        <f>IFERROR(__xludf.DUMMYFUNCTION("IFERROR(INDEX(SORTN(FILTER('📊 Общий рейтинг'!$F$4:$F$103,('📊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рейтинг'!$J$4:$J$103&gt;0)),FALSE),7,1),""—"")"),0.0)</f>
        <v/>
      </c>
      <c r="G37" s="131">
        <f>IFERROR(__xludf.DUMMYFUNCTION("IFERROR(INDEX(SORTN(FILTER('📊 Общий рейтинг'!$G$4:$G$103,('📊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рейтинг'!$J$4:$J$103&gt;0)),FALSE),7,1),""—"")"),0.0)</f>
        <v/>
      </c>
      <c r="H37" s="131">
        <f>IFERROR(__xludf.DUMMYFUNCTION("IFERROR(INDEX(SORTN(FILTER('📊 Общий рейтинг'!$H$4:$H$103,('📊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рейтинг'!$J$4:$J$103&gt;0)),FALSE),7,1),""—"")"),0.0)</f>
        <v/>
      </c>
      <c r="I37" s="131">
        <f>IFERROR(__xludf.DUMMYFUNCTION("IFERROR(INDEX(SORTN(FILTER('📊 Общий рейтинг'!$I$4:$I$103,('📊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рейтинг'!$J$4:$J$103&gt;0)),FALSE),7,1),""—"")"),0.0)</f>
        <v/>
      </c>
      <c r="J37" s="131">
        <f>IFERROR(__xludf.DUMMYFUNCTION("IFERROR(INDEX(SORTN(FILTER('📊 Общий рейтинг'!$J$4:$J$103,('📊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рейтинг'!$J$4:$J$103&gt;0)),FALSE),7,1),""—"")"),5.0)</f>
        <v/>
      </c>
    </row>
    <row r="38" ht="21.75" customHeight="1" s="143">
      <c r="A38" s="1" t="n"/>
      <c r="B38" s="130" t="inlineStr">
        <is>
          <t>8</t>
        </is>
      </c>
      <c r="C38" s="38">
        <f>IFERROR(__xludf.DUMMYFUNCTION("IFERROR(INDEX(SORTN(FILTER('📊 Общий рейтинг'!$C$4:$C$103,('📊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рейтинг'!$J$4:$J$103&gt;0)),FALSE),8,1),""—"")"),"Bboy LaKostya")</f>
        <v/>
      </c>
      <c r="D38" s="130">
        <f>IFERROR(__xludf.DUMMYFUNCTION("IFERROR(INDEX(SORTN(FILTER('📊 Общий рейтинг'!$D$4:$D$103,('📊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рейтинг'!$J$4:$J$103&gt;0)),FALSE),8,1),""—"")"),"до 3 лет опыта")</f>
        <v/>
      </c>
      <c r="E38" s="130">
        <f>IFERROR(__xludf.DUMMYFUNCTION("IFERROR(INDEX(SORTN(FILTER('📊 Общий рейтинг'!$E$4:$E$103,('📊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рейтинг'!$J$4:$J$103&gt;0)),FALSE),8,1),""—"")"),5.0)</f>
        <v/>
      </c>
      <c r="F38" s="130">
        <f>IFERROR(__xludf.DUMMYFUNCTION("IFERROR(INDEX(SORTN(FILTER('📊 Общий рейтинг'!$F$4:$F$103,('📊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рейтинг'!$J$4:$J$103&gt;0)),FALSE),8,1),""—"")"),0.0)</f>
        <v/>
      </c>
      <c r="G38" s="130">
        <f>IFERROR(__xludf.DUMMYFUNCTION("IFERROR(INDEX(SORTN(FILTER('📊 Общий рейтинг'!$G$4:$G$103,('📊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рейтинг'!$J$4:$J$103&gt;0)),FALSE),8,1),""—"")"),0.0)</f>
        <v/>
      </c>
      <c r="H38" s="130">
        <f>IFERROR(__xludf.DUMMYFUNCTION("IFERROR(INDEX(SORTN(FILTER('📊 Общий рейтинг'!$H$4:$H$103,('📊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рейтинг'!$J$4:$J$103&gt;0)),FALSE),8,1),""—"")"),0.0)</f>
        <v/>
      </c>
      <c r="I38" s="130">
        <f>IFERROR(__xludf.DUMMYFUNCTION("IFERROR(INDEX(SORTN(FILTER('📊 Общий рейтинг'!$I$4:$I$103,('📊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рейтинг'!$J$4:$J$103&gt;0)),FALSE),8,1),""—"")"),0.0)</f>
        <v/>
      </c>
      <c r="J38" s="130">
        <f>IFERROR(__xludf.DUMMYFUNCTION("IFERROR(INDEX(SORTN(FILTER('📊 Общий рейтинг'!$J$4:$J$103,('📊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рейтинг'!$J$4:$J$103&gt;0)),FALSE),8,1),""—"")"),5.0)</f>
        <v/>
      </c>
    </row>
    <row r="39" ht="21.75" customHeight="1" s="143">
      <c r="A39" s="1" t="n"/>
      <c r="B39" s="131" t="inlineStr">
        <is>
          <t>9</t>
        </is>
      </c>
      <c r="C39" s="33">
        <f>IFERROR(__xludf.DUMMYFUNCTION("IFERROR(INDEX(SORTN(FILTER('📊 Общий рейтинг'!$C$4:$C$103,('📊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рейтинг'!$J$4:$J$103&gt;0)),FALSE),9,1),""—"")"),"Bboy Фрол")</f>
        <v/>
      </c>
      <c r="D39" s="131">
        <f>IFERROR(__xludf.DUMMYFUNCTION("IFERROR(INDEX(SORTN(FILTER('📊 Общий рейтинг'!$D$4:$D$103,('📊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рейтинг'!$J$4:$J$103&gt;0)),FALSE),9,1),""—"")"),"1 год обучения")</f>
        <v/>
      </c>
      <c r="E39" s="131">
        <f>IFERROR(__xludf.DUMMYFUNCTION("IFERROR(INDEX(SORTN(FILTER('📊 Общий рейтинг'!$E$4:$E$103,('📊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рейтинг'!$J$4:$J$103&gt;0)),FALSE),9,1),""—"")"),5.0)</f>
        <v/>
      </c>
      <c r="F39" s="131">
        <f>IFERROR(__xludf.DUMMYFUNCTION("IFERROR(INDEX(SORTN(FILTER('📊 Общий рейтинг'!$F$4:$F$103,('📊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рейтинг'!$J$4:$J$103&gt;0)),FALSE),9,1),""—"")"),0.0)</f>
        <v/>
      </c>
      <c r="G39" s="131">
        <f>IFERROR(__xludf.DUMMYFUNCTION("IFERROR(INDEX(SORTN(FILTER('📊 Общий рейтинг'!$G$4:$G$103,('📊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рейтинг'!$J$4:$J$103&gt;0)),FALSE),9,1),""—"")"),0.0)</f>
        <v/>
      </c>
      <c r="H39" s="131">
        <f>IFERROR(__xludf.DUMMYFUNCTION("IFERROR(INDEX(SORTN(FILTER('📊 Общий рейтинг'!$H$4:$H$103,('📊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рейтинг'!$J$4:$J$103&gt;0)),FALSE),9,1),""—"")"),0.0)</f>
        <v/>
      </c>
      <c r="I39" s="131">
        <f>IFERROR(__xludf.DUMMYFUNCTION("IFERROR(INDEX(SORTN(FILTER('📊 Общий рейтинг'!$I$4:$I$103,('📊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рейтинг'!$J$4:$J$103&gt;0)),FALSE),9,1),""—"")"),0.0)</f>
        <v/>
      </c>
      <c r="J39" s="131">
        <f>IFERROR(__xludf.DUMMYFUNCTION("IFERROR(INDEX(SORTN(FILTER('📊 Общий рейтинг'!$J$4:$J$103,('📊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рейтинг'!$J$4:$J$103&gt;0)),FALSE),9,1),""—"")"),5.0)</f>
        <v/>
      </c>
    </row>
    <row r="40" ht="21.75" customHeight="1" s="143">
      <c r="A40" s="1" t="n"/>
      <c r="B40" s="130" t="inlineStr">
        <is>
          <t>10</t>
        </is>
      </c>
      <c r="C40" s="38">
        <f>IFERROR(__xludf.DUMMYFUNCTION("IFERROR(INDEX(SORTN(FILTER('📊 Общий рейтинг'!$C$4:$C$103,('📊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рейтинг'!$J$4:$J$103&gt;0)),FALSE),10,1),""—"")"),"Bboy Wind")</f>
        <v/>
      </c>
      <c r="D40" s="130">
        <f>IFERROR(__xludf.DUMMYFUNCTION("IFERROR(INDEX(SORTN(FILTER('📊 Общий рейтинг'!$D$4:$D$103,('📊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рейтинг'!$J$4:$J$103&gt;0)),FALSE),10,1),""—"")"),"10-13 лет")</f>
        <v/>
      </c>
      <c r="E40" s="130">
        <f>IFERROR(__xludf.DUMMYFUNCTION("IFERROR(INDEX(SORTN(FILTER('📊 Общий рейтинг'!$E$4:$E$103,('📊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рейтинг'!$J$4:$J$103&gt;0)),FALSE),10,1),""—"")"),5.0)</f>
        <v/>
      </c>
      <c r="F40" s="130">
        <f>IFERROR(__xludf.DUMMYFUNCTION("IFERROR(INDEX(SORTN(FILTER('📊 Общий рейтинг'!$F$4:$F$103,('📊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рейтинг'!$J$4:$J$103&gt;0)),FALSE),10,1),""—"")"),0.0)</f>
        <v/>
      </c>
      <c r="G40" s="130">
        <f>IFERROR(__xludf.DUMMYFUNCTION("IFERROR(INDEX(SORTN(FILTER('📊 Общий рейтинг'!$G$4:$G$103,('📊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рейтинг'!$J$4:$J$103&gt;0)),FALSE),10,1),""—"")"),0.0)</f>
        <v/>
      </c>
      <c r="H40" s="130">
        <f>IFERROR(__xludf.DUMMYFUNCTION("IFERROR(INDEX(SORTN(FILTER('📊 Общий рейтинг'!$H$4:$H$103,('📊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рейтинг'!$J$4:$J$103&gt;0)),FALSE),10,1),""—"")"),0.0)</f>
        <v/>
      </c>
      <c r="I40" s="130">
        <f>IFERROR(__xludf.DUMMYFUNCTION("IFERROR(INDEX(SORTN(FILTER('📊 Общий рейтинг'!$I$4:$I$103,('📊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рейтинг'!$J$4:$J$103&gt;0)),FALSE),10,1),""—"")"),0.0)</f>
        <v/>
      </c>
      <c r="J40" s="130">
        <f>IFERROR(__xludf.DUMMYFUNCTION("IFERROR(INDEX(SORTN(FILTER('📊 Общий рейтинг'!$J$4:$J$103,('📊 Общий рейтинг'!$C$4:$C$103&lt;&gt;"""")*(ISNUMBER('📊 Общий рейтинг'!$J$4:$J$103))*('📊 Общий рейтинг'!$J$4:$J$103&gt;0)),100,0,FILTER('📊 Общий рейтинг'!$J$4:$J$103,('📊 Общий рейтинг'!$C$4:$C$103&lt;&gt;"""&amp;""")*(ISNUMBER('📊 Общий рейтинг'!$J$4:$J$103))*('📊 Общий рейтинг'!$J$4:$J$103&gt;0)),FALSE),10,1),""—"")"),5.0)</f>
        <v/>
      </c>
    </row>
    <row r="41" ht="15.75" customHeight="1" s="14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18" customHeight="1" s="143">
      <c r="A42" s="1" t="n"/>
      <c r="B42" s="67" t="inlineStr">
        <is>
          <t>💡 Все данные обновляются автоматически при заполнении листов мероприятий.</t>
        </is>
      </c>
      <c r="J42" s="1" t="n"/>
    </row>
    <row r="43" ht="15.75" customHeight="1" s="1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5.75" customHeight="1" s="14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5.75" customHeight="1" s="14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15.75" customHeight="1" s="14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5.75" customHeight="1" s="14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15.75" customHeight="1" s="14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5.75" customHeight="1" s="14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5.75" customHeight="1" s="14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5.75" customHeight="1" s="14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5.75" customHeight="1" s="14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5.75" customHeight="1" s="14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5.75" customHeight="1" s="14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5.75" customHeight="1" s="14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5.75" customHeight="1" s="14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5.75" customHeight="1" s="14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5.75" customHeight="1" s="14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5.75" customHeight="1" s="14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5.75" customHeight="1" s="14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5.75" customHeight="1" s="14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5.75" customHeight="1" s="14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5.75" customHeight="1" s="14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5.75" customHeight="1" s="14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5.75" customHeight="1" s="14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5.75" customHeight="1" s="14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5.75" customHeight="1" s="14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5.75" customHeight="1" s="14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5.75" customHeight="1" s="14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5.75" customHeight="1" s="14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5.75" customHeight="1" s="14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5.75" customHeight="1" s="14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5.75" customHeight="1" s="14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5.75" customHeight="1" s="14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5.75" customHeight="1" s="14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5.75" customHeight="1" s="14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5.75" customHeight="1" s="14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5.75" customHeight="1" s="14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5.75" customHeight="1" s="14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 ht="15.75" customHeight="1" s="14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  <row r="81" ht="15.75" customHeight="1" s="14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 ht="15.75" customHeight="1" s="14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</row>
    <row r="83" ht="15.75" customHeight="1" s="14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</row>
    <row r="84" ht="15.75" customHeight="1" s="14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</row>
    <row r="85" ht="15.75" customHeight="1" s="14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</row>
    <row r="86" ht="15.75" customHeight="1" s="14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 ht="15.75" customHeight="1" s="14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</row>
    <row r="88" ht="15.75" customHeight="1" s="14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</row>
    <row r="89" ht="15.75" customHeight="1" s="14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</row>
    <row r="90" ht="15.75" customHeight="1" s="14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</row>
    <row r="91" ht="15.75" customHeight="1" s="14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 ht="15.75" customHeight="1" s="14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</row>
    <row r="93" ht="15.75" customHeight="1" s="14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 ht="15.75" customHeight="1" s="14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</row>
    <row r="95" ht="15.75" customHeight="1" s="14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</row>
    <row r="96" ht="15.75" customHeight="1" s="14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</row>
    <row r="97" ht="15.75" customHeight="1" s="14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</row>
    <row r="98" ht="15.75" customHeight="1" s="14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</row>
    <row r="99" ht="15.75" customHeight="1" s="14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</row>
    <row r="100" ht="15.75" customHeight="1" s="14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</row>
    <row r="101" ht="15.75" customHeight="1" s="14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</row>
    <row r="102" ht="15.75" customHeight="1" s="14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</row>
    <row r="103" ht="15.75" customHeight="1" s="14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 ht="15.75" customHeight="1" s="14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</row>
    <row r="105" ht="15.75" customHeight="1" s="14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</row>
    <row r="106" ht="15.75" customHeight="1" s="14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 ht="15.75" customHeight="1" s="14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</row>
    <row r="108" ht="15.75" customHeight="1" s="14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</row>
    <row r="109" ht="15.75" customHeight="1" s="14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</row>
    <row r="110" ht="15.75" customHeight="1" s="14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</row>
    <row r="111" ht="15.75" customHeight="1" s="14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</row>
    <row r="112" ht="15.75" customHeight="1" s="14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</row>
    <row r="113" ht="15.75" customHeight="1" s="14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</row>
    <row r="114" ht="15.75" customHeight="1" s="14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</row>
    <row r="115" ht="15.75" customHeight="1" s="14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</row>
    <row r="116" ht="15.75" customHeight="1" s="14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</row>
    <row r="117" ht="15.75" customHeight="1" s="14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</row>
    <row r="118" ht="15.75" customHeight="1" s="14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</row>
    <row r="119" ht="15.75" customHeight="1" s="14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</row>
    <row r="120" ht="15.75" customHeight="1" s="14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</row>
    <row r="121" ht="15.75" customHeight="1" s="14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</row>
    <row r="122" ht="15.75" customHeight="1" s="14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</row>
    <row r="123" ht="15.75" customHeight="1" s="14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</row>
    <row r="124" ht="15.75" customHeight="1" s="14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</row>
    <row r="125" ht="15.75" customHeight="1" s="14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</row>
    <row r="126" ht="15.75" customHeight="1" s="14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</row>
    <row r="127" ht="15.75" customHeight="1" s="14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</row>
    <row r="128" ht="15.75" customHeight="1" s="14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</row>
    <row r="129" ht="15.75" customHeight="1" s="14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</row>
    <row r="130" ht="15.75" customHeight="1" s="14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</row>
    <row r="131" ht="15.75" customHeight="1" s="14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</row>
    <row r="132" ht="15.75" customHeight="1" s="14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</row>
    <row r="133" ht="15.75" customHeight="1" s="14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</row>
    <row r="134" ht="15.75" customHeight="1" s="14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</row>
    <row r="135" ht="15.75" customHeight="1" s="14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</row>
    <row r="136" ht="15.75" customHeight="1" s="14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</row>
    <row r="137" ht="15.75" customHeight="1" s="14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</row>
    <row r="138" ht="15.75" customHeight="1" s="14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</row>
    <row r="139" ht="15.75" customHeight="1" s="14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</row>
    <row r="140" ht="15.75" customHeight="1" s="14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</row>
    <row r="141" ht="15.75" customHeight="1" s="14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</row>
    <row r="142" ht="15.75" customHeight="1" s="14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</row>
    <row r="143" ht="15.75" customHeight="1" s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</row>
    <row r="144" ht="15.75" customHeight="1" s="14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</row>
    <row r="145" ht="15.75" customHeight="1" s="14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</row>
    <row r="146" ht="15.75" customHeight="1" s="14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</row>
    <row r="147" ht="15.75" customHeight="1" s="14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</row>
    <row r="148" ht="15.75" customHeight="1" s="14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</row>
    <row r="149" ht="15.75" customHeight="1" s="14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</row>
    <row r="150" ht="15.75" customHeight="1" s="14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</row>
    <row r="151" ht="15.75" customHeight="1" s="14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</row>
    <row r="152" ht="15.75" customHeight="1" s="14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</row>
    <row r="153" ht="15.75" customHeight="1" s="14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</row>
    <row r="154" ht="15.75" customHeight="1" s="14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</row>
    <row r="155" ht="15.75" customHeight="1" s="14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</row>
    <row r="156" ht="15.75" customHeight="1" s="14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</row>
    <row r="157" ht="15.75" customHeight="1" s="14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</row>
    <row r="158" ht="15.75" customHeight="1" s="14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</row>
    <row r="159" ht="15.75" customHeight="1" s="14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</row>
    <row r="160" ht="15.75" customHeight="1" s="14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</row>
    <row r="161" ht="15.75" customHeight="1" s="14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</row>
    <row r="162" ht="15.75" customHeight="1" s="14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</row>
    <row r="163" ht="15.75" customHeight="1" s="14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</row>
    <row r="164" ht="15.75" customHeight="1" s="14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</row>
    <row r="165" ht="15.75" customHeight="1" s="14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</row>
    <row r="166" ht="15.75" customHeight="1" s="14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</row>
    <row r="167" ht="15.75" customHeight="1" s="14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</row>
    <row r="168" ht="15.75" customHeight="1" s="14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</row>
    <row r="169" ht="15.75" customHeight="1" s="14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</row>
    <row r="170" ht="15.75" customHeight="1" s="14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</row>
    <row r="171" ht="15.75" customHeight="1" s="14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</row>
    <row r="172" ht="15.75" customHeight="1" s="14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</row>
    <row r="173" ht="15.75" customHeight="1" s="14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</row>
    <row r="174" ht="15.75" customHeight="1" s="14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</row>
    <row r="175" ht="15.75" customHeight="1" s="14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</row>
    <row r="176" ht="15.75" customHeight="1" s="14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</row>
    <row r="177" ht="15.75" customHeight="1" s="14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</row>
    <row r="178" ht="15.75" customHeight="1" s="14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</row>
    <row r="179" ht="15.75" customHeight="1" s="14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</row>
    <row r="180" ht="15.75" customHeight="1" s="14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</row>
    <row r="181" ht="15.75" customHeight="1" s="14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 ht="15.75" customHeight="1" s="14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 ht="15.75" customHeight="1" s="14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 ht="15.75" customHeight="1" s="14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 ht="15.75" customHeight="1" s="14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 ht="15.75" customHeight="1" s="14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 ht="15.75" customHeight="1" s="14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 ht="15.75" customHeight="1" s="14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 ht="15.75" customHeight="1" s="14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</row>
    <row r="190" ht="15.75" customHeight="1" s="14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</row>
    <row r="191" ht="15.75" customHeight="1" s="14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</row>
    <row r="192" ht="15.75" customHeight="1" s="14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</row>
    <row r="193" ht="15.75" customHeight="1" s="14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</row>
    <row r="194" ht="15.75" customHeight="1" s="14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</row>
    <row r="195" ht="15.75" customHeight="1" s="14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</row>
    <row r="196" ht="15.75" customHeight="1" s="14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</row>
    <row r="197" ht="15.75" customHeight="1" s="14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</row>
    <row r="198" ht="15.75" customHeight="1" s="14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</row>
    <row r="199" ht="15.75" customHeight="1" s="14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 ht="15.75" customHeight="1" s="14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</row>
    <row r="201" ht="15.75" customHeight="1" s="14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</row>
    <row r="202" ht="15.75" customHeight="1" s="14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</row>
    <row r="203" ht="15.75" customHeight="1" s="14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</row>
    <row r="204" ht="15.75" customHeight="1" s="14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</row>
    <row r="205" ht="15.75" customHeight="1" s="14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</row>
    <row r="206" ht="15.75" customHeight="1" s="14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</row>
    <row r="207" ht="15.75" customHeight="1" s="14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</row>
    <row r="208" ht="15.75" customHeight="1" s="14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</row>
    <row r="209" ht="15.75" customHeight="1" s="14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</row>
    <row r="210" ht="15.75" customHeight="1" s="14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 ht="15.75" customHeight="1" s="14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 ht="15.75" customHeight="1" s="14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 ht="15.75" customHeight="1" s="14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 ht="15.75" customHeight="1" s="14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 ht="15.75" customHeight="1" s="14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 ht="15.75" customHeight="1" s="14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 ht="15.75" customHeight="1" s="14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 ht="15.75" customHeight="1" s="14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</row>
    <row r="219" ht="15.75" customHeight="1" s="14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</row>
    <row r="220" ht="15.75" customHeight="1" s="14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</row>
    <row r="221" ht="15.75" customHeight="1" s="14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</row>
    <row r="222" ht="15.75" customHeight="1" s="14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</row>
    <row r="223" ht="15.75" customHeight="1" s="14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 ht="15.75" customHeight="1" s="14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</row>
    <row r="225" ht="15.75" customHeight="1" s="14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 ht="15.75" customHeight="1" s="14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 ht="15.75" customHeight="1" s="14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</row>
    <row r="228" ht="15.75" customHeight="1" s="14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</row>
    <row r="229" ht="15.75" customHeight="1" s="14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</row>
    <row r="230" ht="15.75" customHeight="1" s="14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</row>
    <row r="231" ht="15.75" customHeight="1" s="14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</row>
    <row r="232" ht="15.75" customHeight="1" s="14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</row>
    <row r="233" ht="15.75" customHeight="1" s="14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</row>
    <row r="234" ht="15.75" customHeight="1" s="14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</row>
    <row r="235" ht="15.75" customHeight="1" s="14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</row>
    <row r="236" ht="15.75" customHeight="1" s="14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</row>
    <row r="237" ht="15.75" customHeight="1" s="14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</row>
    <row r="238" ht="15.75" customHeight="1" s="14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</row>
    <row r="239" ht="15.75" customHeight="1" s="14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</row>
    <row r="240" ht="15.75" customHeight="1" s="14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</row>
    <row r="241" ht="15.75" customHeight="1" s="14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</row>
    <row r="242" ht="15.75" customHeight="1" s="14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</row>
    <row r="243" ht="15.75" customHeight="1" s="1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</row>
    <row r="244" ht="15.75" customHeight="1" s="14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</row>
    <row r="245" ht="15.75" customHeight="1" s="14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</row>
    <row r="246" ht="15.75" customHeight="1" s="14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</row>
    <row r="247" ht="15.75" customHeight="1" s="14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</row>
    <row r="248" ht="15.75" customHeight="1" s="14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</row>
    <row r="249" ht="15.75" customHeight="1" s="14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</row>
    <row r="250" ht="15.75" customHeight="1" s="14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 ht="15.75" customHeight="1" s="14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</row>
    <row r="252" ht="15.75" customHeight="1" s="14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</row>
    <row r="253" ht="15.75" customHeight="1" s="14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</row>
    <row r="254" ht="15.75" customHeight="1" s="14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</row>
    <row r="255" ht="15.75" customHeight="1" s="14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</row>
    <row r="256" ht="15.75" customHeight="1" s="14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</row>
    <row r="257" ht="15.75" customHeight="1" s="14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</row>
    <row r="258" ht="15.75" customHeight="1" s="14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</row>
    <row r="259" ht="15.75" customHeight="1" s="14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</row>
    <row r="260" ht="15.75" customHeight="1" s="14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</row>
    <row r="261" ht="15.75" customHeight="1" s="14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</row>
    <row r="262" ht="15.75" customHeight="1" s="14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</row>
    <row r="263" ht="15.75" customHeight="1" s="14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</row>
    <row r="264" ht="15.75" customHeight="1" s="14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</row>
    <row r="265" ht="15.75" customHeight="1" s="14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</row>
    <row r="266" ht="15.75" customHeight="1" s="14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 ht="15.75" customHeight="1" s="14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 ht="15.75" customHeight="1" s="14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</row>
    <row r="269" ht="15.75" customHeight="1" s="14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</row>
    <row r="270" ht="15.75" customHeight="1" s="14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</row>
    <row r="271" ht="15.75" customHeight="1" s="14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 ht="15.75" customHeight="1" s="14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</row>
    <row r="273" ht="15.75" customHeight="1" s="14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</row>
    <row r="274" ht="15.75" customHeight="1" s="14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</row>
    <row r="275" ht="15.75" customHeight="1" s="14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</row>
    <row r="276" ht="15.75" customHeight="1" s="14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</row>
    <row r="277" ht="15.75" customHeight="1" s="14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</row>
    <row r="278" ht="15.75" customHeight="1" s="14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</row>
    <row r="279" ht="15.75" customHeight="1" s="14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</row>
    <row r="280" ht="15.75" customHeight="1" s="14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</row>
    <row r="281" ht="15.75" customHeight="1" s="14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</row>
    <row r="282" ht="15.75" customHeight="1" s="14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 ht="15.75" customHeight="1" s="14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 ht="15.75" customHeight="1" s="14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</row>
    <row r="285" ht="15.75" customHeight="1" s="14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</row>
    <row r="286" ht="15.75" customHeight="1" s="14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</row>
    <row r="287" ht="15.75" customHeight="1" s="14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</row>
    <row r="288" ht="15.75" customHeight="1" s="14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</row>
    <row r="289" ht="15.75" customHeight="1" s="14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</row>
    <row r="290" ht="15.75" customHeight="1" s="14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</row>
    <row r="291" ht="15.75" customHeight="1" s="14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</row>
    <row r="292" ht="15.75" customHeight="1" s="14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</row>
    <row r="293" ht="15.75" customHeight="1" s="14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 ht="15.75" customHeight="1" s="14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</row>
    <row r="295" ht="15.75" customHeight="1" s="14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</row>
    <row r="296" ht="15.75" customHeight="1" s="14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</row>
    <row r="297" ht="15.75" customHeight="1" s="14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</row>
    <row r="298" ht="15.75" customHeight="1" s="14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 ht="15.75" customHeight="1" s="14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 ht="15.75" customHeight="1" s="14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</row>
    <row r="301" ht="15.75" customHeight="1" s="14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</row>
    <row r="302" ht="15.75" customHeight="1" s="14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</row>
    <row r="303" ht="15.75" customHeight="1" s="14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</row>
    <row r="304" ht="15.75" customHeight="1" s="14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</row>
    <row r="305" ht="15.75" customHeight="1" s="14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</row>
    <row r="306" ht="15.75" customHeight="1" s="14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</row>
    <row r="307" ht="15.75" customHeight="1" s="14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</row>
    <row r="308" ht="15.75" customHeight="1" s="14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</row>
    <row r="309" ht="15.75" customHeight="1" s="14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</row>
    <row r="310" ht="15.75" customHeight="1" s="14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</row>
    <row r="311" ht="15.75" customHeight="1" s="14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</row>
    <row r="312" ht="15.75" customHeight="1" s="14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</row>
    <row r="313" ht="15.75" customHeight="1" s="14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</row>
    <row r="314" ht="15.75" customHeight="1" s="14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</row>
    <row r="315" ht="15.75" customHeight="1" s="14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</row>
    <row r="316" ht="15.75" customHeight="1" s="14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</row>
    <row r="317" ht="15.75" customHeight="1" s="14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</row>
    <row r="318" ht="15.75" customHeight="1" s="14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</row>
    <row r="319" ht="15.75" customHeight="1" s="14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</row>
    <row r="320" ht="15.75" customHeight="1" s="14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</row>
    <row r="321" ht="15.75" customHeight="1" s="14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</row>
    <row r="322" ht="15.75" customHeight="1" s="14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</row>
    <row r="323" ht="15.75" customHeight="1" s="14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</row>
    <row r="324" ht="15.75" customHeight="1" s="14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</row>
    <row r="325" ht="15.75" customHeight="1" s="14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</row>
    <row r="326" ht="15.75" customHeight="1" s="14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</row>
    <row r="327" ht="15.75" customHeight="1" s="14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</row>
    <row r="328" ht="15.75" customHeight="1" s="14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</row>
    <row r="329" ht="15.75" customHeight="1" s="14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</row>
    <row r="330" ht="15.75" customHeight="1" s="14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</row>
    <row r="331" ht="15.75" customHeight="1" s="14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</row>
    <row r="332" ht="15.75" customHeight="1" s="14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3" ht="15.75" customHeight="1" s="14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</row>
    <row r="334" ht="15.75" customHeight="1" s="14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</row>
    <row r="335" ht="15.75" customHeight="1" s="14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</row>
    <row r="336" ht="15.75" customHeight="1" s="14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</row>
    <row r="337" ht="15.75" customHeight="1" s="14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</row>
    <row r="338" ht="15.75" customHeight="1" s="14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</row>
    <row r="339" ht="15.75" customHeight="1" s="14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</row>
    <row r="340" ht="15.75" customHeight="1" s="14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</row>
    <row r="341" ht="15.75" customHeight="1" s="14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</row>
    <row r="342" ht="15.75" customHeight="1" s="14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</row>
    <row r="343" ht="15.75" customHeight="1" s="1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</row>
    <row r="344" ht="15.75" customHeight="1" s="14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</row>
    <row r="345" ht="15.75" customHeight="1" s="14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</row>
    <row r="346" ht="15.75" customHeight="1" s="14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</row>
    <row r="347" ht="15.75" customHeight="1" s="14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</row>
    <row r="348" ht="15.75" customHeight="1" s="14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</row>
    <row r="349" ht="15.75" customHeight="1" s="14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</row>
    <row r="350" ht="15.75" customHeight="1" s="14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</row>
    <row r="351" ht="15.75" customHeight="1" s="14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</row>
    <row r="352" ht="15.75" customHeight="1" s="14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</row>
    <row r="353" ht="15.75" customHeight="1" s="14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</row>
    <row r="354" ht="15.75" customHeight="1" s="14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</row>
    <row r="355" ht="15.75" customHeight="1" s="14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</row>
    <row r="356" ht="15.75" customHeight="1" s="14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</row>
    <row r="357" ht="15.75" customHeight="1" s="14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</row>
    <row r="358" ht="15.75" customHeight="1" s="14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</row>
    <row r="359" ht="15.75" customHeight="1" s="14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</row>
    <row r="360" ht="15.75" customHeight="1" s="14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</row>
    <row r="361" ht="15.75" customHeight="1" s="14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</row>
    <row r="362" ht="15.75" customHeight="1" s="14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</row>
    <row r="363" ht="15.75" customHeight="1" s="14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</row>
    <row r="364" ht="15.75" customHeight="1" s="14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</row>
    <row r="365" ht="15.75" customHeight="1" s="14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</row>
    <row r="366" ht="15.75" customHeight="1" s="14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</row>
    <row r="367" ht="15.75" customHeight="1" s="14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</row>
    <row r="368" ht="15.75" customHeight="1" s="14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</row>
    <row r="369" ht="15.75" customHeight="1" s="14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</row>
    <row r="370" ht="15.75" customHeight="1" s="14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</row>
    <row r="371" ht="15.75" customHeight="1" s="14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</row>
    <row r="372" ht="15.75" customHeight="1" s="14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</row>
    <row r="373" ht="15.75" customHeight="1" s="14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</row>
    <row r="374" ht="15.75" customHeight="1" s="14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</row>
    <row r="375" ht="15.75" customHeight="1" s="14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</row>
    <row r="376" ht="15.75" customHeight="1" s="14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</row>
    <row r="377" ht="15.75" customHeight="1" s="14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</row>
    <row r="378" ht="15.75" customHeight="1" s="14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</row>
    <row r="379" ht="15.75" customHeight="1" s="14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</row>
    <row r="380" ht="15.75" customHeight="1" s="14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</row>
    <row r="381" ht="15.75" customHeight="1" s="14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</row>
    <row r="382" ht="15.75" customHeight="1" s="14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</row>
    <row r="383" ht="15.75" customHeight="1" s="14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</row>
    <row r="384" ht="15.75" customHeight="1" s="14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</row>
    <row r="385" ht="15.75" customHeight="1" s="14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</row>
    <row r="386" ht="15.75" customHeight="1" s="14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</row>
    <row r="387" ht="15.75" customHeight="1" s="14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</row>
    <row r="388" ht="15.75" customHeight="1" s="14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</row>
    <row r="389" ht="15.75" customHeight="1" s="14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</row>
    <row r="390" ht="15.75" customHeight="1" s="14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</row>
    <row r="391" ht="15.75" customHeight="1" s="14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</row>
    <row r="392" ht="15.75" customHeight="1" s="14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</row>
    <row r="393" ht="15.75" customHeight="1" s="14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</row>
    <row r="394" ht="15.75" customHeight="1" s="14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</row>
    <row r="395" ht="15.75" customHeight="1" s="14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</row>
    <row r="396" ht="15.75" customHeight="1" s="14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</row>
    <row r="397" ht="15.75" customHeight="1" s="14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</row>
    <row r="398" ht="15.75" customHeight="1" s="14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</row>
    <row r="399" ht="15.75" customHeight="1" s="14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</row>
    <row r="400" ht="15.75" customHeight="1" s="14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</row>
    <row r="401" ht="15.75" customHeight="1" s="14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</row>
    <row r="402" ht="15.75" customHeight="1" s="14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</row>
    <row r="403" ht="15.75" customHeight="1" s="14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</row>
    <row r="404" ht="15.75" customHeight="1" s="14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</row>
    <row r="405" ht="15.75" customHeight="1" s="14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</row>
    <row r="406" ht="15.75" customHeight="1" s="14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</row>
    <row r="407" ht="15.75" customHeight="1" s="14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</row>
    <row r="408" ht="15.75" customHeight="1" s="14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</row>
    <row r="409" ht="15.75" customHeight="1" s="14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</row>
    <row r="410" ht="15.75" customHeight="1" s="14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</row>
    <row r="411" ht="15.75" customHeight="1" s="14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</row>
    <row r="412" ht="15.75" customHeight="1" s="14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</row>
    <row r="413" ht="15.75" customHeight="1" s="14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</row>
    <row r="414" ht="15.75" customHeight="1" s="14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</row>
    <row r="415" ht="15.75" customHeight="1" s="14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</row>
    <row r="416" ht="15.75" customHeight="1" s="14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</row>
    <row r="417" ht="15.75" customHeight="1" s="14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</row>
    <row r="418" ht="15.75" customHeight="1" s="14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</row>
    <row r="419" ht="15.75" customHeight="1" s="14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</row>
    <row r="420" ht="15.75" customHeight="1" s="14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</row>
    <row r="421" ht="15.75" customHeight="1" s="14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</row>
    <row r="422" ht="15.75" customHeight="1" s="14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</row>
    <row r="423" ht="15.75" customHeight="1" s="14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</row>
    <row r="424" ht="15.75" customHeight="1" s="14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</row>
    <row r="425" ht="15.75" customHeight="1" s="14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</row>
    <row r="426" ht="15.75" customHeight="1" s="14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</row>
    <row r="427" ht="15.75" customHeight="1" s="14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</row>
    <row r="428" ht="15.75" customHeight="1" s="14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</row>
    <row r="429" ht="15.75" customHeight="1" s="14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</row>
    <row r="430" ht="15.75" customHeight="1" s="14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</row>
    <row r="431" ht="15.75" customHeight="1" s="14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</row>
    <row r="432" ht="15.75" customHeight="1" s="14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</row>
    <row r="433" ht="15.75" customHeight="1" s="14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</row>
    <row r="434" ht="15.75" customHeight="1" s="14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</row>
    <row r="435" ht="15.75" customHeight="1" s="14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</row>
    <row r="436" ht="15.75" customHeight="1" s="14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</row>
    <row r="437" ht="15.75" customHeight="1" s="14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</row>
    <row r="438" ht="15.75" customHeight="1" s="14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</row>
    <row r="439" ht="15.75" customHeight="1" s="14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</row>
    <row r="440" ht="15.75" customHeight="1" s="14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</row>
    <row r="441" ht="15.75" customHeight="1" s="14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</row>
    <row r="442" ht="15.75" customHeight="1" s="14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</row>
    <row r="443" ht="15.75" customHeight="1" s="1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</row>
    <row r="444" ht="15.75" customHeight="1" s="14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</row>
    <row r="445" ht="15.75" customHeight="1" s="14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</row>
    <row r="446" ht="15.75" customHeight="1" s="14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</row>
    <row r="447" ht="15.75" customHeight="1" s="14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</row>
    <row r="448" ht="15.75" customHeight="1" s="14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</row>
    <row r="449" ht="15.75" customHeight="1" s="14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</row>
    <row r="450" ht="15.75" customHeight="1" s="14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</row>
    <row r="451" ht="15.75" customHeight="1" s="14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</row>
    <row r="452" ht="15.75" customHeight="1" s="14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</row>
    <row r="453" ht="15.75" customHeight="1" s="14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</row>
    <row r="454" ht="15.75" customHeight="1" s="14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</row>
    <row r="455" ht="15.75" customHeight="1" s="14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</row>
    <row r="456" ht="15.75" customHeight="1" s="14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</row>
    <row r="457" ht="15.75" customHeight="1" s="14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</row>
    <row r="458" ht="15.75" customHeight="1" s="14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</row>
    <row r="459" ht="15.75" customHeight="1" s="14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</row>
    <row r="460" ht="15.75" customHeight="1" s="14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</row>
    <row r="461" ht="15.75" customHeight="1" s="14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</row>
    <row r="462" ht="15.75" customHeight="1" s="14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</row>
    <row r="463" ht="15.75" customHeight="1" s="14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</row>
    <row r="464" ht="15.75" customHeight="1" s="14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</row>
    <row r="465" ht="15.75" customHeight="1" s="14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</row>
    <row r="466" ht="15.75" customHeight="1" s="14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</row>
    <row r="467" ht="15.75" customHeight="1" s="14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</row>
    <row r="468" ht="15.75" customHeight="1" s="14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</row>
    <row r="469" ht="15.75" customHeight="1" s="14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</row>
    <row r="470" ht="15.75" customHeight="1" s="14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</row>
    <row r="471" ht="15.75" customHeight="1" s="14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</row>
    <row r="472" ht="15.75" customHeight="1" s="14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</row>
    <row r="473" ht="15.75" customHeight="1" s="14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</row>
    <row r="474" ht="15.75" customHeight="1" s="14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</row>
    <row r="475" ht="15.75" customHeight="1" s="14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</row>
    <row r="476" ht="15.75" customHeight="1" s="14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</row>
    <row r="477" ht="15.75" customHeight="1" s="14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</row>
    <row r="478" ht="15.75" customHeight="1" s="14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</row>
    <row r="479" ht="15.75" customHeight="1" s="14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</row>
    <row r="480" ht="15.75" customHeight="1" s="14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</row>
    <row r="481" ht="15.75" customHeight="1" s="14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</row>
    <row r="482" ht="15.75" customHeight="1" s="14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</row>
    <row r="483" ht="15.75" customHeight="1" s="14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</row>
    <row r="484" ht="15.75" customHeight="1" s="14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</row>
    <row r="485" ht="15.75" customHeight="1" s="14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</row>
    <row r="486" ht="15.75" customHeight="1" s="14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</row>
    <row r="487" ht="15.75" customHeight="1" s="14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</row>
    <row r="488" ht="15.75" customHeight="1" s="14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</row>
    <row r="489" ht="15.75" customHeight="1" s="14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</row>
    <row r="490" ht="15.75" customHeight="1" s="14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</row>
    <row r="491" ht="15.75" customHeight="1" s="14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</row>
    <row r="492" ht="15.75" customHeight="1" s="14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</row>
    <row r="493" ht="15.75" customHeight="1" s="14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</row>
    <row r="494" ht="15.75" customHeight="1" s="14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</row>
    <row r="495" ht="15.75" customHeight="1" s="14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</row>
    <row r="496" ht="15.75" customHeight="1" s="14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</row>
    <row r="497" ht="15.75" customHeight="1" s="14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</row>
    <row r="498" ht="15.75" customHeight="1" s="14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</row>
    <row r="499" ht="15.75" customHeight="1" s="14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</row>
    <row r="500" ht="15.75" customHeight="1" s="14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</row>
    <row r="501" ht="15.75" customHeight="1" s="14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</row>
    <row r="502" ht="15.75" customHeight="1" s="14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</row>
    <row r="503" ht="15.75" customHeight="1" s="14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</row>
    <row r="504" ht="15.75" customHeight="1" s="14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</row>
    <row r="505" ht="15.75" customHeight="1" s="14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</row>
    <row r="506" ht="15.75" customHeight="1" s="14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</row>
    <row r="507" ht="15.75" customHeight="1" s="14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</row>
    <row r="508" ht="15.75" customHeight="1" s="14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</row>
    <row r="509" ht="15.75" customHeight="1" s="14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</row>
    <row r="510" ht="15.75" customHeight="1" s="14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</row>
    <row r="511" ht="15.75" customHeight="1" s="14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</row>
    <row r="512" ht="15.75" customHeight="1" s="14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</row>
    <row r="513" ht="15.75" customHeight="1" s="14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</row>
    <row r="514" ht="15.75" customHeight="1" s="14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</row>
    <row r="515" ht="15.75" customHeight="1" s="14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</row>
    <row r="516" ht="15.75" customHeight="1" s="14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</row>
    <row r="517" ht="15.75" customHeight="1" s="14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</row>
    <row r="518" ht="15.75" customHeight="1" s="14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</row>
    <row r="519" ht="15.75" customHeight="1" s="14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</row>
    <row r="520" ht="15.75" customHeight="1" s="14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</row>
    <row r="521" ht="15.75" customHeight="1" s="14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</row>
    <row r="522" ht="15.75" customHeight="1" s="14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</row>
    <row r="523" ht="15.75" customHeight="1" s="14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</row>
    <row r="524" ht="15.75" customHeight="1" s="14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</row>
    <row r="525" ht="15.75" customHeight="1" s="14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</row>
    <row r="526" ht="15.75" customHeight="1" s="14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</row>
    <row r="527" ht="15.75" customHeight="1" s="14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</row>
    <row r="528" ht="15.75" customHeight="1" s="14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</row>
    <row r="529" ht="15.75" customHeight="1" s="14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</row>
    <row r="530" ht="15.75" customHeight="1" s="14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</row>
    <row r="531" ht="15.75" customHeight="1" s="14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</row>
    <row r="532" ht="15.75" customHeight="1" s="14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</row>
    <row r="533" ht="15.75" customHeight="1" s="14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</row>
    <row r="534" ht="15.75" customHeight="1" s="14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</row>
    <row r="535" ht="15.75" customHeight="1" s="14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</row>
    <row r="536" ht="15.75" customHeight="1" s="14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</row>
    <row r="537" ht="15.75" customHeight="1" s="14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</row>
    <row r="538" ht="15.75" customHeight="1" s="14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</row>
    <row r="539" ht="15.75" customHeight="1" s="14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</row>
    <row r="540" ht="15.75" customHeight="1" s="14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</row>
    <row r="541" ht="15.75" customHeight="1" s="14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</row>
    <row r="542" ht="15.75" customHeight="1" s="14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</row>
    <row r="543" ht="15.75" customHeight="1" s="1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</row>
    <row r="544" ht="15.75" customHeight="1" s="14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</row>
    <row r="545" ht="15.75" customHeight="1" s="14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</row>
    <row r="546" ht="15.75" customHeight="1" s="14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</row>
    <row r="547" ht="15.75" customHeight="1" s="14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</row>
    <row r="548" ht="15.75" customHeight="1" s="14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</row>
    <row r="549" ht="15.75" customHeight="1" s="14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</row>
    <row r="550" ht="15.75" customHeight="1" s="14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</row>
    <row r="551" ht="15.75" customHeight="1" s="14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</row>
    <row r="552" ht="15.75" customHeight="1" s="14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</row>
    <row r="553" ht="15.75" customHeight="1" s="14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</row>
    <row r="554" ht="15.75" customHeight="1" s="14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</row>
    <row r="555" ht="15.75" customHeight="1" s="14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</row>
    <row r="556" ht="15.75" customHeight="1" s="14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</row>
    <row r="557" ht="15.75" customHeight="1" s="14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</row>
    <row r="558" ht="15.75" customHeight="1" s="14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</row>
    <row r="559" ht="15.75" customHeight="1" s="14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</row>
    <row r="560" ht="15.75" customHeight="1" s="14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</row>
    <row r="561" ht="15.75" customHeight="1" s="14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</row>
    <row r="562" ht="15.75" customHeight="1" s="14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</row>
    <row r="563" ht="15.75" customHeight="1" s="14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</row>
    <row r="564" ht="15.75" customHeight="1" s="14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</row>
    <row r="565" ht="15.75" customHeight="1" s="14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</row>
    <row r="566" ht="15.75" customHeight="1" s="14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</row>
    <row r="567" ht="15.75" customHeight="1" s="14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</row>
    <row r="568" ht="15.75" customHeight="1" s="14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</row>
    <row r="569" ht="15.75" customHeight="1" s="14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</row>
    <row r="570" ht="15.75" customHeight="1" s="14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</row>
    <row r="571" ht="15.75" customHeight="1" s="14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</row>
    <row r="572" ht="15.75" customHeight="1" s="14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</row>
    <row r="573" ht="15.75" customHeight="1" s="14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</row>
    <row r="574" ht="15.75" customHeight="1" s="14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</row>
    <row r="575" ht="15.75" customHeight="1" s="14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</row>
    <row r="576" ht="15.75" customHeight="1" s="14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</row>
    <row r="577" ht="15.75" customHeight="1" s="14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</row>
    <row r="578" ht="15.75" customHeight="1" s="14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</row>
    <row r="579" ht="15.75" customHeight="1" s="14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</row>
    <row r="580" ht="15.75" customHeight="1" s="14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</row>
    <row r="581" ht="15.75" customHeight="1" s="14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</row>
    <row r="582" ht="15.75" customHeight="1" s="14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</row>
    <row r="583" ht="15.75" customHeight="1" s="14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</row>
    <row r="584" ht="15.75" customHeight="1" s="14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</row>
    <row r="585" ht="15.75" customHeight="1" s="14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</row>
    <row r="586" ht="15.75" customHeight="1" s="14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</row>
    <row r="587" ht="15.75" customHeight="1" s="14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</row>
    <row r="588" ht="15.75" customHeight="1" s="14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</row>
    <row r="589" ht="15.75" customHeight="1" s="14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</row>
    <row r="590" ht="15.75" customHeight="1" s="14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</row>
    <row r="591" ht="15.75" customHeight="1" s="14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</row>
    <row r="592" ht="15.75" customHeight="1" s="14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</row>
    <row r="593" ht="15.75" customHeight="1" s="14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</row>
    <row r="594" ht="15.75" customHeight="1" s="14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</row>
    <row r="595" ht="15.75" customHeight="1" s="14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</row>
    <row r="596" ht="15.75" customHeight="1" s="14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</row>
    <row r="597" ht="15.75" customHeight="1" s="14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</row>
    <row r="598" ht="15.75" customHeight="1" s="14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</row>
    <row r="599" ht="15.75" customHeight="1" s="14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</row>
    <row r="600" ht="15.75" customHeight="1" s="14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</row>
    <row r="601" ht="15.75" customHeight="1" s="14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</row>
    <row r="602" ht="15.75" customHeight="1" s="14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</row>
    <row r="603" ht="15.75" customHeight="1" s="14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</row>
    <row r="604" ht="15.75" customHeight="1" s="14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</row>
    <row r="605" ht="15.75" customHeight="1" s="14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</row>
    <row r="606" ht="15.75" customHeight="1" s="14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</row>
    <row r="607" ht="15.75" customHeight="1" s="14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</row>
    <row r="608" ht="15.75" customHeight="1" s="14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</row>
    <row r="609" ht="15.75" customHeight="1" s="14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</row>
    <row r="610" ht="15.75" customHeight="1" s="14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</row>
    <row r="611" ht="15.75" customHeight="1" s="14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</row>
    <row r="612" ht="15.75" customHeight="1" s="14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</row>
    <row r="613" ht="15.75" customHeight="1" s="14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</row>
    <row r="614" ht="15.75" customHeight="1" s="14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</row>
    <row r="615" ht="15.75" customHeight="1" s="14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</row>
    <row r="616" ht="15.75" customHeight="1" s="14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</row>
    <row r="617" ht="15.75" customHeight="1" s="14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</row>
    <row r="618" ht="15.75" customHeight="1" s="14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</row>
    <row r="619" ht="15.75" customHeight="1" s="14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</row>
    <row r="620" ht="15.75" customHeight="1" s="14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</row>
    <row r="621" ht="15.75" customHeight="1" s="14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</row>
    <row r="622" ht="15.75" customHeight="1" s="14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</row>
    <row r="623" ht="15.75" customHeight="1" s="14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</row>
    <row r="624" ht="15.75" customHeight="1" s="14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</row>
    <row r="625" ht="15.75" customHeight="1" s="14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</row>
    <row r="626" ht="15.75" customHeight="1" s="14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</row>
    <row r="627" ht="15.75" customHeight="1" s="14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</row>
    <row r="628" ht="15.75" customHeight="1" s="14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</row>
    <row r="629" ht="15.75" customHeight="1" s="14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</row>
    <row r="630" ht="15.75" customHeight="1" s="14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</row>
    <row r="631" ht="15.75" customHeight="1" s="14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</row>
    <row r="632" ht="15.75" customHeight="1" s="14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</row>
    <row r="633" ht="15.75" customHeight="1" s="14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</row>
    <row r="634" ht="15.75" customHeight="1" s="14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</row>
    <row r="635" ht="15.75" customHeight="1" s="14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</row>
    <row r="636" ht="15.75" customHeight="1" s="14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</row>
    <row r="637" ht="15.75" customHeight="1" s="14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</row>
    <row r="638" ht="15.75" customHeight="1" s="14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</row>
    <row r="639" ht="15.75" customHeight="1" s="14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</row>
    <row r="640" ht="15.75" customHeight="1" s="14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</row>
    <row r="641" ht="15.75" customHeight="1" s="14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</row>
    <row r="642" ht="15.75" customHeight="1" s="14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</row>
    <row r="643" ht="15.75" customHeight="1" s="1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</row>
    <row r="644" ht="15.75" customHeight="1" s="14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</row>
    <row r="645" ht="15.75" customHeight="1" s="14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</row>
    <row r="646" ht="15.75" customHeight="1" s="14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</row>
    <row r="647" ht="15.75" customHeight="1" s="14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</row>
    <row r="648" ht="15.75" customHeight="1" s="14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</row>
    <row r="649" ht="15.75" customHeight="1" s="14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</row>
    <row r="650" ht="15.75" customHeight="1" s="14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</row>
    <row r="651" ht="15.75" customHeight="1" s="14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</row>
    <row r="652" ht="15.75" customHeight="1" s="14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</row>
    <row r="653" ht="15.75" customHeight="1" s="14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</row>
    <row r="654" ht="15.75" customHeight="1" s="14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</row>
    <row r="655" ht="15.75" customHeight="1" s="14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</row>
    <row r="656" ht="15.75" customHeight="1" s="14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</row>
    <row r="657" ht="15.75" customHeight="1" s="14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</row>
    <row r="658" ht="15.75" customHeight="1" s="14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</row>
    <row r="659" ht="15.75" customHeight="1" s="14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</row>
    <row r="660" ht="15.75" customHeight="1" s="14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</row>
    <row r="661" ht="15.75" customHeight="1" s="14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</row>
    <row r="662" ht="15.75" customHeight="1" s="14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</row>
    <row r="663" ht="15.75" customHeight="1" s="14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</row>
    <row r="664" ht="15.75" customHeight="1" s="14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</row>
    <row r="665" ht="15.75" customHeight="1" s="14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</row>
    <row r="666" ht="15.75" customHeight="1" s="14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</row>
    <row r="667" ht="15.75" customHeight="1" s="14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</row>
    <row r="668" ht="15.75" customHeight="1" s="14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</row>
    <row r="669" ht="15.75" customHeight="1" s="14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</row>
    <row r="670" ht="15.75" customHeight="1" s="14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</row>
    <row r="671" ht="15.75" customHeight="1" s="14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</row>
    <row r="672" ht="15.75" customHeight="1" s="14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</row>
    <row r="673" ht="15.75" customHeight="1" s="14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</row>
    <row r="674" ht="15.75" customHeight="1" s="14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</row>
    <row r="675" ht="15.75" customHeight="1" s="14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</row>
    <row r="676" ht="15.75" customHeight="1" s="14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</row>
    <row r="677" ht="15.75" customHeight="1" s="14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</row>
    <row r="678" ht="15.75" customHeight="1" s="14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</row>
    <row r="679" ht="15.75" customHeight="1" s="14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</row>
    <row r="680" ht="15.75" customHeight="1" s="14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</row>
    <row r="681" ht="15.75" customHeight="1" s="14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</row>
    <row r="682" ht="15.75" customHeight="1" s="14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</row>
    <row r="683" ht="15.75" customHeight="1" s="14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</row>
    <row r="684" ht="15.75" customHeight="1" s="14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</row>
    <row r="685" ht="15.75" customHeight="1" s="14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</row>
    <row r="686" ht="15.75" customHeight="1" s="14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</row>
    <row r="687" ht="15.75" customHeight="1" s="14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</row>
    <row r="688" ht="15.75" customHeight="1" s="14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</row>
    <row r="689" ht="15.75" customHeight="1" s="14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</row>
    <row r="690" ht="15.75" customHeight="1" s="14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</row>
    <row r="691" ht="15.75" customHeight="1" s="14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</row>
    <row r="692" ht="15.75" customHeight="1" s="14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</row>
    <row r="693" ht="15.75" customHeight="1" s="14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</row>
    <row r="694" ht="15.75" customHeight="1" s="14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</row>
    <row r="695" ht="15.75" customHeight="1" s="14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</row>
    <row r="696" ht="15.75" customHeight="1" s="14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</row>
    <row r="697" ht="15.75" customHeight="1" s="14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</row>
    <row r="698" ht="15.75" customHeight="1" s="14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</row>
    <row r="699" ht="15.75" customHeight="1" s="14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</row>
    <row r="700" ht="15.75" customHeight="1" s="14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</row>
    <row r="701" ht="15.75" customHeight="1" s="14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</row>
    <row r="702" ht="15.75" customHeight="1" s="14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</row>
    <row r="703" ht="15.75" customHeight="1" s="14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</row>
    <row r="704" ht="15.75" customHeight="1" s="14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</row>
    <row r="705" ht="15.75" customHeight="1" s="14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</row>
    <row r="706" ht="15.75" customHeight="1" s="14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</row>
    <row r="707" ht="15.75" customHeight="1" s="14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</row>
    <row r="708" ht="15.75" customHeight="1" s="14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</row>
    <row r="709" ht="15.75" customHeight="1" s="14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</row>
    <row r="710" ht="15.75" customHeight="1" s="14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</row>
    <row r="711" ht="15.75" customHeight="1" s="14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</row>
    <row r="712" ht="15.75" customHeight="1" s="14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</row>
    <row r="713" ht="15.75" customHeight="1" s="14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</row>
    <row r="714" ht="15.75" customHeight="1" s="14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</row>
    <row r="715" ht="15.75" customHeight="1" s="14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</row>
    <row r="716" ht="15.75" customHeight="1" s="14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</row>
    <row r="717" ht="15.75" customHeight="1" s="14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</row>
    <row r="718" ht="15.75" customHeight="1" s="14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</row>
    <row r="719" ht="15.75" customHeight="1" s="14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</row>
    <row r="720" ht="15.75" customHeight="1" s="14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</row>
    <row r="721" ht="15.75" customHeight="1" s="14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</row>
    <row r="722" ht="15.75" customHeight="1" s="14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</row>
    <row r="723" ht="15.75" customHeight="1" s="14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</row>
    <row r="724" ht="15.75" customHeight="1" s="14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</row>
    <row r="725" ht="15.75" customHeight="1" s="14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</row>
    <row r="726" ht="15.75" customHeight="1" s="14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</row>
    <row r="727" ht="15.75" customHeight="1" s="14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</row>
    <row r="728" ht="15.75" customHeight="1" s="14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</row>
    <row r="729" ht="15.75" customHeight="1" s="14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</row>
    <row r="730" ht="15.75" customHeight="1" s="14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</row>
    <row r="731" ht="15.75" customHeight="1" s="14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</row>
    <row r="732" ht="15.75" customHeight="1" s="14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</row>
    <row r="733" ht="15.75" customHeight="1" s="14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</row>
    <row r="734" ht="15.75" customHeight="1" s="14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</row>
    <row r="735" ht="15.75" customHeight="1" s="14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</row>
    <row r="736" ht="15.75" customHeight="1" s="14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</row>
    <row r="737" ht="15.75" customHeight="1" s="14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</row>
    <row r="738" ht="15.75" customHeight="1" s="14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</row>
    <row r="739" ht="15.75" customHeight="1" s="14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</row>
    <row r="740" ht="15.75" customHeight="1" s="14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</row>
    <row r="741" ht="15.75" customHeight="1" s="14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</row>
    <row r="742" ht="15.75" customHeight="1" s="14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</row>
    <row r="743" ht="15.75" customHeight="1" s="1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</row>
    <row r="744" ht="15.75" customHeight="1" s="14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</row>
    <row r="745" ht="15.75" customHeight="1" s="14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</row>
    <row r="746" ht="15.75" customHeight="1" s="14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</row>
    <row r="747" ht="15.75" customHeight="1" s="14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</row>
    <row r="748" ht="15.75" customHeight="1" s="14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</row>
    <row r="749" ht="15.75" customHeight="1" s="14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</row>
    <row r="750" ht="15.75" customHeight="1" s="14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</row>
    <row r="751" ht="15.75" customHeight="1" s="14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</row>
    <row r="752" ht="15.75" customHeight="1" s="14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</row>
    <row r="753" ht="15.75" customHeight="1" s="14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</row>
    <row r="754" ht="15.75" customHeight="1" s="14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</row>
    <row r="755" ht="15.75" customHeight="1" s="14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</row>
    <row r="756" ht="15.75" customHeight="1" s="14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</row>
    <row r="757" ht="15.75" customHeight="1" s="14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</row>
    <row r="758" ht="15.75" customHeight="1" s="14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</row>
    <row r="759" ht="15.75" customHeight="1" s="14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</row>
    <row r="760" ht="15.75" customHeight="1" s="14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</row>
    <row r="761" ht="15.75" customHeight="1" s="14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</row>
    <row r="762" ht="15.75" customHeight="1" s="14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</row>
    <row r="763" ht="15.75" customHeight="1" s="14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</row>
    <row r="764" ht="15.75" customHeight="1" s="14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</row>
    <row r="765" ht="15.75" customHeight="1" s="14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</row>
    <row r="766" ht="15.75" customHeight="1" s="14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</row>
    <row r="767" ht="15.75" customHeight="1" s="14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</row>
    <row r="768" ht="15.75" customHeight="1" s="14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</row>
    <row r="769" ht="15.75" customHeight="1" s="14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</row>
    <row r="770" ht="15.75" customHeight="1" s="14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</row>
    <row r="771" ht="15.75" customHeight="1" s="14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</row>
    <row r="772" ht="15.75" customHeight="1" s="14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</row>
    <row r="773" ht="15.75" customHeight="1" s="14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</row>
    <row r="774" ht="15.75" customHeight="1" s="14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</row>
    <row r="775" ht="15.75" customHeight="1" s="14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</row>
    <row r="776" ht="15.75" customHeight="1" s="14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</row>
    <row r="777" ht="15.75" customHeight="1" s="14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</row>
    <row r="778" ht="15.75" customHeight="1" s="14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</row>
    <row r="779" ht="15.75" customHeight="1" s="14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</row>
    <row r="780" ht="15.75" customHeight="1" s="14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</row>
    <row r="781" ht="15.75" customHeight="1" s="14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</row>
    <row r="782" ht="15.75" customHeight="1" s="14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</row>
    <row r="783" ht="15.75" customHeight="1" s="14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</row>
    <row r="784" ht="15.75" customHeight="1" s="14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</row>
    <row r="785" ht="15.75" customHeight="1" s="14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</row>
    <row r="786" ht="15.75" customHeight="1" s="14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</row>
    <row r="787" ht="15.75" customHeight="1" s="14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</row>
    <row r="788" ht="15.75" customHeight="1" s="14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</row>
    <row r="789" ht="15.75" customHeight="1" s="14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</row>
    <row r="790" ht="15.75" customHeight="1" s="14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</row>
    <row r="791" ht="15.75" customHeight="1" s="14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</row>
    <row r="792" ht="15.75" customHeight="1" s="14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</row>
    <row r="793" ht="15.75" customHeight="1" s="14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</row>
    <row r="794" ht="15.75" customHeight="1" s="14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</row>
    <row r="795" ht="15.75" customHeight="1" s="14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</row>
    <row r="796" ht="15.75" customHeight="1" s="14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</row>
    <row r="797" ht="15.75" customHeight="1" s="14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</row>
    <row r="798" ht="15.75" customHeight="1" s="14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</row>
    <row r="799" ht="15.75" customHeight="1" s="14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</row>
    <row r="800" ht="15.75" customHeight="1" s="14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</row>
    <row r="801" ht="15.75" customHeight="1" s="14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</row>
    <row r="802" ht="15.75" customHeight="1" s="14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</row>
    <row r="803" ht="15.75" customHeight="1" s="14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</row>
    <row r="804" ht="15.75" customHeight="1" s="14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</row>
    <row r="805" ht="15.75" customHeight="1" s="14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</row>
    <row r="806" ht="15.75" customHeight="1" s="14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</row>
    <row r="807" ht="15.75" customHeight="1" s="14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</row>
    <row r="808" ht="15.75" customHeight="1" s="14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</row>
    <row r="809" ht="15.75" customHeight="1" s="14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</row>
    <row r="810" ht="15.75" customHeight="1" s="14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</row>
    <row r="811" ht="15.75" customHeight="1" s="14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</row>
    <row r="812" ht="15.75" customHeight="1" s="14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</row>
    <row r="813" ht="15.75" customHeight="1" s="14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</row>
    <row r="814" ht="15.75" customHeight="1" s="14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</row>
    <row r="815" ht="15.75" customHeight="1" s="14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</row>
    <row r="816" ht="15.75" customHeight="1" s="14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</row>
    <row r="817" ht="15.75" customHeight="1" s="14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</row>
    <row r="818" ht="15.75" customHeight="1" s="14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</row>
    <row r="819" ht="15.75" customHeight="1" s="14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</row>
    <row r="820" ht="15.75" customHeight="1" s="14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</row>
    <row r="821" ht="15.75" customHeight="1" s="14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</row>
    <row r="822" ht="15.75" customHeight="1" s="14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</row>
    <row r="823" ht="15.75" customHeight="1" s="14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</row>
    <row r="824" ht="15.75" customHeight="1" s="14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</row>
    <row r="825" ht="15.75" customHeight="1" s="14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</row>
    <row r="826" ht="15.75" customHeight="1" s="14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</row>
    <row r="827" ht="15.75" customHeight="1" s="14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</row>
    <row r="828" ht="15.75" customHeight="1" s="14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</row>
    <row r="829" ht="15.75" customHeight="1" s="14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</row>
    <row r="830" ht="15.75" customHeight="1" s="14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</row>
    <row r="831" ht="15.75" customHeight="1" s="14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</row>
    <row r="832" ht="15.75" customHeight="1" s="14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</row>
    <row r="833" ht="15.75" customHeight="1" s="14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</row>
    <row r="834" ht="15.75" customHeight="1" s="14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</row>
    <row r="835" ht="15.75" customHeight="1" s="14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</row>
    <row r="836" ht="15.75" customHeight="1" s="14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</row>
    <row r="837" ht="15.75" customHeight="1" s="14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</row>
    <row r="838" ht="15.75" customHeight="1" s="14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</row>
    <row r="839" ht="15.75" customHeight="1" s="14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</row>
    <row r="840" ht="15.75" customHeight="1" s="14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</row>
    <row r="841" ht="15.75" customHeight="1" s="14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</row>
    <row r="842" ht="15.75" customHeight="1" s="14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</row>
    <row r="843" ht="15.75" customHeight="1" s="1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</row>
    <row r="844" ht="15.75" customHeight="1" s="14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</row>
    <row r="845" ht="15.75" customHeight="1" s="14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</row>
    <row r="846" ht="15.75" customHeight="1" s="14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</row>
    <row r="847" ht="15.75" customHeight="1" s="14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</row>
    <row r="848" ht="15.75" customHeight="1" s="14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</row>
    <row r="849" ht="15.75" customHeight="1" s="14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</row>
    <row r="850" ht="15.75" customHeight="1" s="14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</row>
    <row r="851" ht="15.75" customHeight="1" s="14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</row>
    <row r="852" ht="15.75" customHeight="1" s="14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</row>
    <row r="853" ht="15.75" customHeight="1" s="14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</row>
    <row r="854" ht="15.75" customHeight="1" s="14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</row>
    <row r="855" ht="15.75" customHeight="1" s="14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</row>
    <row r="856" ht="15.75" customHeight="1" s="14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</row>
    <row r="857" ht="15.75" customHeight="1" s="14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</row>
    <row r="858" ht="15.75" customHeight="1" s="14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</row>
    <row r="859" ht="15.75" customHeight="1" s="14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</row>
    <row r="860" ht="15.75" customHeight="1" s="14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</row>
    <row r="861" ht="15.75" customHeight="1" s="14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</row>
    <row r="862" ht="15.75" customHeight="1" s="14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</row>
    <row r="863" ht="15.75" customHeight="1" s="14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</row>
    <row r="864" ht="15.75" customHeight="1" s="14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</row>
    <row r="865" ht="15.75" customHeight="1" s="14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</row>
    <row r="866" ht="15.75" customHeight="1" s="14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</row>
    <row r="867" ht="15.75" customHeight="1" s="14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</row>
    <row r="868" ht="15.75" customHeight="1" s="14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</row>
    <row r="869" ht="15.75" customHeight="1" s="14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</row>
    <row r="870" ht="15.75" customHeight="1" s="14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</row>
    <row r="871" ht="15.75" customHeight="1" s="14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</row>
    <row r="872" ht="15.75" customHeight="1" s="14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</row>
    <row r="873" ht="15.75" customHeight="1" s="14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</row>
    <row r="874" ht="15.75" customHeight="1" s="14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</row>
    <row r="875" ht="15.75" customHeight="1" s="14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</row>
    <row r="876" ht="15.75" customHeight="1" s="14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</row>
    <row r="877" ht="15.75" customHeight="1" s="14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</row>
    <row r="878" ht="15.75" customHeight="1" s="14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</row>
    <row r="879" ht="15.75" customHeight="1" s="14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</row>
    <row r="880" ht="15.75" customHeight="1" s="14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</row>
    <row r="881" ht="15.75" customHeight="1" s="14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</row>
    <row r="882" ht="15.75" customHeight="1" s="14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</row>
    <row r="883" ht="15.75" customHeight="1" s="14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</row>
    <row r="884" ht="15.75" customHeight="1" s="14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</row>
    <row r="885" ht="15.75" customHeight="1" s="14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</row>
    <row r="886" ht="15.75" customHeight="1" s="14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</row>
    <row r="887" ht="15.75" customHeight="1" s="14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</row>
    <row r="888" ht="15.75" customHeight="1" s="14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</row>
    <row r="889" ht="15.75" customHeight="1" s="14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</row>
    <row r="890" ht="15.75" customHeight="1" s="14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</row>
    <row r="891" ht="15.75" customHeight="1" s="14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</row>
    <row r="892" ht="15.75" customHeight="1" s="14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</row>
    <row r="893" ht="15.75" customHeight="1" s="14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</row>
    <row r="894" ht="15.75" customHeight="1" s="14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</row>
    <row r="895" ht="15.75" customHeight="1" s="14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</row>
    <row r="896" ht="15.75" customHeight="1" s="14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</row>
    <row r="897" ht="15.75" customHeight="1" s="14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</row>
    <row r="898" ht="15.75" customHeight="1" s="14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</row>
    <row r="899" ht="15.75" customHeight="1" s="14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</row>
    <row r="900" ht="15.75" customHeight="1" s="14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</row>
    <row r="901" ht="15.75" customHeight="1" s="14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</row>
    <row r="902" ht="15.75" customHeight="1" s="14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</row>
    <row r="903" ht="15.75" customHeight="1" s="14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</row>
    <row r="904" ht="15.75" customHeight="1" s="14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</row>
    <row r="905" ht="15.75" customHeight="1" s="14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</row>
    <row r="906" ht="15.75" customHeight="1" s="14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</row>
    <row r="907" ht="15.75" customHeight="1" s="14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</row>
    <row r="908" ht="15.75" customHeight="1" s="14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</row>
    <row r="909" ht="15.75" customHeight="1" s="14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</row>
    <row r="910" ht="15.75" customHeight="1" s="14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</row>
    <row r="911" ht="15.75" customHeight="1" s="14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</row>
    <row r="912" ht="15.75" customHeight="1" s="14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</row>
    <row r="913" ht="15.75" customHeight="1" s="14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</row>
    <row r="914" ht="15.75" customHeight="1" s="14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</row>
    <row r="915" ht="15.75" customHeight="1" s="14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</row>
    <row r="916" ht="15.75" customHeight="1" s="14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</row>
    <row r="917" ht="15.75" customHeight="1" s="14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</row>
    <row r="918" ht="15.75" customHeight="1" s="14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</row>
    <row r="919" ht="15.75" customHeight="1" s="14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</row>
    <row r="920" ht="15.75" customHeight="1" s="14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</row>
    <row r="921" ht="15.75" customHeight="1" s="14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</row>
    <row r="922" ht="15.75" customHeight="1" s="14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</row>
    <row r="923" ht="15.75" customHeight="1" s="14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</row>
    <row r="924" ht="15.75" customHeight="1" s="14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</row>
    <row r="925" ht="15.75" customHeight="1" s="14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</row>
    <row r="926" ht="15.75" customHeight="1" s="14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</row>
    <row r="927" ht="15.75" customHeight="1" s="14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</row>
    <row r="928" ht="15.75" customHeight="1" s="14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</row>
    <row r="929" ht="15.75" customHeight="1" s="14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</row>
    <row r="930" ht="15.75" customHeight="1" s="14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</row>
    <row r="931" ht="15.75" customHeight="1" s="14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</row>
    <row r="932" ht="15.75" customHeight="1" s="14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</row>
    <row r="933" ht="15.75" customHeight="1" s="14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</row>
    <row r="934" ht="15.75" customHeight="1" s="14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</row>
    <row r="935" ht="15.75" customHeight="1" s="14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</row>
    <row r="936" ht="15.75" customHeight="1" s="14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</row>
    <row r="937" ht="15.75" customHeight="1" s="14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</row>
    <row r="938" ht="15.75" customHeight="1" s="14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</row>
    <row r="939" ht="15.75" customHeight="1" s="14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</row>
    <row r="940" ht="15.75" customHeight="1" s="14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</row>
    <row r="941" ht="15.75" customHeight="1" s="14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</row>
    <row r="942" ht="15.75" customHeight="1" s="14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</row>
    <row r="943" ht="15.75" customHeight="1" s="1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</row>
    <row r="944" ht="15.75" customHeight="1" s="14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</row>
    <row r="945" ht="15.75" customHeight="1" s="14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</row>
    <row r="946" ht="15.75" customHeight="1" s="14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</row>
    <row r="947" ht="15.75" customHeight="1" s="14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</row>
    <row r="948" ht="15.75" customHeight="1" s="14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</row>
    <row r="949" ht="15.75" customHeight="1" s="14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</row>
    <row r="950" ht="15.75" customHeight="1" s="14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</row>
    <row r="951" ht="15.75" customHeight="1" s="14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</row>
    <row r="952" ht="15.75" customHeight="1" s="14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</row>
    <row r="953" ht="15.75" customHeight="1" s="14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</row>
    <row r="954" ht="15.75" customHeight="1" s="14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</row>
    <row r="955" ht="15.75" customHeight="1" s="14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</row>
    <row r="956" ht="15.75" customHeight="1" s="14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</row>
    <row r="957" ht="15.75" customHeight="1" s="14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</row>
    <row r="958" ht="15.75" customHeight="1" s="14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</row>
    <row r="959" ht="15.75" customHeight="1" s="14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</row>
    <row r="960" ht="15.75" customHeight="1" s="14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</row>
    <row r="961" ht="15.75" customHeight="1" s="14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</row>
    <row r="962" ht="15.75" customHeight="1" s="14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</row>
    <row r="963" ht="15.75" customHeight="1" s="14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</row>
    <row r="964" ht="15.75" customHeight="1" s="14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</row>
    <row r="965" ht="15.75" customHeight="1" s="14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</row>
    <row r="966" ht="15.75" customHeight="1" s="14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</row>
    <row r="967" ht="15.75" customHeight="1" s="14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</row>
    <row r="968" ht="15.75" customHeight="1" s="14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</row>
    <row r="969" ht="15.75" customHeight="1" s="14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</row>
    <row r="970" ht="15.75" customHeight="1" s="14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</row>
    <row r="971" ht="15.75" customHeight="1" s="14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</row>
    <row r="972" ht="15.75" customHeight="1" s="14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</row>
    <row r="973" ht="15.75" customHeight="1" s="14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</row>
    <row r="974" ht="15.75" customHeight="1" s="14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</row>
    <row r="975" ht="15.75" customHeight="1" s="14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</row>
    <row r="976" ht="15.75" customHeight="1" s="14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</row>
    <row r="977" ht="15.75" customHeight="1" s="14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</row>
    <row r="978" ht="15.75" customHeight="1" s="14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</row>
    <row r="979" ht="15.75" customHeight="1" s="14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</row>
    <row r="980" ht="15.75" customHeight="1" s="14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</row>
    <row r="981" ht="15.75" customHeight="1" s="14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</row>
    <row r="982" ht="15.75" customHeight="1" s="14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</row>
    <row r="983" ht="15.75" customHeight="1" s="14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</row>
    <row r="984" ht="15.75" customHeight="1" s="14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</row>
    <row r="985" ht="15.75" customHeight="1" s="14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</row>
    <row r="986" ht="15.75" customHeight="1" s="14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</row>
    <row r="987" ht="15.75" customHeight="1" s="14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</row>
    <row r="988" ht="15.75" customHeight="1" s="14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</row>
    <row r="989" ht="15.75" customHeight="1" s="14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</row>
    <row r="990" ht="15.75" customHeight="1" s="14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</row>
    <row r="991" ht="15.75" customHeight="1" s="14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</row>
    <row r="992" ht="15.75" customHeight="1" s="14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</row>
    <row r="993" ht="15.75" customHeight="1" s="14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</row>
    <row r="994" ht="15.75" customHeight="1" s="14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</row>
    <row r="995" ht="15.75" customHeight="1" s="14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</row>
    <row r="996" ht="15.75" customHeight="1" s="14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</row>
    <row r="997" ht="15.75" customHeight="1" s="14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</row>
    <row r="998" ht="15.75" customHeight="1" s="14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</row>
    <row r="999" ht="15.75" customHeight="1" s="14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</row>
    <row r="1000" ht="15.75" customHeight="1" s="14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</row>
    <row r="1001" ht="15.75" customHeight="1" s="143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</row>
    <row r="1002" ht="15.75" customHeight="1" s="143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</row>
  </sheetData>
  <mergeCells count="7">
    <mergeCell ref="B21:I21"/>
    <mergeCell ref="B29:I29"/>
    <mergeCell ref="B11:I11"/>
    <mergeCell ref="B2:I2"/>
    <mergeCell ref="B42:I42"/>
    <mergeCell ref="B3:I3"/>
    <mergeCell ref="B5:I5"/>
  </mergeCells>
  <conditionalFormatting sqref="J31:J40">
    <cfRule type="colorScale" priority="1">
      <colorScale>
        <cfvo type="min"/>
        <cfvo type="max"/>
        <color rgb="FFFFFFFF"/>
        <color rgb="FF22C55E"/>
      </colorScale>
    </cfRule>
  </conditionalFormatting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43" min="1" max="1"/>
    <col width="5" customWidth="1" style="143" min="2" max="2"/>
    <col width="22" customWidth="1" style="143" min="3" max="3"/>
    <col width="16" customWidth="1" style="143" min="4" max="4"/>
    <col width="12" customWidth="1" style="143" min="5" max="9"/>
    <col width="11.29" customWidth="1" style="143" min="10" max="10"/>
    <col width="13.71" customWidth="1" style="143" min="11" max="11"/>
    <col width="14.29" customWidth="1" style="143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6" customHeight="1" s="143">
      <c r="A2" s="1" t="n"/>
      <c r="B2" s="160" t="inlineStr">
        <is>
          <t>📊  ОБЩИЙ РЕЙТИНГ СЕЗОНА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31.5" customHeight="1" s="143">
      <c r="A3" s="1" t="n"/>
      <c r="B3" s="31" t="inlineStr">
        <is>
          <t>№</t>
        </is>
      </c>
      <c r="C3" s="31" t="inlineStr">
        <is>
          <t>Имя участника</t>
        </is>
      </c>
      <c r="D3" s="31" t="inlineStr">
        <is>
          <t>Номинация</t>
        </is>
      </c>
      <c r="E3" s="132" t="inlineStr">
        <is>
          <t>❄️
Winter</t>
        </is>
      </c>
      <c r="F3" s="133" t="inlineStr">
        <is>
          <t>🌸
Spring</t>
        </is>
      </c>
      <c r="G3" s="134" t="inlineStr">
        <is>
          <t>☀️
Summer</t>
        </is>
      </c>
      <c r="H3" s="135" t="inlineStr">
        <is>
          <t>🍂
Autumn</t>
        </is>
      </c>
      <c r="I3" s="136" t="inlineStr">
        <is>
          <t>🔥
Final x2</t>
        </is>
      </c>
      <c r="J3" s="31" t="inlineStr">
        <is>
          <t>Всего
баллов</t>
        </is>
      </c>
      <c r="K3" s="31" t="inlineStr">
        <is>
          <t>Место в
рейтинге</t>
        </is>
      </c>
      <c r="L3" s="31" t="inlineStr">
        <is>
          <t>Место в
номинации</t>
        </is>
      </c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143">
      <c r="A4" s="1" t="n"/>
      <c r="B4" s="131">
        <f>'👥 Участники'!B4</f>
        <v/>
      </c>
      <c r="C4" s="33">
        <f>'👥 Участники'!C4</f>
        <v/>
      </c>
      <c r="D4" s="131">
        <f>'👥 Участники'!D4</f>
        <v/>
      </c>
      <c r="E4" s="131">
        <f>IFERROR(IF('👥 Участники'!C4="","",'❄️ Winter'!I4),"")</f>
        <v/>
      </c>
      <c r="F4" s="131">
        <f>IFERROR(IF('👥 Участники'!C4="","",'🌸 Spring'!I4),"")</f>
        <v/>
      </c>
      <c r="G4" s="131">
        <f>IFERROR(IF('👥 Участники'!C4="","",'☀️ Summer'!I4),"")</f>
        <v/>
      </c>
      <c r="H4" s="131">
        <f>IFERROR(IF('👥 Участники'!C4="","",'🍂 Autumn'!I4),"")</f>
        <v/>
      </c>
      <c r="I4" s="131">
        <f>IFERROR(IF('👥 Участники'!C4="","",'🔥 Final'!I4),"")</f>
        <v/>
      </c>
      <c r="J4" s="36">
        <f>IF(C4="","",IFERROR(SUM(E4:I4),0))</f>
        <v/>
      </c>
      <c r="K4" s="130">
        <f>IF(OR(C4="",J4=0),"",RANK(J4,$J$4:$J$103,0))</f>
        <v/>
      </c>
      <c r="L4" s="130">
        <f>IF(OR(D4="",J4=0),"",COUNTIFS($D$4:$D$103,D4,$J$4:$J$103,"&gt;"&amp;J4)+1)</f>
        <v/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143">
      <c r="A5" s="1" t="n"/>
      <c r="B5" s="130">
        <f>'👥 Участники'!B5</f>
        <v/>
      </c>
      <c r="C5" s="38">
        <f>'👥 Участники'!C5</f>
        <v/>
      </c>
      <c r="D5" s="130">
        <f>'👥 Участники'!D5</f>
        <v/>
      </c>
      <c r="E5" s="130">
        <f>IFERROR(IF('👥 Участники'!C5="","",'❄️ Winter'!I5),"")</f>
        <v/>
      </c>
      <c r="F5" s="130">
        <f>IFERROR(IF('👥 Участники'!C5="","",'🌸 Spring'!I5),"")</f>
        <v/>
      </c>
      <c r="G5" s="130">
        <f>IFERROR(IF('👥 Участники'!C5="","",'☀️ Summer'!I5),"")</f>
        <v/>
      </c>
      <c r="H5" s="130">
        <f>IFERROR(IF('👥 Участники'!C5="","",'🍂 Autumn'!I5),"")</f>
        <v/>
      </c>
      <c r="I5" s="130">
        <f>IFERROR(IF('👥 Участники'!C5="","",'🔥 Final'!I5),"")</f>
        <v/>
      </c>
      <c r="J5" s="137">
        <f>IF(C5="","",IFERROR(SUM(E5:I5),0))</f>
        <v/>
      </c>
      <c r="K5" s="131">
        <f>IF(OR(C5="",J5=0),"",RANK(J5,$J$4:$J$103,0))</f>
        <v/>
      </c>
      <c r="L5" s="131">
        <f>IF(OR(D5="",J5=0),"",COUNTIFS($D$4:$D$103,D5,$J$4:$J$103,"&gt;"&amp;J5)+1)</f>
        <v/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9.5" customHeight="1" s="143">
      <c r="A6" s="1" t="n"/>
      <c r="B6" s="131">
        <f>'👥 Участники'!B6</f>
        <v/>
      </c>
      <c r="C6" s="33">
        <f>'👥 Участники'!C6</f>
        <v/>
      </c>
      <c r="D6" s="131">
        <f>'👥 Участники'!D6</f>
        <v/>
      </c>
      <c r="E6" s="131">
        <f>IFERROR(IF('👥 Участники'!C6="","",'❄️ Winter'!I6),"")</f>
        <v/>
      </c>
      <c r="F6" s="131">
        <f>IFERROR(IF('👥 Участники'!C6="","",'🌸 Spring'!I6),"")</f>
        <v/>
      </c>
      <c r="G6" s="131">
        <f>IFERROR(IF('👥 Участники'!C6="","",'☀️ Summer'!I6),"")</f>
        <v/>
      </c>
      <c r="H6" s="131">
        <f>IFERROR(IF('👥 Участники'!C6="","",'🍂 Autumn'!I6),"")</f>
        <v/>
      </c>
      <c r="I6" s="131">
        <f>IFERROR(IF('👥 Участники'!C6="","",'🔥 Final'!I6),"")</f>
        <v/>
      </c>
      <c r="J6" s="36">
        <f>IF(C6="","",IFERROR(SUM(E6:I6),0))</f>
        <v/>
      </c>
      <c r="K6" s="138">
        <f>IF(OR(C6="",J6=0),"",RANK(J6,$J$4:$J$103,0))</f>
        <v/>
      </c>
      <c r="L6" s="139">
        <f>IF(OR(D6="",J6=0),"",COUNTIFS($D$4:$D$103,D6,$J$4:$J$103,"&gt;"&amp;J6)+1)</f>
        <v/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143">
      <c r="A7" s="1" t="n"/>
      <c r="B7" s="130">
        <f>'👥 Участники'!B7</f>
        <v/>
      </c>
      <c r="C7" s="38">
        <f>'👥 Участники'!C7</f>
        <v/>
      </c>
      <c r="D7" s="130">
        <f>'👥 Участники'!D7</f>
        <v/>
      </c>
      <c r="E7" s="130">
        <f>IFERROR(IF('👥 Участники'!C7="","",'❄️ Winter'!I7),"")</f>
        <v/>
      </c>
      <c r="F7" s="130">
        <f>IFERROR(IF('👥 Участники'!C7="","",'🌸 Spring'!I7),"")</f>
        <v/>
      </c>
      <c r="G7" s="130">
        <f>IFERROR(IF('👥 Участники'!C7="","",'☀️ Summer'!I7),"")</f>
        <v/>
      </c>
      <c r="H7" s="130">
        <f>IFERROR(IF('👥 Участники'!C7="","",'🍂 Autumn'!I7),"")</f>
        <v/>
      </c>
      <c r="I7" s="130">
        <f>IFERROR(IF('👥 Участники'!C7="","",'🔥 Final'!I7),"")</f>
        <v/>
      </c>
      <c r="J7" s="137">
        <f>IF(C7="","",IFERROR(SUM(E7:I7),0))</f>
        <v/>
      </c>
      <c r="K7" s="140">
        <f>IF(OR(C7="",J7=0),"",RANK(J7,$J$4:$J$103,0))</f>
        <v/>
      </c>
      <c r="L7" s="141">
        <f>IF(OR(D7="",J7=0),"",COUNTIFS($D$4:$D$103,D7,$J$4:$J$103,"&gt;"&amp;J7)+1)</f>
        <v/>
      </c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143">
      <c r="A8" s="1" t="n"/>
      <c r="B8" s="131">
        <f>'👥 Участники'!B8</f>
        <v/>
      </c>
      <c r="C8" s="33">
        <f>'👥 Участники'!C8</f>
        <v/>
      </c>
      <c r="D8" s="131">
        <f>'👥 Участники'!D8</f>
        <v/>
      </c>
      <c r="E8" s="131">
        <f>IFERROR(IF('👥 Участники'!C8="","",'❄️ Winter'!I8),"")</f>
        <v/>
      </c>
      <c r="F8" s="131">
        <f>IFERROR(IF('👥 Участники'!C8="","",'🌸 Spring'!I8),"")</f>
        <v/>
      </c>
      <c r="G8" s="131">
        <f>IFERROR(IF('👥 Участники'!C8="","",'☀️ Summer'!I8),"")</f>
        <v/>
      </c>
      <c r="H8" s="131">
        <f>IFERROR(IF('👥 Участники'!C8="","",'🍂 Autumn'!I8),"")</f>
        <v/>
      </c>
      <c r="I8" s="131">
        <f>IFERROR(IF('👥 Участники'!C8="","",'🔥 Final'!I8),"")</f>
        <v/>
      </c>
      <c r="J8" s="36">
        <f>IF(C8="","",IFERROR(SUM(E8:I8),0))</f>
        <v/>
      </c>
      <c r="K8" s="138">
        <f>IF(OR(C8="",J8=0),"",RANK(J8,$J$4:$J$103,0))</f>
        <v/>
      </c>
      <c r="L8" s="139">
        <f>IF(OR(D8="",J8=0),"",COUNTIFS($D$4:$D$103,D8,$J$4:$J$103,"&gt;"&amp;J8)+1)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143">
      <c r="A9" s="1" t="n"/>
      <c r="B9" s="130">
        <f>'👥 Участники'!B9</f>
        <v/>
      </c>
      <c r="C9" s="38">
        <f>'👥 Участники'!C9</f>
        <v/>
      </c>
      <c r="D9" s="130">
        <f>'👥 Участники'!D9</f>
        <v/>
      </c>
      <c r="E9" s="130">
        <f>IFERROR(IF('👥 Участники'!C9="","",'❄️ Winter'!I9),"")</f>
        <v/>
      </c>
      <c r="F9" s="130">
        <f>IFERROR(IF('👥 Участники'!C9="","",'🌸 Spring'!I9),"")</f>
        <v/>
      </c>
      <c r="G9" s="130">
        <f>IFERROR(IF('👥 Участники'!C9="","",'☀️ Summer'!I9),"")</f>
        <v/>
      </c>
      <c r="H9" s="130">
        <f>IFERROR(IF('👥 Участники'!C9="","",'🍂 Autumn'!I9),"")</f>
        <v/>
      </c>
      <c r="I9" s="130">
        <f>IFERROR(IF('👥 Участники'!C9="","",'🔥 Final'!I9),"")</f>
        <v/>
      </c>
      <c r="J9" s="137">
        <f>IF(C9="","",IFERROR(SUM(E9:I9),0))</f>
        <v/>
      </c>
      <c r="K9" s="140">
        <f>IF(OR(C9="",J9=0),"",RANK(J9,$J$4:$J$103,0))</f>
        <v/>
      </c>
      <c r="L9" s="141">
        <f>IF(OR(D9="",J9=0),"",COUNTIFS($D$4:$D$103,D9,$J$4:$J$103,"&gt;"&amp;J9)+1)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143">
      <c r="A10" s="1" t="n"/>
      <c r="B10" s="131">
        <f>'👥 Участники'!B10</f>
        <v/>
      </c>
      <c r="C10" s="33">
        <f>'👥 Участники'!C10</f>
        <v/>
      </c>
      <c r="D10" s="131">
        <f>'👥 Участники'!D10</f>
        <v/>
      </c>
      <c r="E10" s="131">
        <f>IFERROR(IF('👥 Участники'!C10="","",'❄️ Winter'!I10),"")</f>
        <v/>
      </c>
      <c r="F10" s="131">
        <f>IFERROR(IF('👥 Участники'!C10="","",'🌸 Spring'!I10),"")</f>
        <v/>
      </c>
      <c r="G10" s="131">
        <f>IFERROR(IF('👥 Участники'!C10="","",'☀️ Summer'!I10),"")</f>
        <v/>
      </c>
      <c r="H10" s="131">
        <f>IFERROR(IF('👥 Участники'!C10="","",'🍂 Autumn'!I10),"")</f>
        <v/>
      </c>
      <c r="I10" s="131">
        <f>IFERROR(IF('👥 Участники'!C10="","",'🔥 Final'!I10),"")</f>
        <v/>
      </c>
      <c r="J10" s="36">
        <f>IF(C10="","",IFERROR(SUM(E10:I10),0))</f>
        <v/>
      </c>
      <c r="K10" s="138">
        <f>IF(OR(C10="",J10=0),"",RANK(J10,$J$4:$J$103,0))</f>
        <v/>
      </c>
      <c r="L10" s="139">
        <f>IF(OR(D10="",J10=0),"",COUNTIFS($D$4:$D$103,D10,$J$4:$J$103,"&gt;"&amp;J10)+1)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143">
      <c r="A11" s="1" t="n"/>
      <c r="B11" s="130">
        <f>'👥 Участники'!B11</f>
        <v/>
      </c>
      <c r="C11" s="38">
        <f>'👥 Участники'!C11</f>
        <v/>
      </c>
      <c r="D11" s="130">
        <f>'👥 Участники'!D11</f>
        <v/>
      </c>
      <c r="E11" s="130">
        <f>IFERROR(IF('👥 Участники'!C11="","",'❄️ Winter'!I11),"")</f>
        <v/>
      </c>
      <c r="F11" s="130">
        <f>IFERROR(IF('👥 Участники'!C11="","",'🌸 Spring'!I11),"")</f>
        <v/>
      </c>
      <c r="G11" s="130">
        <f>IFERROR(IF('👥 Участники'!C11="","",'☀️ Summer'!I11),"")</f>
        <v/>
      </c>
      <c r="H11" s="130">
        <f>IFERROR(IF('👥 Участники'!C11="","",'🍂 Autumn'!I11),"")</f>
        <v/>
      </c>
      <c r="I11" s="130">
        <f>IFERROR(IF('👥 Участники'!C11="","",'🔥 Final'!I11),"")</f>
        <v/>
      </c>
      <c r="J11" s="137">
        <f>IF(C11="","",IFERROR(SUM(E11:I11),0))</f>
        <v/>
      </c>
      <c r="K11" s="140">
        <f>IF(OR(C11="",J11=0),"",RANK(J11,$J$4:$J$103,0))</f>
        <v/>
      </c>
      <c r="L11" s="141">
        <f>IF(OR(D11="",J11=0),"",COUNTIFS($D$4:$D$103,D11,$J$4:$J$103,"&gt;"&amp;J11)+1)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9.5" customHeight="1" s="143">
      <c r="A12" s="1" t="n"/>
      <c r="B12" s="131">
        <f>'👥 Участники'!B12</f>
        <v/>
      </c>
      <c r="C12" s="33">
        <f>'👥 Участники'!C12</f>
        <v/>
      </c>
      <c r="D12" s="131">
        <f>'👥 Участники'!D12</f>
        <v/>
      </c>
      <c r="E12" s="131">
        <f>IFERROR(IF('👥 Участники'!C12="","",'❄️ Winter'!I12),"")</f>
        <v/>
      </c>
      <c r="F12" s="131">
        <f>IFERROR(IF('👥 Участники'!C12="","",'🌸 Spring'!I12),"")</f>
        <v/>
      </c>
      <c r="G12" s="131">
        <f>IFERROR(IF('👥 Участники'!C12="","",'☀️ Summer'!I12),"")</f>
        <v/>
      </c>
      <c r="H12" s="131">
        <f>IFERROR(IF('👥 Участники'!C12="","",'🍂 Autumn'!I12),"")</f>
        <v/>
      </c>
      <c r="I12" s="131">
        <f>IFERROR(IF('👥 Участники'!C12="","",'🔥 Final'!I12),"")</f>
        <v/>
      </c>
      <c r="J12" s="36">
        <f>IF(C12="","",IFERROR(SUM(E12:I12),0))</f>
        <v/>
      </c>
      <c r="K12" s="138">
        <f>IF(OR(C12="",J12=0),"",RANK(J12,$J$4:$J$103,0))</f>
        <v/>
      </c>
      <c r="L12" s="139">
        <f>IF(OR(D12="",J12=0),"",COUNTIFS($D$4:$D$103,D12,$J$4:$J$103,"&gt;"&amp;J12)+1)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9.5" customHeight="1" s="143">
      <c r="A13" s="1" t="n"/>
      <c r="B13" s="130">
        <f>'👥 Участники'!B13</f>
        <v/>
      </c>
      <c r="C13" s="38">
        <f>'👥 Участники'!C13</f>
        <v/>
      </c>
      <c r="D13" s="130">
        <f>'👥 Участники'!D13</f>
        <v/>
      </c>
      <c r="E13" s="130">
        <f>IFERROR(IF('👥 Участники'!C13="","",'❄️ Winter'!I13),"")</f>
        <v/>
      </c>
      <c r="F13" s="130">
        <f>IFERROR(IF('👥 Участники'!C13="","",'🌸 Spring'!I13),"")</f>
        <v/>
      </c>
      <c r="G13" s="130">
        <f>IFERROR(IF('👥 Участники'!C13="","",'☀️ Summer'!I13),"")</f>
        <v/>
      </c>
      <c r="H13" s="130">
        <f>IFERROR(IF('👥 Участники'!C13="","",'🍂 Autumn'!I13),"")</f>
        <v/>
      </c>
      <c r="I13" s="130">
        <f>IFERROR(IF('👥 Участники'!C13="","",'🔥 Final'!I13),"")</f>
        <v/>
      </c>
      <c r="J13" s="137">
        <f>IF(C13="","",IFERROR(SUM(E13:I13),0))</f>
        <v/>
      </c>
      <c r="K13" s="140">
        <f>IF(OR(C13="",J13=0),"",RANK(J13,$J$4:$J$103,0))</f>
        <v/>
      </c>
      <c r="L13" s="141">
        <f>IF(OR(D13="",J13=0),"",COUNTIFS($D$4:$D$103,D13,$J$4:$J$103,"&gt;"&amp;J13)+1)</f>
        <v/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9.5" customHeight="1" s="143">
      <c r="A14" s="1" t="n"/>
      <c r="B14" s="131">
        <f>'👥 Участники'!B14</f>
        <v/>
      </c>
      <c r="C14" s="33">
        <f>'👥 Участники'!C14</f>
        <v/>
      </c>
      <c r="D14" s="131">
        <f>'👥 Участники'!D14</f>
        <v/>
      </c>
      <c r="E14" s="131">
        <f>IFERROR(IF('👥 Участники'!C14="","",'❄️ Winter'!I14),"")</f>
        <v/>
      </c>
      <c r="F14" s="131">
        <f>IFERROR(IF('👥 Участники'!C14="","",'🌸 Spring'!I14),"")</f>
        <v/>
      </c>
      <c r="G14" s="131">
        <f>IFERROR(IF('👥 Участники'!C14="","",'☀️ Summer'!I14),"")</f>
        <v/>
      </c>
      <c r="H14" s="131">
        <f>IFERROR(IF('👥 Участники'!C14="","",'🍂 Autumn'!I14),"")</f>
        <v/>
      </c>
      <c r="I14" s="131">
        <f>IFERROR(IF('👥 Участники'!C14="","",'🔥 Final'!I14),"")</f>
        <v/>
      </c>
      <c r="J14" s="36">
        <f>IF(C14="","",IFERROR(SUM(E14:I14),0))</f>
        <v/>
      </c>
      <c r="K14" s="138">
        <f>IF(OR(C14="",J14=0),"",RANK(J14,$J$4:$J$103,0))</f>
        <v/>
      </c>
      <c r="L14" s="139">
        <f>IF(OR(D14="",J14=0),"",COUNTIFS($D$4:$D$103,D14,$J$4:$J$103,"&gt;"&amp;J14)+1)</f>
        <v/>
      </c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9.5" customHeight="1" s="143">
      <c r="A15" s="1" t="n"/>
      <c r="B15" s="130">
        <f>'👥 Участники'!B15</f>
        <v/>
      </c>
      <c r="C15" s="38">
        <f>'👥 Участники'!C15</f>
        <v/>
      </c>
      <c r="D15" s="130">
        <f>'👥 Участники'!D15</f>
        <v/>
      </c>
      <c r="E15" s="130">
        <f>IFERROR(IF('👥 Участники'!C15="","",'❄️ Winter'!I15),"")</f>
        <v/>
      </c>
      <c r="F15" s="130">
        <f>IFERROR(IF('👥 Участники'!C15="","",'🌸 Spring'!I15),"")</f>
        <v/>
      </c>
      <c r="G15" s="130">
        <f>IFERROR(IF('👥 Участники'!C15="","",'☀️ Summer'!I15),"")</f>
        <v/>
      </c>
      <c r="H15" s="130">
        <f>IFERROR(IF('👥 Участники'!C15="","",'🍂 Autumn'!I15),"")</f>
        <v/>
      </c>
      <c r="I15" s="130">
        <f>IFERROR(IF('👥 Участники'!C15="","",'🔥 Final'!I15),"")</f>
        <v/>
      </c>
      <c r="J15" s="137">
        <f>IF(C15="","",IFERROR(SUM(E15:I15),0))</f>
        <v/>
      </c>
      <c r="K15" s="140">
        <f>IF(OR(C15="",J15=0),"",RANK(J15,$J$4:$J$103,0))</f>
        <v/>
      </c>
      <c r="L15" s="141">
        <f>IF(OR(D15="",J15=0),"",COUNTIFS($D$4:$D$103,D15,$J$4:$J$103,"&gt;"&amp;J15)+1)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9.5" customHeight="1" s="143">
      <c r="A16" s="1" t="n"/>
      <c r="B16" s="131">
        <f>'👥 Участники'!B16</f>
        <v/>
      </c>
      <c r="C16" s="33">
        <f>'👥 Участники'!C16</f>
        <v/>
      </c>
      <c r="D16" s="131">
        <f>'👥 Участники'!D16</f>
        <v/>
      </c>
      <c r="E16" s="131">
        <f>IFERROR(IF('👥 Участники'!C16="","",'❄️ Winter'!I16),"")</f>
        <v/>
      </c>
      <c r="F16" s="131">
        <f>IFERROR(IF('👥 Участники'!C16="","",'🌸 Spring'!I16),"")</f>
        <v/>
      </c>
      <c r="G16" s="131">
        <f>IFERROR(IF('👥 Участники'!C16="","",'☀️ Summer'!I16),"")</f>
        <v/>
      </c>
      <c r="H16" s="131">
        <f>IFERROR(IF('👥 Участники'!C16="","",'🍂 Autumn'!I16),"")</f>
        <v/>
      </c>
      <c r="I16" s="131">
        <f>IFERROR(IF('👥 Участники'!C16="","",'🔥 Final'!I16),"")</f>
        <v/>
      </c>
      <c r="J16" s="36">
        <f>IF(C16="","",IFERROR(SUM(E16:I16),0))</f>
        <v/>
      </c>
      <c r="K16" s="138">
        <f>IF(OR(C16="",J16=0),"",RANK(J16,$J$4:$J$103,0))</f>
        <v/>
      </c>
      <c r="L16" s="139">
        <f>IF(OR(D16="",J16=0),"",COUNTIFS($D$4:$D$103,D16,$J$4:$J$103,"&gt;"&amp;J16)+1)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9.5" customHeight="1" s="143">
      <c r="A17" s="1" t="n"/>
      <c r="B17" s="130">
        <f>'👥 Участники'!B17</f>
        <v/>
      </c>
      <c r="C17" s="38">
        <f>'👥 Участники'!C17</f>
        <v/>
      </c>
      <c r="D17" s="130">
        <f>'👥 Участники'!D17</f>
        <v/>
      </c>
      <c r="E17" s="130">
        <f>IFERROR(IF('👥 Участники'!C17="","",'❄️ Winter'!I17),"")</f>
        <v/>
      </c>
      <c r="F17" s="130">
        <f>IFERROR(IF('👥 Участники'!C17="","",'🌸 Spring'!I17),"")</f>
        <v/>
      </c>
      <c r="G17" s="130">
        <f>IFERROR(IF('👥 Участники'!C17="","",'☀️ Summer'!I17),"")</f>
        <v/>
      </c>
      <c r="H17" s="130">
        <f>IFERROR(IF('👥 Участники'!C17="","",'🍂 Autumn'!I17),"")</f>
        <v/>
      </c>
      <c r="I17" s="130">
        <f>IFERROR(IF('👥 Участники'!C17="","",'🔥 Final'!I17),"")</f>
        <v/>
      </c>
      <c r="J17" s="137">
        <f>IF(C17="","",IFERROR(SUM(E17:I17),0))</f>
        <v/>
      </c>
      <c r="K17" s="140">
        <f>IF(OR(C17="",J17=0),"",RANK(J17,$J$4:$J$103,0))</f>
        <v/>
      </c>
      <c r="L17" s="141">
        <f>IF(OR(D17="",J17=0),"",COUNTIFS($D$4:$D$103,D17,$J$4:$J$103,"&gt;"&amp;J17)+1)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9.5" customHeight="1" s="143">
      <c r="A18" s="1" t="n"/>
      <c r="B18" s="131">
        <f>'👥 Участники'!B18</f>
        <v/>
      </c>
      <c r="C18" s="33">
        <f>'👥 Участники'!C18</f>
        <v/>
      </c>
      <c r="D18" s="131">
        <f>'👥 Участники'!D18</f>
        <v/>
      </c>
      <c r="E18" s="131">
        <f>IFERROR(IF('👥 Участники'!C18="","",'❄️ Winter'!I18),"")</f>
        <v/>
      </c>
      <c r="F18" s="131">
        <f>IFERROR(IF('👥 Участники'!C18="","",'🌸 Spring'!I18),"")</f>
        <v/>
      </c>
      <c r="G18" s="131">
        <f>IFERROR(IF('👥 Участники'!C18="","",'☀️ Summer'!I18),"")</f>
        <v/>
      </c>
      <c r="H18" s="131">
        <f>IFERROR(IF('👥 Участники'!C18="","",'🍂 Autumn'!I18),"")</f>
        <v/>
      </c>
      <c r="I18" s="131">
        <f>IFERROR(IF('👥 Участники'!C18="","",'🔥 Final'!I18),"")</f>
        <v/>
      </c>
      <c r="J18" s="36">
        <f>IF(C18="","",IFERROR(SUM(E18:I18),0))</f>
        <v/>
      </c>
      <c r="K18" s="138">
        <f>IF(OR(C18="",J18=0),"",RANK(J18,$J$4:$J$103,0))</f>
        <v/>
      </c>
      <c r="L18" s="139">
        <f>IF(OR(D18="",J18=0),"",COUNTIFS($D$4:$D$103,D18,$J$4:$J$103,"&gt;"&amp;J18)+1)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9.5" customHeight="1" s="143">
      <c r="A19" s="1" t="n"/>
      <c r="B19" s="130">
        <f>'👥 Участники'!B19</f>
        <v/>
      </c>
      <c r="C19" s="38">
        <f>'👥 Участники'!C19</f>
        <v/>
      </c>
      <c r="D19" s="130">
        <f>'👥 Участники'!D19</f>
        <v/>
      </c>
      <c r="E19" s="130">
        <f>IFERROR(IF('👥 Участники'!C19="","",'❄️ Winter'!I19),"")</f>
        <v/>
      </c>
      <c r="F19" s="130">
        <f>IFERROR(IF('👥 Участники'!C19="","",'🌸 Spring'!I19),"")</f>
        <v/>
      </c>
      <c r="G19" s="130">
        <f>IFERROR(IF('👥 Участники'!C19="","",'☀️ Summer'!I19),"")</f>
        <v/>
      </c>
      <c r="H19" s="130">
        <f>IFERROR(IF('👥 Участники'!C19="","",'🍂 Autumn'!I19),"")</f>
        <v/>
      </c>
      <c r="I19" s="130">
        <f>IFERROR(IF('👥 Участники'!C19="","",'🔥 Final'!I19),"")</f>
        <v/>
      </c>
      <c r="J19" s="137">
        <f>IF(C19="","",IFERROR(SUM(E19:I19),0))</f>
        <v/>
      </c>
      <c r="K19" s="140">
        <f>IF(OR(C19="",J19=0),"",RANK(J19,$J$4:$J$103,0))</f>
        <v/>
      </c>
      <c r="L19" s="141">
        <f>IF(OR(D19="",J19=0),"",COUNTIFS($D$4:$D$103,D19,$J$4:$J$103,"&gt;"&amp;J19)+1)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9.5" customHeight="1" s="143">
      <c r="A20" s="1" t="n"/>
      <c r="B20" s="131">
        <f>'👥 Участники'!B20</f>
        <v/>
      </c>
      <c r="C20" s="33">
        <f>'👥 Участники'!C20</f>
        <v/>
      </c>
      <c r="D20" s="131">
        <f>'👥 Участники'!D20</f>
        <v/>
      </c>
      <c r="E20" s="131">
        <f>IFERROR(IF('👥 Участники'!C20="","",'❄️ Winter'!I20),"")</f>
        <v/>
      </c>
      <c r="F20" s="131">
        <f>IFERROR(IF('👥 Участники'!C20="","",'🌸 Spring'!I20),"")</f>
        <v/>
      </c>
      <c r="G20" s="131">
        <f>IFERROR(IF('👥 Участники'!C20="","",'☀️ Summer'!I20),"")</f>
        <v/>
      </c>
      <c r="H20" s="131">
        <f>IFERROR(IF('👥 Участники'!C20="","",'🍂 Autumn'!I20),"")</f>
        <v/>
      </c>
      <c r="I20" s="131">
        <f>IFERROR(IF('👥 Участники'!C20="","",'🔥 Final'!I20),"")</f>
        <v/>
      </c>
      <c r="J20" s="36">
        <f>IF(C20="","",IFERROR(SUM(E20:I20),0))</f>
        <v/>
      </c>
      <c r="K20" s="138">
        <f>IF(OR(C20="",J20=0),"",RANK(J20,$J$4:$J$103,0))</f>
        <v/>
      </c>
      <c r="L20" s="139">
        <f>IF(OR(D20="",J20=0),"",COUNTIFS($D$4:$D$103,D20,$J$4:$J$103,"&gt;"&amp;J20)+1)</f>
        <v/>
      </c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9.5" customHeight="1" s="143">
      <c r="A21" s="1" t="n"/>
      <c r="B21" s="130">
        <f>'👥 Участники'!B21</f>
        <v/>
      </c>
      <c r="C21" s="38">
        <f>'👥 Участники'!C21</f>
        <v/>
      </c>
      <c r="D21" s="130">
        <f>'👥 Участники'!D21</f>
        <v/>
      </c>
      <c r="E21" s="130">
        <f>IFERROR(IF('👥 Участники'!C21="","",'❄️ Winter'!I21),"")</f>
        <v/>
      </c>
      <c r="F21" s="130">
        <f>IFERROR(IF('👥 Участники'!C21="","",'🌸 Spring'!I21),"")</f>
        <v/>
      </c>
      <c r="G21" s="130">
        <f>IFERROR(IF('👥 Участники'!C21="","",'☀️ Summer'!I21),"")</f>
        <v/>
      </c>
      <c r="H21" s="130">
        <f>IFERROR(IF('👥 Участники'!C21="","",'🍂 Autumn'!I21),"")</f>
        <v/>
      </c>
      <c r="I21" s="130">
        <f>IFERROR(IF('👥 Участники'!C21="","",'🔥 Final'!I21),"")</f>
        <v/>
      </c>
      <c r="J21" s="137">
        <f>IF(C21="","",IFERROR(SUM(E21:I21),0))</f>
        <v/>
      </c>
      <c r="K21" s="140">
        <f>IF(OR(C21="",J21=0),"",RANK(J21,$J$4:$J$103,0))</f>
        <v/>
      </c>
      <c r="L21" s="141">
        <f>IF(OR(D21="",J21=0),"",COUNTIFS($D$4:$D$103,D21,$J$4:$J$103,"&gt;"&amp;J21)+1)</f>
        <v/>
      </c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9.5" customHeight="1" s="143">
      <c r="A22" s="1" t="n"/>
      <c r="B22" s="131">
        <f>'👥 Участники'!B22</f>
        <v/>
      </c>
      <c r="C22" s="33">
        <f>'👥 Участники'!C22</f>
        <v/>
      </c>
      <c r="D22" s="131">
        <f>'👥 Участники'!D22</f>
        <v/>
      </c>
      <c r="E22" s="131">
        <f>IFERROR(IF('👥 Участники'!C22="","",'❄️ Winter'!I22),"")</f>
        <v/>
      </c>
      <c r="F22" s="131">
        <f>IFERROR(IF('👥 Участники'!C22="","",'🌸 Spring'!I22),"")</f>
        <v/>
      </c>
      <c r="G22" s="131">
        <f>IFERROR(IF('👥 Участники'!C22="","",'☀️ Summer'!I22),"")</f>
        <v/>
      </c>
      <c r="H22" s="131">
        <f>IFERROR(IF('👥 Участники'!C22="","",'🍂 Autumn'!I22),"")</f>
        <v/>
      </c>
      <c r="I22" s="131">
        <f>IFERROR(IF('👥 Участники'!C22="","",'🔥 Final'!I22),"")</f>
        <v/>
      </c>
      <c r="J22" s="36">
        <f>IF(C22="","",IFERROR(SUM(E22:I22),0))</f>
        <v/>
      </c>
      <c r="K22" s="138">
        <f>IF(OR(C22="",J22=0),"",RANK(J22,$J$4:$J$103,0))</f>
        <v/>
      </c>
      <c r="L22" s="139">
        <f>IF(OR(D22="",J22=0),"",COUNTIFS($D$4:$D$103,D22,$J$4:$J$103,"&gt;"&amp;J22)+1)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9.5" customHeight="1" s="143">
      <c r="A23" s="1" t="n"/>
      <c r="B23" s="130">
        <f>'👥 Участники'!B23</f>
        <v/>
      </c>
      <c r="C23" s="38">
        <f>'👥 Участники'!C23</f>
        <v/>
      </c>
      <c r="D23" s="130">
        <f>'👥 Участники'!D23</f>
        <v/>
      </c>
      <c r="E23" s="130">
        <f>IFERROR(IF('👥 Участники'!C23="","",'❄️ Winter'!I23),"")</f>
        <v/>
      </c>
      <c r="F23" s="130">
        <f>IFERROR(IF('👥 Участники'!C23="","",'🌸 Spring'!I23),"")</f>
        <v/>
      </c>
      <c r="G23" s="130">
        <f>IFERROR(IF('👥 Участники'!C23="","",'☀️ Summer'!I23),"")</f>
        <v/>
      </c>
      <c r="H23" s="130">
        <f>IFERROR(IF('👥 Участники'!C23="","",'🍂 Autumn'!I23),"")</f>
        <v/>
      </c>
      <c r="I23" s="130">
        <f>IFERROR(IF('👥 Участники'!C23="","",'🔥 Final'!I23),"")</f>
        <v/>
      </c>
      <c r="J23" s="137">
        <f>IF(C23="","",IFERROR(SUM(E23:I23),0))</f>
        <v/>
      </c>
      <c r="K23" s="140">
        <f>IF(OR(C23="",J23=0),"",RANK(J23,$J$4:$J$103,0))</f>
        <v/>
      </c>
      <c r="L23" s="141">
        <f>IF(OR(D23="",J23=0),"",COUNTIFS($D$4:$D$103,D23,$J$4:$J$103,"&gt;"&amp;J23)+1)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9.5" customHeight="1" s="143">
      <c r="A24" s="1" t="n"/>
      <c r="B24" s="131">
        <f>'👥 Участники'!B24</f>
        <v/>
      </c>
      <c r="C24" s="33">
        <f>'👥 Участники'!C24</f>
        <v/>
      </c>
      <c r="D24" s="131">
        <f>'👥 Участники'!D24</f>
        <v/>
      </c>
      <c r="E24" s="131">
        <f>IFERROR(IF('👥 Участники'!C24="","",'❄️ Winter'!I24),"")</f>
        <v/>
      </c>
      <c r="F24" s="131">
        <f>IFERROR(IF('👥 Участники'!C24="","",'🌸 Spring'!I24),"")</f>
        <v/>
      </c>
      <c r="G24" s="131">
        <f>IFERROR(IF('👥 Участники'!C24="","",'☀️ Summer'!I24),"")</f>
        <v/>
      </c>
      <c r="H24" s="131">
        <f>IFERROR(IF('👥 Участники'!C24="","",'🍂 Autumn'!I24),"")</f>
        <v/>
      </c>
      <c r="I24" s="131">
        <f>IFERROR(IF('👥 Участники'!C24="","",'🔥 Final'!I24),"")</f>
        <v/>
      </c>
      <c r="J24" s="36">
        <f>IF(C24="","",IFERROR(SUM(E24:I24),0))</f>
        <v/>
      </c>
      <c r="K24" s="138">
        <f>IF(OR(C24="",J24=0),"",RANK(J24,$J$4:$J$103,0))</f>
        <v/>
      </c>
      <c r="L24" s="139">
        <f>IF(OR(D24="",J24=0),"",COUNTIFS($D$4:$D$103,D24,$J$4:$J$103,"&gt;"&amp;J24)+1)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9.5" customHeight="1" s="143">
      <c r="A25" s="1" t="n"/>
      <c r="B25" s="130">
        <f>'👥 Участники'!B25</f>
        <v/>
      </c>
      <c r="C25" s="38">
        <f>'👥 Участники'!C25</f>
        <v/>
      </c>
      <c r="D25" s="130">
        <f>'👥 Участники'!D25</f>
        <v/>
      </c>
      <c r="E25" s="130">
        <f>IFERROR(IF('👥 Участники'!C25="","",'❄️ Winter'!I25),"")</f>
        <v/>
      </c>
      <c r="F25" s="130">
        <f>IFERROR(IF('👥 Участники'!C25="","",'🌸 Spring'!I25),"")</f>
        <v/>
      </c>
      <c r="G25" s="130">
        <f>IFERROR(IF('👥 Участники'!C25="","",'☀️ Summer'!I25),"")</f>
        <v/>
      </c>
      <c r="H25" s="130">
        <f>IFERROR(IF('👥 Участники'!C25="","",'🍂 Autumn'!I25),"")</f>
        <v/>
      </c>
      <c r="I25" s="130">
        <f>IFERROR(IF('👥 Участники'!C25="","",'🔥 Final'!I25),"")</f>
        <v/>
      </c>
      <c r="J25" s="137">
        <f>IF(C25="","",IFERROR(SUM(E25:I25),0))</f>
        <v/>
      </c>
      <c r="K25" s="140">
        <f>IF(OR(C25="",J25=0),"",RANK(J25,$J$4:$J$103,0))</f>
        <v/>
      </c>
      <c r="L25" s="141">
        <f>IF(OR(D25="",J25=0),"",COUNTIFS($D$4:$D$103,D25,$J$4:$J$103,"&gt;"&amp;J25)+1)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9.5" customHeight="1" s="143">
      <c r="A26" s="1" t="n"/>
      <c r="B26" s="131">
        <f>'👥 Участники'!B26</f>
        <v/>
      </c>
      <c r="C26" s="33">
        <f>'👥 Участники'!C26</f>
        <v/>
      </c>
      <c r="D26" s="131">
        <f>'👥 Участники'!D26</f>
        <v/>
      </c>
      <c r="E26" s="131">
        <f>IFERROR(IF('👥 Участники'!C26="","",'❄️ Winter'!I26),"")</f>
        <v/>
      </c>
      <c r="F26" s="131">
        <f>IFERROR(IF('👥 Участники'!C26="","",'🌸 Spring'!I26),"")</f>
        <v/>
      </c>
      <c r="G26" s="131">
        <f>IFERROR(IF('👥 Участники'!C26="","",'☀️ Summer'!I26),"")</f>
        <v/>
      </c>
      <c r="H26" s="131">
        <f>IFERROR(IF('👥 Участники'!C26="","",'🍂 Autumn'!I26),"")</f>
        <v/>
      </c>
      <c r="I26" s="131">
        <f>IFERROR(IF('👥 Участники'!C26="","",'🔥 Final'!I26),"")</f>
        <v/>
      </c>
      <c r="J26" s="36">
        <f>IF(C26="","",IFERROR(SUM(E26:I26),0))</f>
        <v/>
      </c>
      <c r="K26" s="138">
        <f>IF(OR(C26="",J26=0),"",RANK(J26,$J$4:$J$103,0))</f>
        <v/>
      </c>
      <c r="L26" s="139">
        <f>IF(OR(D26="",J26=0),"",COUNTIFS($D$4:$D$103,D26,$J$4:$J$103,"&gt;"&amp;J26)+1)</f>
        <v/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9.5" customHeight="1" s="143">
      <c r="A27" s="1" t="n"/>
      <c r="B27" s="130">
        <f>'👥 Участники'!B27</f>
        <v/>
      </c>
      <c r="C27" s="38">
        <f>'👥 Участники'!C27</f>
        <v/>
      </c>
      <c r="D27" s="130">
        <f>'👥 Участники'!D27</f>
        <v/>
      </c>
      <c r="E27" s="130">
        <f>IFERROR(IF('👥 Участники'!C27="","",'❄️ Winter'!I27),"")</f>
        <v/>
      </c>
      <c r="F27" s="130">
        <f>IFERROR(IF('👥 Участники'!C27="","",'🌸 Spring'!I27),"")</f>
        <v/>
      </c>
      <c r="G27" s="130">
        <f>IFERROR(IF('👥 Участники'!C27="","",'☀️ Summer'!I27),"")</f>
        <v/>
      </c>
      <c r="H27" s="130">
        <f>IFERROR(IF('👥 Участники'!C27="","",'🍂 Autumn'!I27),"")</f>
        <v/>
      </c>
      <c r="I27" s="130">
        <f>IFERROR(IF('👥 Участники'!C27="","",'🔥 Final'!I27),"")</f>
        <v/>
      </c>
      <c r="J27" s="137">
        <f>IF(C27="","",IFERROR(SUM(E27:I27),0))</f>
        <v/>
      </c>
      <c r="K27" s="140">
        <f>IF(OR(C27="",J27=0),"",RANK(J27,$J$4:$J$103,0))</f>
        <v/>
      </c>
      <c r="L27" s="141">
        <f>IF(OR(D27="",J27=0),"",COUNTIFS($D$4:$D$103,D27,$J$4:$J$103,"&gt;"&amp;J27)+1)</f>
        <v/>
      </c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9.5" customHeight="1" s="143">
      <c r="A28" s="1" t="n"/>
      <c r="B28" s="131">
        <f>'👥 Участники'!B28</f>
        <v/>
      </c>
      <c r="C28" s="33">
        <f>'👥 Участники'!C28</f>
        <v/>
      </c>
      <c r="D28" s="131">
        <f>'👥 Участники'!D28</f>
        <v/>
      </c>
      <c r="E28" s="131">
        <f>IFERROR(IF('👥 Участники'!C28="","",'❄️ Winter'!I28),"")</f>
        <v/>
      </c>
      <c r="F28" s="131">
        <f>IFERROR(IF('👥 Участники'!C28="","",'🌸 Spring'!I28),"")</f>
        <v/>
      </c>
      <c r="G28" s="131">
        <f>IFERROR(IF('👥 Участники'!C28="","",'☀️ Summer'!I28),"")</f>
        <v/>
      </c>
      <c r="H28" s="131">
        <f>IFERROR(IF('👥 Участники'!C28="","",'🍂 Autumn'!I28),"")</f>
        <v/>
      </c>
      <c r="I28" s="131">
        <f>IFERROR(IF('👥 Участники'!C28="","",'🔥 Final'!I28),"")</f>
        <v/>
      </c>
      <c r="J28" s="36">
        <f>IF(C28="","",IFERROR(SUM(E28:I28),0))</f>
        <v/>
      </c>
      <c r="K28" s="138">
        <f>IF(OR(C28="",J28=0),"",RANK(J28,$J$4:$J$103,0))</f>
        <v/>
      </c>
      <c r="L28" s="139">
        <f>IF(OR(D28="",J28=0),"",COUNTIFS($D$4:$D$103,D28,$J$4:$J$103,"&gt;"&amp;J28)+1)</f>
        <v/>
      </c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9.5" customHeight="1" s="143">
      <c r="A29" s="1" t="n"/>
      <c r="B29" s="130">
        <f>'👥 Участники'!B29</f>
        <v/>
      </c>
      <c r="C29" s="38">
        <f>'👥 Участники'!C29</f>
        <v/>
      </c>
      <c r="D29" s="130">
        <f>'👥 Участники'!D29</f>
        <v/>
      </c>
      <c r="E29" s="130">
        <f>IFERROR(IF('👥 Участники'!C29="","",'❄️ Winter'!I29),"")</f>
        <v/>
      </c>
      <c r="F29" s="130">
        <f>IFERROR(IF('👥 Участники'!C29="","",'🌸 Spring'!I29),"")</f>
        <v/>
      </c>
      <c r="G29" s="130">
        <f>IFERROR(IF('👥 Участники'!C29="","",'☀️ Summer'!I29),"")</f>
        <v/>
      </c>
      <c r="H29" s="130">
        <f>IFERROR(IF('👥 Участники'!C29="","",'🍂 Autumn'!I29),"")</f>
        <v/>
      </c>
      <c r="I29" s="130">
        <f>IFERROR(IF('👥 Участники'!C29="","",'🔥 Final'!I29),"")</f>
        <v/>
      </c>
      <c r="J29" s="137">
        <f>IF(C29="","",IFERROR(SUM(E29:I29),0))</f>
        <v/>
      </c>
      <c r="K29" s="140">
        <f>IF(OR(C29="",J29=0),"",RANK(J29,$J$4:$J$103,0))</f>
        <v/>
      </c>
      <c r="L29" s="141">
        <f>IF(OR(D29="",J29=0),"",COUNTIFS($D$4:$D$103,D29,$J$4:$J$103,"&gt;"&amp;J29)+1)</f>
        <v/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9.5" customHeight="1" s="143">
      <c r="A30" s="1" t="n"/>
      <c r="B30" s="131">
        <f>'👥 Участники'!B30</f>
        <v/>
      </c>
      <c r="C30" s="33">
        <f>'👥 Участники'!C30</f>
        <v/>
      </c>
      <c r="D30" s="131">
        <f>'👥 Участники'!D30</f>
        <v/>
      </c>
      <c r="E30" s="131">
        <f>IFERROR(IF('👥 Участники'!C30="","",'❄️ Winter'!I30),"")</f>
        <v/>
      </c>
      <c r="F30" s="131">
        <f>IFERROR(IF('👥 Участники'!C30="","",'🌸 Spring'!I30),"")</f>
        <v/>
      </c>
      <c r="G30" s="131">
        <f>IFERROR(IF('👥 Участники'!C30="","",'☀️ Summer'!I30),"")</f>
        <v/>
      </c>
      <c r="H30" s="131">
        <f>IFERROR(IF('👥 Участники'!C30="","",'🍂 Autumn'!I30),"")</f>
        <v/>
      </c>
      <c r="I30" s="131">
        <f>IFERROR(IF('👥 Участники'!C30="","",'🔥 Final'!I30),"")</f>
        <v/>
      </c>
      <c r="J30" s="36">
        <f>IF(C30="","",IFERROR(SUM(E30:I30),0))</f>
        <v/>
      </c>
      <c r="K30" s="138">
        <f>IF(OR(C30="",J30=0),"",RANK(J30,$J$4:$J$103,0))</f>
        <v/>
      </c>
      <c r="L30" s="139">
        <f>IF(OR(D30="",J30=0),"",COUNTIFS($D$4:$D$103,D30,$J$4:$J$103,"&gt;"&amp;J30)+1)</f>
        <v/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9.5" customHeight="1" s="143">
      <c r="A31" s="1" t="n"/>
      <c r="B31" s="130">
        <f>'👥 Участники'!B31</f>
        <v/>
      </c>
      <c r="C31" s="38">
        <f>'👥 Участники'!C31</f>
        <v/>
      </c>
      <c r="D31" s="130">
        <f>'👥 Участники'!D31</f>
        <v/>
      </c>
      <c r="E31" s="130">
        <f>IFERROR(IF('👥 Участники'!C31="","",'❄️ Winter'!I31),"")</f>
        <v/>
      </c>
      <c r="F31" s="130">
        <f>IFERROR(IF('👥 Участники'!C31="","",'🌸 Spring'!I31),"")</f>
        <v/>
      </c>
      <c r="G31" s="130">
        <f>IFERROR(IF('👥 Участники'!C31="","",'☀️ Summer'!I31),"")</f>
        <v/>
      </c>
      <c r="H31" s="130">
        <f>IFERROR(IF('👥 Участники'!C31="","",'🍂 Autumn'!I31),"")</f>
        <v/>
      </c>
      <c r="I31" s="130">
        <f>IFERROR(IF('👥 Участники'!C31="","",'🔥 Final'!I31),"")</f>
        <v/>
      </c>
      <c r="J31" s="137">
        <f>IF(C31="","",IFERROR(SUM(E31:I31),0))</f>
        <v/>
      </c>
      <c r="K31" s="140">
        <f>IF(OR(C31="",J31=0),"",RANK(J31,$J$4:$J$103,0))</f>
        <v/>
      </c>
      <c r="L31" s="141">
        <f>IF(OR(D31="",J31=0),"",COUNTIFS($D$4:$D$103,D31,$J$4:$J$103,"&gt;"&amp;J31)+1)</f>
        <v/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9.5" customHeight="1" s="143">
      <c r="A32" s="1" t="n"/>
      <c r="B32" s="131">
        <f>'👥 Участники'!B32</f>
        <v/>
      </c>
      <c r="C32" s="33">
        <f>'👥 Участники'!C32</f>
        <v/>
      </c>
      <c r="D32" s="131">
        <f>'👥 Участники'!D32</f>
        <v/>
      </c>
      <c r="E32" s="131">
        <f>IFERROR(IF('👥 Участники'!C32="","",'❄️ Winter'!I32),"")</f>
        <v/>
      </c>
      <c r="F32" s="131">
        <f>IFERROR(IF('👥 Участники'!C32="","",'🌸 Spring'!I32),"")</f>
        <v/>
      </c>
      <c r="G32" s="131">
        <f>IFERROR(IF('👥 Участники'!C32="","",'☀️ Summer'!I32),"")</f>
        <v/>
      </c>
      <c r="H32" s="131">
        <f>IFERROR(IF('👥 Участники'!C32="","",'🍂 Autumn'!I32),"")</f>
        <v/>
      </c>
      <c r="I32" s="131">
        <f>IFERROR(IF('👥 Участники'!C32="","",'🔥 Final'!I32),"")</f>
        <v/>
      </c>
      <c r="J32" s="36">
        <f>IF(C32="","",IFERROR(SUM(E32:I32),0))</f>
        <v/>
      </c>
      <c r="K32" s="138">
        <f>IF(OR(C32="",J32=0),"",RANK(J32,$J$4:$J$103,0))</f>
        <v/>
      </c>
      <c r="L32" s="139">
        <f>IF(OR(D32="",J32=0),"",COUNTIFS($D$4:$D$103,D32,$J$4:$J$103,"&gt;"&amp;J32)+1)</f>
        <v/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9.5" customHeight="1" s="143">
      <c r="A33" s="1" t="n"/>
      <c r="B33" s="130">
        <f>'👥 Участники'!B33</f>
        <v/>
      </c>
      <c r="C33" s="38">
        <f>'👥 Участники'!C33</f>
        <v/>
      </c>
      <c r="D33" s="130">
        <f>'👥 Участники'!D33</f>
        <v/>
      </c>
      <c r="E33" s="130">
        <f>IFERROR(IF('👥 Участники'!C33="","",'❄️ Winter'!I33),"")</f>
        <v/>
      </c>
      <c r="F33" s="130">
        <f>IFERROR(IF('👥 Участники'!C33="","",'🌸 Spring'!I33),"")</f>
        <v/>
      </c>
      <c r="G33" s="130">
        <f>IFERROR(IF('👥 Участники'!C33="","",'☀️ Summer'!I33),"")</f>
        <v/>
      </c>
      <c r="H33" s="130">
        <f>IFERROR(IF('👥 Участники'!C33="","",'🍂 Autumn'!I33),"")</f>
        <v/>
      </c>
      <c r="I33" s="130">
        <f>IFERROR(IF('👥 Участники'!C33="","",'🔥 Final'!I33),"")</f>
        <v/>
      </c>
      <c r="J33" s="137">
        <f>IF(C33="","",IFERROR(SUM(E33:I33),0))</f>
        <v/>
      </c>
      <c r="K33" s="140">
        <f>IF(OR(C33="",J33=0),"",RANK(J33,$J$4:$J$103,0))</f>
        <v/>
      </c>
      <c r="L33" s="141">
        <f>IF(OR(D33="",J33=0),"",COUNTIFS($D$4:$D$103,D33,$J$4:$J$103,"&gt;"&amp;J33)+1)</f>
        <v/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9.5" customHeight="1" s="143">
      <c r="A34" s="1" t="n"/>
      <c r="B34" s="131">
        <f>'👥 Участники'!B34</f>
        <v/>
      </c>
      <c r="C34" s="33">
        <f>'👥 Участники'!C34</f>
        <v/>
      </c>
      <c r="D34" s="131">
        <f>'👥 Участники'!D34</f>
        <v/>
      </c>
      <c r="E34" s="131">
        <f>IFERROR(IF('👥 Участники'!C34="","",'❄️ Winter'!I34),"")</f>
        <v/>
      </c>
      <c r="F34" s="131">
        <f>IFERROR(IF('👥 Участники'!C34="","",'🌸 Spring'!I34),"")</f>
        <v/>
      </c>
      <c r="G34" s="131">
        <f>IFERROR(IF('👥 Участники'!C34="","",'☀️ Summer'!I34),"")</f>
        <v/>
      </c>
      <c r="H34" s="131">
        <f>IFERROR(IF('👥 Участники'!C34="","",'🍂 Autumn'!I34),"")</f>
        <v/>
      </c>
      <c r="I34" s="131">
        <f>IFERROR(IF('👥 Участники'!C34="","",'🔥 Final'!I34),"")</f>
        <v/>
      </c>
      <c r="J34" s="36">
        <f>IF(C34="","",IFERROR(SUM(E34:I34),0))</f>
        <v/>
      </c>
      <c r="K34" s="138">
        <f>IF(OR(C34="",J34=0),"",RANK(J34,$J$4:$J$103,0))</f>
        <v/>
      </c>
      <c r="L34" s="139">
        <f>IF(OR(D34="",J34=0),"",COUNTIFS($D$4:$D$103,D34,$J$4:$J$103,"&gt;"&amp;J34)+1)</f>
        <v/>
      </c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9.5" customHeight="1" s="143">
      <c r="A35" s="1" t="n"/>
      <c r="B35" s="130">
        <f>'👥 Участники'!B35</f>
        <v/>
      </c>
      <c r="C35" s="38">
        <f>'👥 Участники'!C35</f>
        <v/>
      </c>
      <c r="D35" s="130">
        <f>'👥 Участники'!D35</f>
        <v/>
      </c>
      <c r="E35" s="130">
        <f>IFERROR(IF('👥 Участники'!C35="","",'❄️ Winter'!I35),"")</f>
        <v/>
      </c>
      <c r="F35" s="130">
        <f>IFERROR(IF('👥 Участники'!C35="","",'🌸 Spring'!I35),"")</f>
        <v/>
      </c>
      <c r="G35" s="130">
        <f>IFERROR(IF('👥 Участники'!C35="","",'☀️ Summer'!I35),"")</f>
        <v/>
      </c>
      <c r="H35" s="130">
        <f>IFERROR(IF('👥 Участники'!C35="","",'🍂 Autumn'!I35),"")</f>
        <v/>
      </c>
      <c r="I35" s="130">
        <f>IFERROR(IF('👥 Участники'!C35="","",'🔥 Final'!I35),"")</f>
        <v/>
      </c>
      <c r="J35" s="137">
        <f>IF(C35="","",IFERROR(SUM(E35:I35),0))</f>
        <v/>
      </c>
      <c r="K35" s="140">
        <f>IF(OR(C35="",J35=0),"",RANK(J35,$J$4:$J$103,0))</f>
        <v/>
      </c>
      <c r="L35" s="141">
        <f>IF(OR(D35="",J35=0),"",COUNTIFS($D$4:$D$103,D35,$J$4:$J$103,"&gt;"&amp;J35)+1)</f>
        <v/>
      </c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9.5" customHeight="1" s="143">
      <c r="A36" s="1" t="n"/>
      <c r="B36" s="131">
        <f>'👥 Участники'!B36</f>
        <v/>
      </c>
      <c r="C36" s="33">
        <f>'👥 Участники'!C36</f>
        <v/>
      </c>
      <c r="D36" s="131">
        <f>'👥 Участники'!D36</f>
        <v/>
      </c>
      <c r="E36" s="131">
        <f>IFERROR(IF('👥 Участники'!C36="","",'❄️ Winter'!I36),"")</f>
        <v/>
      </c>
      <c r="F36" s="131">
        <f>IFERROR(IF('👥 Участники'!C36="","",'🌸 Spring'!I36),"")</f>
        <v/>
      </c>
      <c r="G36" s="131">
        <f>IFERROR(IF('👥 Участники'!C36="","",'☀️ Summer'!I36),"")</f>
        <v/>
      </c>
      <c r="H36" s="131">
        <f>IFERROR(IF('👥 Участники'!C36="","",'🍂 Autumn'!I36),"")</f>
        <v/>
      </c>
      <c r="I36" s="131">
        <f>IFERROR(IF('👥 Участники'!C36="","",'🔥 Final'!I36),"")</f>
        <v/>
      </c>
      <c r="J36" s="36">
        <f>IF(C36="","",IFERROR(SUM(E36:I36),0))</f>
        <v/>
      </c>
      <c r="K36" s="138">
        <f>IF(OR(C36="",J36=0),"",RANK(J36,$J$4:$J$103,0))</f>
        <v/>
      </c>
      <c r="L36" s="139">
        <f>IF(OR(D36="",J36=0),"",COUNTIFS($D$4:$D$103,D36,$J$4:$J$103,"&gt;"&amp;J36)+1)</f>
        <v/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9.5" customHeight="1" s="143">
      <c r="A37" s="1" t="n"/>
      <c r="B37" s="130">
        <f>'👥 Участники'!B37</f>
        <v/>
      </c>
      <c r="C37" s="38">
        <f>'👥 Участники'!C37</f>
        <v/>
      </c>
      <c r="D37" s="130">
        <f>'👥 Участники'!D37</f>
        <v/>
      </c>
      <c r="E37" s="130">
        <f>IFERROR(IF('👥 Участники'!C37="","",'❄️ Winter'!I37),"")</f>
        <v/>
      </c>
      <c r="F37" s="130">
        <f>IFERROR(IF('👥 Участники'!C37="","",'🌸 Spring'!I37),"")</f>
        <v/>
      </c>
      <c r="G37" s="130">
        <f>IFERROR(IF('👥 Участники'!C37="","",'☀️ Summer'!I37),"")</f>
        <v/>
      </c>
      <c r="H37" s="130">
        <f>IFERROR(IF('👥 Участники'!C37="","",'🍂 Autumn'!I37),"")</f>
        <v/>
      </c>
      <c r="I37" s="130">
        <f>IFERROR(IF('👥 Участники'!C37="","",'🔥 Final'!I37),"")</f>
        <v/>
      </c>
      <c r="J37" s="137">
        <f>IF(C37="","",IFERROR(SUM(E37:I37),0))</f>
        <v/>
      </c>
      <c r="K37" s="140">
        <f>IF(OR(C37="",J37=0),"",RANK(J37,$J$4:$J$103,0))</f>
        <v/>
      </c>
      <c r="L37" s="141">
        <f>IF(OR(D37="",J37=0),"",COUNTIFS($D$4:$D$103,D37,$J$4:$J$103,"&gt;"&amp;J37)+1)</f>
        <v/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9.5" customHeight="1" s="143">
      <c r="A38" s="1" t="n"/>
      <c r="B38" s="131">
        <f>'👥 Участники'!B38</f>
        <v/>
      </c>
      <c r="C38" s="33">
        <f>'👥 Участники'!C38</f>
        <v/>
      </c>
      <c r="D38" s="131">
        <f>'👥 Участники'!D38</f>
        <v/>
      </c>
      <c r="E38" s="131">
        <f>IFERROR(IF('👥 Участники'!C38="","",'❄️ Winter'!I38),"")</f>
        <v/>
      </c>
      <c r="F38" s="131">
        <f>IFERROR(IF('👥 Участники'!C38="","",'🌸 Spring'!I38),"")</f>
        <v/>
      </c>
      <c r="G38" s="131">
        <f>IFERROR(IF('👥 Участники'!C38="","",'☀️ Summer'!I38),"")</f>
        <v/>
      </c>
      <c r="H38" s="131">
        <f>IFERROR(IF('👥 Участники'!C38="","",'🍂 Autumn'!I38),"")</f>
        <v/>
      </c>
      <c r="I38" s="131">
        <f>IFERROR(IF('👥 Участники'!C38="","",'🔥 Final'!I38),"")</f>
        <v/>
      </c>
      <c r="J38" s="36">
        <f>IF(C38="","",IFERROR(SUM(E38:I38),0))</f>
        <v/>
      </c>
      <c r="K38" s="138">
        <f>IF(OR(C38="",J38=0),"",RANK(J38,$J$4:$J$103,0))</f>
        <v/>
      </c>
      <c r="L38" s="139">
        <f>IF(OR(D38="",J38=0),"",COUNTIFS($D$4:$D$103,D38,$J$4:$J$103,"&gt;"&amp;J38)+1)</f>
        <v/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9.5" customHeight="1" s="143">
      <c r="A39" s="1" t="n"/>
      <c r="B39" s="130">
        <f>'👥 Участники'!B39</f>
        <v/>
      </c>
      <c r="C39" s="38">
        <f>'👥 Участники'!C39</f>
        <v/>
      </c>
      <c r="D39" s="130">
        <f>'👥 Участники'!D39</f>
        <v/>
      </c>
      <c r="E39" s="130">
        <f>IFERROR(IF('👥 Участники'!C39="","",'❄️ Winter'!I39),"")</f>
        <v/>
      </c>
      <c r="F39" s="130">
        <f>IFERROR(IF('👥 Участники'!C39="","",'🌸 Spring'!I39),"")</f>
        <v/>
      </c>
      <c r="G39" s="130">
        <f>IFERROR(IF('👥 Участники'!C39="","",'☀️ Summer'!I39),"")</f>
        <v/>
      </c>
      <c r="H39" s="130">
        <f>IFERROR(IF('👥 Участники'!C39="","",'🍂 Autumn'!I39),"")</f>
        <v/>
      </c>
      <c r="I39" s="130">
        <f>IFERROR(IF('👥 Участники'!C39="","",'🔥 Final'!I39),"")</f>
        <v/>
      </c>
      <c r="J39" s="137">
        <f>IF(C39="","",IFERROR(SUM(E39:I39),0))</f>
        <v/>
      </c>
      <c r="K39" s="140">
        <f>IF(OR(C39="",J39=0),"",RANK(J39,$J$4:$J$103,0))</f>
        <v/>
      </c>
      <c r="L39" s="141">
        <f>IF(OR(D39="",J39=0),"",COUNTIFS($D$4:$D$103,D39,$J$4:$J$103,"&gt;"&amp;J39)+1)</f>
        <v/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9.5" customHeight="1" s="143">
      <c r="A40" s="1" t="n"/>
      <c r="B40" s="131">
        <f>'👥 Участники'!B40</f>
        <v/>
      </c>
      <c r="C40" s="33">
        <f>'👥 Участники'!C40</f>
        <v/>
      </c>
      <c r="D40" s="131">
        <f>'👥 Участники'!D40</f>
        <v/>
      </c>
      <c r="E40" s="131">
        <f>IFERROR(IF('👥 Участники'!C40="","",'❄️ Winter'!I40),"")</f>
        <v/>
      </c>
      <c r="F40" s="131">
        <f>IFERROR(IF('👥 Участники'!C40="","",'🌸 Spring'!I40),"")</f>
        <v/>
      </c>
      <c r="G40" s="131">
        <f>IFERROR(IF('👥 Участники'!C40="","",'☀️ Summer'!I40),"")</f>
        <v/>
      </c>
      <c r="H40" s="131">
        <f>IFERROR(IF('👥 Участники'!C40="","",'🍂 Autumn'!I40),"")</f>
        <v/>
      </c>
      <c r="I40" s="131">
        <f>IFERROR(IF('👥 Участники'!C40="","",'🔥 Final'!I40),"")</f>
        <v/>
      </c>
      <c r="J40" s="36">
        <f>IF(C40="","",IFERROR(SUM(E40:I40),0))</f>
        <v/>
      </c>
      <c r="K40" s="138">
        <f>IF(OR(C40="",J40=0),"",RANK(J40,$J$4:$J$103,0))</f>
        <v/>
      </c>
      <c r="L40" s="139">
        <f>IF(OR(D40="",J40=0),"",COUNTIFS($D$4:$D$103,D40,$J$4:$J$103,"&gt;"&amp;J40)+1)</f>
        <v/>
      </c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9.5" customHeight="1" s="143">
      <c r="A41" s="1" t="n"/>
      <c r="B41" s="130">
        <f>'👥 Участники'!B41</f>
        <v/>
      </c>
      <c r="C41" s="38">
        <f>'👥 Участники'!C41</f>
        <v/>
      </c>
      <c r="D41" s="130">
        <f>'👥 Участники'!D41</f>
        <v/>
      </c>
      <c r="E41" s="130">
        <f>IFERROR(IF('👥 Участники'!C41="","",'❄️ Winter'!I41),"")</f>
        <v/>
      </c>
      <c r="F41" s="130">
        <f>IFERROR(IF('👥 Участники'!C41="","",'🌸 Spring'!I41),"")</f>
        <v/>
      </c>
      <c r="G41" s="130">
        <f>IFERROR(IF('👥 Участники'!C41="","",'☀️ Summer'!I41),"")</f>
        <v/>
      </c>
      <c r="H41" s="130">
        <f>IFERROR(IF('👥 Участники'!C41="","",'🍂 Autumn'!I41),"")</f>
        <v/>
      </c>
      <c r="I41" s="130">
        <f>IFERROR(IF('👥 Участники'!C41="","",'🔥 Final'!I41),"")</f>
        <v/>
      </c>
      <c r="J41" s="137">
        <f>IF(C41="","",IFERROR(SUM(E41:I41),0))</f>
        <v/>
      </c>
      <c r="K41" s="140">
        <f>IF(OR(C41="",J41=0),"",RANK(J41,$J$4:$J$103,0))</f>
        <v/>
      </c>
      <c r="L41" s="141">
        <f>IF(OR(D41="",J41=0),"",COUNTIFS($D$4:$D$103,D41,$J$4:$J$103,"&gt;"&amp;J41)+1)</f>
        <v/>
      </c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9.5" customHeight="1" s="143">
      <c r="A42" s="1" t="n"/>
      <c r="B42" s="131">
        <f>'👥 Участники'!B42</f>
        <v/>
      </c>
      <c r="C42" s="33">
        <f>'👥 Участники'!C42</f>
        <v/>
      </c>
      <c r="D42" s="131">
        <f>'👥 Участники'!D42</f>
        <v/>
      </c>
      <c r="E42" s="131">
        <f>IFERROR(IF('👥 Участники'!C42="","",'❄️ Winter'!I42),"")</f>
        <v/>
      </c>
      <c r="F42" s="131">
        <f>IFERROR(IF('👥 Участники'!C42="","",'🌸 Spring'!I42),"")</f>
        <v/>
      </c>
      <c r="G42" s="131">
        <f>IFERROR(IF('👥 Участники'!C42="","",'☀️ Summer'!I42),"")</f>
        <v/>
      </c>
      <c r="H42" s="131">
        <f>IFERROR(IF('👥 Участники'!C42="","",'🍂 Autumn'!I42),"")</f>
        <v/>
      </c>
      <c r="I42" s="131">
        <f>IFERROR(IF('👥 Участники'!C42="","",'🔥 Final'!I42),"")</f>
        <v/>
      </c>
      <c r="J42" s="36">
        <f>IF(C42="","",IFERROR(SUM(E42:I42),0))</f>
        <v/>
      </c>
      <c r="K42" s="138">
        <f>IF(OR(C42="",J42=0),"",RANK(J42,$J$4:$J$103,0))</f>
        <v/>
      </c>
      <c r="L42" s="139">
        <f>IF(OR(D42="",J42=0),"",COUNTIFS($D$4:$D$103,D42,$J$4:$J$103,"&gt;"&amp;J42)+1)</f>
        <v/>
      </c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9.5" customHeight="1" s="143">
      <c r="A43" s="1" t="n"/>
      <c r="B43" s="130">
        <f>'👥 Участники'!B43</f>
        <v/>
      </c>
      <c r="C43" s="38">
        <f>'👥 Участники'!C43</f>
        <v/>
      </c>
      <c r="D43" s="130">
        <f>'👥 Участники'!D43</f>
        <v/>
      </c>
      <c r="E43" s="130">
        <f>IFERROR(IF('👥 Участники'!C43="","",'❄️ Winter'!I43),"")</f>
        <v/>
      </c>
      <c r="F43" s="130">
        <f>IFERROR(IF('👥 Участники'!C43="","",'🌸 Spring'!I43),"")</f>
        <v/>
      </c>
      <c r="G43" s="130">
        <f>IFERROR(IF('👥 Участники'!C43="","",'☀️ Summer'!I43),"")</f>
        <v/>
      </c>
      <c r="H43" s="130">
        <f>IFERROR(IF('👥 Участники'!C43="","",'🍂 Autumn'!I43),"")</f>
        <v/>
      </c>
      <c r="I43" s="130">
        <f>IFERROR(IF('👥 Участники'!C43="","",'🔥 Final'!I43),"")</f>
        <v/>
      </c>
      <c r="J43" s="137">
        <f>IF(C43="","",IFERROR(SUM(E43:I43),0))</f>
        <v/>
      </c>
      <c r="K43" s="140">
        <f>IF(OR(C43="",J43=0),"",RANK(J43,$J$4:$J$103,0))</f>
        <v/>
      </c>
      <c r="L43" s="141">
        <f>IF(OR(D43="",J43=0),"",COUNTIFS($D$4:$D$103,D43,$J$4:$J$103,"&gt;"&amp;J43)+1)</f>
        <v/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9.5" customHeight="1" s="143">
      <c r="A44" s="1" t="n"/>
      <c r="B44" s="131">
        <f>'👥 Участники'!B44</f>
        <v/>
      </c>
      <c r="C44" s="33">
        <f>'👥 Участники'!C44</f>
        <v/>
      </c>
      <c r="D44" s="131">
        <f>'👥 Участники'!D44</f>
        <v/>
      </c>
      <c r="E44" s="131">
        <f>IFERROR(IF('👥 Участники'!C44="","",'❄️ Winter'!I44),"")</f>
        <v/>
      </c>
      <c r="F44" s="131">
        <f>IFERROR(IF('👥 Участники'!C44="","",'🌸 Spring'!I44),"")</f>
        <v/>
      </c>
      <c r="G44" s="131">
        <f>IFERROR(IF('👥 Участники'!C44="","",'☀️ Summer'!I44),"")</f>
        <v/>
      </c>
      <c r="H44" s="131">
        <f>IFERROR(IF('👥 Участники'!C44="","",'🍂 Autumn'!I44),"")</f>
        <v/>
      </c>
      <c r="I44" s="131">
        <f>IFERROR(IF('👥 Участники'!C44="","",'🔥 Final'!I44),"")</f>
        <v/>
      </c>
      <c r="J44" s="36">
        <f>IF(C44="","",IFERROR(SUM(E44:I44),0))</f>
        <v/>
      </c>
      <c r="K44" s="138">
        <f>IF(OR(C44="",J44=0),"",RANK(J44,$J$4:$J$103,0))</f>
        <v/>
      </c>
      <c r="L44" s="139">
        <f>IF(OR(D44="",J44=0),"",COUNTIFS($D$4:$D$103,D44,$J$4:$J$103,"&gt;"&amp;J44)+1)</f>
        <v/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9.5" customHeight="1" s="143">
      <c r="A45" s="1" t="n"/>
      <c r="B45" s="130">
        <f>'👥 Участники'!B45</f>
        <v/>
      </c>
      <c r="C45" s="38">
        <f>'👥 Участники'!C45</f>
        <v/>
      </c>
      <c r="D45" s="130">
        <f>'👥 Участники'!D45</f>
        <v/>
      </c>
      <c r="E45" s="130">
        <f>IFERROR(IF('👥 Участники'!C45="","",'❄️ Winter'!I45),"")</f>
        <v/>
      </c>
      <c r="F45" s="130">
        <f>IFERROR(IF('👥 Участники'!C45="","",'🌸 Spring'!I45),"")</f>
        <v/>
      </c>
      <c r="G45" s="130">
        <f>IFERROR(IF('👥 Участники'!C45="","",'☀️ Summer'!I45),"")</f>
        <v/>
      </c>
      <c r="H45" s="130">
        <f>IFERROR(IF('👥 Участники'!C45="","",'🍂 Autumn'!I45),"")</f>
        <v/>
      </c>
      <c r="I45" s="130">
        <f>IFERROR(IF('👥 Участники'!C45="","",'🔥 Final'!I45),"")</f>
        <v/>
      </c>
      <c r="J45" s="137">
        <f>IF(C45="","",IFERROR(SUM(E45:I45),0))</f>
        <v/>
      </c>
      <c r="K45" s="140">
        <f>IF(OR(C45="",J45=0),"",RANK(J45,$J$4:$J$103,0))</f>
        <v/>
      </c>
      <c r="L45" s="141">
        <f>IF(OR(D45="",J45=0),"",COUNTIFS($D$4:$D$103,D45,$J$4:$J$103,"&gt;"&amp;J45)+1)</f>
        <v/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9.5" customHeight="1" s="143">
      <c r="A46" s="1" t="n"/>
      <c r="B46" s="131">
        <f>'👥 Участники'!B46</f>
        <v/>
      </c>
      <c r="C46" s="33">
        <f>'👥 Участники'!C46</f>
        <v/>
      </c>
      <c r="D46" s="131">
        <f>'👥 Участники'!D46</f>
        <v/>
      </c>
      <c r="E46" s="131">
        <f>IFERROR(IF('👥 Участники'!C46="","",'❄️ Winter'!I46),"")</f>
        <v/>
      </c>
      <c r="F46" s="131">
        <f>IFERROR(IF('👥 Участники'!C46="","",'🌸 Spring'!I46),"")</f>
        <v/>
      </c>
      <c r="G46" s="131">
        <f>IFERROR(IF('👥 Участники'!C46="","",'☀️ Summer'!I46),"")</f>
        <v/>
      </c>
      <c r="H46" s="131">
        <f>IFERROR(IF('👥 Участники'!C46="","",'🍂 Autumn'!I46),"")</f>
        <v/>
      </c>
      <c r="I46" s="131">
        <f>IFERROR(IF('👥 Участники'!C46="","",'🔥 Final'!I46),"")</f>
        <v/>
      </c>
      <c r="J46" s="36">
        <f>IF(C46="","",IFERROR(SUM(E46:I46),0))</f>
        <v/>
      </c>
      <c r="K46" s="138">
        <f>IF(OR(C46="",J46=0),"",RANK(J46,$J$4:$J$103,0))</f>
        <v/>
      </c>
      <c r="L46" s="139">
        <f>IF(OR(D46="",J46=0),"",COUNTIFS($D$4:$D$103,D46,$J$4:$J$103,"&gt;"&amp;J46)+1)</f>
        <v/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9.5" customHeight="1" s="143">
      <c r="A47" s="1" t="n"/>
      <c r="B47" s="130">
        <f>'👥 Участники'!B47</f>
        <v/>
      </c>
      <c r="C47" s="38">
        <f>'👥 Участники'!C47</f>
        <v/>
      </c>
      <c r="D47" s="130">
        <f>'👥 Участники'!D47</f>
        <v/>
      </c>
      <c r="E47" s="130">
        <f>IFERROR(IF('👥 Участники'!C47="","",'❄️ Winter'!I47),"")</f>
        <v/>
      </c>
      <c r="F47" s="130">
        <f>IFERROR(IF('👥 Участники'!C47="","",'🌸 Spring'!I47),"")</f>
        <v/>
      </c>
      <c r="G47" s="130">
        <f>IFERROR(IF('👥 Участники'!C47="","",'☀️ Summer'!I47),"")</f>
        <v/>
      </c>
      <c r="H47" s="130">
        <f>IFERROR(IF('👥 Участники'!C47="","",'🍂 Autumn'!I47),"")</f>
        <v/>
      </c>
      <c r="I47" s="130">
        <f>IFERROR(IF('👥 Участники'!C47="","",'🔥 Final'!I47),"")</f>
        <v/>
      </c>
      <c r="J47" s="137">
        <f>IF(C47="","",IFERROR(SUM(E47:I47),0))</f>
        <v/>
      </c>
      <c r="K47" s="140">
        <f>IF(OR(C47="",J47=0),"",RANK(J47,$J$4:$J$103,0))</f>
        <v/>
      </c>
      <c r="L47" s="141">
        <f>IF(OR(D47="",J47=0),"",COUNTIFS($D$4:$D$103,D47,$J$4:$J$103,"&gt;"&amp;J47)+1)</f>
        <v/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9.5" customHeight="1" s="143">
      <c r="A48" s="1" t="n"/>
      <c r="B48" s="131">
        <f>'👥 Участники'!B48</f>
        <v/>
      </c>
      <c r="C48" s="33">
        <f>'👥 Участники'!C48</f>
        <v/>
      </c>
      <c r="D48" s="131">
        <f>'👥 Участники'!D48</f>
        <v/>
      </c>
      <c r="E48" s="131">
        <f>IFERROR(IF('👥 Участники'!C48="","",'❄️ Winter'!I48),"")</f>
        <v/>
      </c>
      <c r="F48" s="131">
        <f>IFERROR(IF('👥 Участники'!C48="","",'🌸 Spring'!I48),"")</f>
        <v/>
      </c>
      <c r="G48" s="131">
        <f>IFERROR(IF('👥 Участники'!C48="","",'☀️ Summer'!I48),"")</f>
        <v/>
      </c>
      <c r="H48" s="131">
        <f>IFERROR(IF('👥 Участники'!C48="","",'🍂 Autumn'!I48),"")</f>
        <v/>
      </c>
      <c r="I48" s="131">
        <f>IFERROR(IF('👥 Участники'!C48="","",'🔥 Final'!I48),"")</f>
        <v/>
      </c>
      <c r="J48" s="36">
        <f>IF(C48="","",IFERROR(SUM(E48:I48),0))</f>
        <v/>
      </c>
      <c r="K48" s="138">
        <f>IF(OR(C48="",J48=0),"",RANK(J48,$J$4:$J$103,0))</f>
        <v/>
      </c>
      <c r="L48" s="139">
        <f>IF(OR(D48="",J48=0),"",COUNTIFS($D$4:$D$103,D48,$J$4:$J$103,"&gt;"&amp;J48)+1)</f>
        <v/>
      </c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9.5" customHeight="1" s="143">
      <c r="A49" s="1" t="n"/>
      <c r="B49" s="130">
        <f>'👥 Участники'!B49</f>
        <v/>
      </c>
      <c r="C49" s="38">
        <f>'👥 Участники'!C49</f>
        <v/>
      </c>
      <c r="D49" s="130">
        <f>'👥 Участники'!D49</f>
        <v/>
      </c>
      <c r="E49" s="130">
        <f>IFERROR(IF('👥 Участники'!C49="","",'❄️ Winter'!I49),"")</f>
        <v/>
      </c>
      <c r="F49" s="130">
        <f>IFERROR(IF('👥 Участники'!C49="","",'🌸 Spring'!I49),"")</f>
        <v/>
      </c>
      <c r="G49" s="130">
        <f>IFERROR(IF('👥 Участники'!C49="","",'☀️ Summer'!I49),"")</f>
        <v/>
      </c>
      <c r="H49" s="130">
        <f>IFERROR(IF('👥 Участники'!C49="","",'🍂 Autumn'!I49),"")</f>
        <v/>
      </c>
      <c r="I49" s="130">
        <f>IFERROR(IF('👥 Участники'!C49="","",'🔥 Final'!I49),"")</f>
        <v/>
      </c>
      <c r="J49" s="137">
        <f>IF(C49="","",IFERROR(SUM(E49:I49),0))</f>
        <v/>
      </c>
      <c r="K49" s="140">
        <f>IF(OR(C49="",J49=0),"",RANK(J49,$J$4:$J$103,0))</f>
        <v/>
      </c>
      <c r="L49" s="141">
        <f>IF(OR(D49="",J49=0),"",COUNTIFS($D$4:$D$103,D49,$J$4:$J$103,"&gt;"&amp;J49)+1)</f>
        <v/>
      </c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9.5" customHeight="1" s="143">
      <c r="A50" s="1" t="n"/>
      <c r="B50" s="131">
        <f>'👥 Участники'!B50</f>
        <v/>
      </c>
      <c r="C50" s="33">
        <f>'👥 Участники'!C50</f>
        <v/>
      </c>
      <c r="D50" s="131">
        <f>'👥 Участники'!D50</f>
        <v/>
      </c>
      <c r="E50" s="131">
        <f>IFERROR(IF('👥 Участники'!C50="","",'❄️ Winter'!I50),"")</f>
        <v/>
      </c>
      <c r="F50" s="131">
        <f>IFERROR(IF('👥 Участники'!C50="","",'🌸 Spring'!I50),"")</f>
        <v/>
      </c>
      <c r="G50" s="131">
        <f>IFERROR(IF('👥 Участники'!C50="","",'☀️ Summer'!I50),"")</f>
        <v/>
      </c>
      <c r="H50" s="131">
        <f>IFERROR(IF('👥 Участники'!C50="","",'🍂 Autumn'!I50),"")</f>
        <v/>
      </c>
      <c r="I50" s="131">
        <f>IFERROR(IF('👥 Участники'!C50="","",'🔥 Final'!I50),"")</f>
        <v/>
      </c>
      <c r="J50" s="36">
        <f>IF(C50="","",IFERROR(SUM(E50:I50),0))</f>
        <v/>
      </c>
      <c r="K50" s="138">
        <f>IF(OR(C50="",J50=0),"",RANK(J50,$J$4:$J$103,0))</f>
        <v/>
      </c>
      <c r="L50" s="139">
        <f>IF(OR(D50="",J50=0),"",COUNTIFS($D$4:$D$103,D50,$J$4:$J$103,"&gt;"&amp;J50)+1)</f>
        <v/>
      </c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9.5" customHeight="1" s="143">
      <c r="A51" s="1" t="n"/>
      <c r="B51" s="130">
        <f>'👥 Участники'!B51</f>
        <v/>
      </c>
      <c r="C51" s="38">
        <f>'👥 Участники'!C51</f>
        <v/>
      </c>
      <c r="D51" s="130">
        <f>'👥 Участники'!D51</f>
        <v/>
      </c>
      <c r="E51" s="130">
        <f>IFERROR(IF('👥 Участники'!C51="","",'❄️ Winter'!I51),"")</f>
        <v/>
      </c>
      <c r="F51" s="130">
        <f>IFERROR(IF('👥 Участники'!C51="","",'🌸 Spring'!I51),"")</f>
        <v/>
      </c>
      <c r="G51" s="130">
        <f>IFERROR(IF('👥 Участники'!C51="","",'☀️ Summer'!I51),"")</f>
        <v/>
      </c>
      <c r="H51" s="130">
        <f>IFERROR(IF('👥 Участники'!C51="","",'🍂 Autumn'!I51),"")</f>
        <v/>
      </c>
      <c r="I51" s="130">
        <f>IFERROR(IF('👥 Участники'!C51="","",'🔥 Final'!I51),"")</f>
        <v/>
      </c>
      <c r="J51" s="137">
        <f>IF(C51="","",IFERROR(SUM(E51:I51),0))</f>
        <v/>
      </c>
      <c r="K51" s="140">
        <f>IF(OR(C51="",J51=0),"",RANK(J51,$J$4:$J$103,0))</f>
        <v/>
      </c>
      <c r="L51" s="141">
        <f>IF(OR(D51="",J51=0),"",COUNTIFS($D$4:$D$103,D51,$J$4:$J$103,"&gt;"&amp;J51)+1)</f>
        <v/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9.5" customHeight="1" s="143">
      <c r="A52" s="1" t="n"/>
      <c r="B52" s="131">
        <f>'👥 Участники'!B52</f>
        <v/>
      </c>
      <c r="C52" s="33">
        <f>'👥 Участники'!C52</f>
        <v/>
      </c>
      <c r="D52" s="131">
        <f>'👥 Участники'!D52</f>
        <v/>
      </c>
      <c r="E52" s="131">
        <f>IFERROR(IF('👥 Участники'!C52="","",'❄️ Winter'!I52),"")</f>
        <v/>
      </c>
      <c r="F52" s="131">
        <f>IFERROR(IF('👥 Участники'!C52="","",'🌸 Spring'!I52),"")</f>
        <v/>
      </c>
      <c r="G52" s="131">
        <f>IFERROR(IF('👥 Участники'!C52="","",'☀️ Summer'!I52),"")</f>
        <v/>
      </c>
      <c r="H52" s="131">
        <f>IFERROR(IF('👥 Участники'!C52="","",'🍂 Autumn'!I52),"")</f>
        <v/>
      </c>
      <c r="I52" s="131">
        <f>IFERROR(IF('👥 Участники'!C52="","",'🔥 Final'!I52),"")</f>
        <v/>
      </c>
      <c r="J52" s="36">
        <f>IF(C52="","",IFERROR(SUM(E52:I52),0))</f>
        <v/>
      </c>
      <c r="K52" s="138">
        <f>IF(OR(C52="",J52=0),"",RANK(J52,$J$4:$J$103,0))</f>
        <v/>
      </c>
      <c r="L52" s="139">
        <f>IF(OR(D52="",J52=0),"",COUNTIFS($D$4:$D$103,D52,$J$4:$J$103,"&gt;"&amp;J52)+1)</f>
        <v/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9.5" customHeight="1" s="143">
      <c r="A53" s="1" t="n"/>
      <c r="B53" s="130">
        <f>'👥 Участники'!B53</f>
        <v/>
      </c>
      <c r="C53" s="38">
        <f>'👥 Участники'!C53</f>
        <v/>
      </c>
      <c r="D53" s="130">
        <f>'👥 Участники'!D53</f>
        <v/>
      </c>
      <c r="E53" s="130">
        <f>IFERROR(IF('👥 Участники'!C53="","",'❄️ Winter'!I53),"")</f>
        <v/>
      </c>
      <c r="F53" s="130">
        <f>IFERROR(IF('👥 Участники'!C53="","",'🌸 Spring'!I53),"")</f>
        <v/>
      </c>
      <c r="G53" s="130">
        <f>IFERROR(IF('👥 Участники'!C53="","",'☀️ Summer'!I53),"")</f>
        <v/>
      </c>
      <c r="H53" s="130">
        <f>IFERROR(IF('👥 Участники'!C53="","",'🍂 Autumn'!I53),"")</f>
        <v/>
      </c>
      <c r="I53" s="130">
        <f>IFERROR(IF('👥 Участники'!C53="","",'🔥 Final'!I53),"")</f>
        <v/>
      </c>
      <c r="J53" s="137">
        <f>IF(C53="","",IFERROR(SUM(E53:I53),0))</f>
        <v/>
      </c>
      <c r="K53" s="140">
        <f>IF(OR(C53="",J53=0),"",RANK(J53,$J$4:$J$103,0))</f>
        <v/>
      </c>
      <c r="L53" s="141">
        <f>IF(OR(D53="",J53=0),"",COUNTIFS($D$4:$D$103,D53,$J$4:$J$103,"&gt;"&amp;J53)+1)</f>
        <v/>
      </c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9.5" customHeight="1" s="143">
      <c r="A54" s="1" t="n"/>
      <c r="B54" s="131">
        <f>'👥 Участники'!B54</f>
        <v/>
      </c>
      <c r="C54" s="33">
        <f>'👥 Участники'!C54</f>
        <v/>
      </c>
      <c r="D54" s="131">
        <f>'👥 Участники'!D54</f>
        <v/>
      </c>
      <c r="E54" s="131">
        <f>IFERROR(IF('👥 Участники'!C54="","",'❄️ Winter'!I54),"")</f>
        <v/>
      </c>
      <c r="F54" s="131">
        <f>IFERROR(IF('👥 Участники'!C54="","",'🌸 Spring'!I54),"")</f>
        <v/>
      </c>
      <c r="G54" s="131">
        <f>IFERROR(IF('👥 Участники'!C54="","",'☀️ Summer'!I54),"")</f>
        <v/>
      </c>
      <c r="H54" s="131">
        <f>IFERROR(IF('👥 Участники'!C54="","",'🍂 Autumn'!I54),"")</f>
        <v/>
      </c>
      <c r="I54" s="131">
        <f>IFERROR(IF('👥 Участники'!C54="","",'🔥 Final'!I54),"")</f>
        <v/>
      </c>
      <c r="J54" s="36">
        <f>IF(C54="","",IFERROR(SUM(E54:I54),0))</f>
        <v/>
      </c>
      <c r="K54" s="138">
        <f>IF(OR(C54="",J54=0),"",RANK(J54,$J$4:$J$103,0))</f>
        <v/>
      </c>
      <c r="L54" s="139">
        <f>IF(OR(D54="",J54=0),"",COUNTIFS($D$4:$D$103,D54,$J$4:$J$103,"&gt;"&amp;J54)+1)</f>
        <v/>
      </c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9.5" customHeight="1" s="143">
      <c r="A55" s="1" t="n"/>
      <c r="B55" s="130">
        <f>'👥 Участники'!B55</f>
        <v/>
      </c>
      <c r="C55" s="38">
        <f>'👥 Участники'!C55</f>
        <v/>
      </c>
      <c r="D55" s="130">
        <f>'👥 Участники'!D55</f>
        <v/>
      </c>
      <c r="E55" s="130">
        <f>IFERROR(IF('👥 Участники'!C55="","",'❄️ Winter'!I55),"")</f>
        <v/>
      </c>
      <c r="F55" s="130">
        <f>IFERROR(IF('👥 Участники'!C55="","",'🌸 Spring'!I55),"")</f>
        <v/>
      </c>
      <c r="G55" s="130">
        <f>IFERROR(IF('👥 Участники'!C55="","",'☀️ Summer'!I55),"")</f>
        <v/>
      </c>
      <c r="H55" s="130">
        <f>IFERROR(IF('👥 Участники'!C55="","",'🍂 Autumn'!I55),"")</f>
        <v/>
      </c>
      <c r="I55" s="130">
        <f>IFERROR(IF('👥 Участники'!C55="","",'🔥 Final'!I55),"")</f>
        <v/>
      </c>
      <c r="J55" s="137">
        <f>IF(C55="","",IFERROR(SUM(E55:I55),0))</f>
        <v/>
      </c>
      <c r="K55" s="140">
        <f>IF(OR(C55="",J55=0),"",RANK(J55,$J$4:$J$103,0))</f>
        <v/>
      </c>
      <c r="L55" s="141">
        <f>IF(OR(D55="",J55=0),"",COUNTIFS($D$4:$D$103,D55,$J$4:$J$103,"&gt;"&amp;J55)+1)</f>
        <v/>
      </c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9.5" customHeight="1" s="143">
      <c r="A56" s="1" t="n"/>
      <c r="B56" s="131">
        <f>'👥 Участники'!B56</f>
        <v/>
      </c>
      <c r="C56" s="33">
        <f>'👥 Участники'!C56</f>
        <v/>
      </c>
      <c r="D56" s="131">
        <f>'👥 Участники'!D56</f>
        <v/>
      </c>
      <c r="E56" s="131">
        <f>IFERROR(IF('👥 Участники'!C56="","",'❄️ Winter'!I56),"")</f>
        <v/>
      </c>
      <c r="F56" s="131">
        <f>IFERROR(IF('👥 Участники'!C56="","",'🌸 Spring'!I56),"")</f>
        <v/>
      </c>
      <c r="G56" s="131">
        <f>IFERROR(IF('👥 Участники'!C56="","",'☀️ Summer'!I56),"")</f>
        <v/>
      </c>
      <c r="H56" s="131">
        <f>IFERROR(IF('👥 Участники'!C56="","",'🍂 Autumn'!I56),"")</f>
        <v/>
      </c>
      <c r="I56" s="131">
        <f>IFERROR(IF('👥 Участники'!C56="","",'🔥 Final'!I56),"")</f>
        <v/>
      </c>
      <c r="J56" s="36">
        <f>IF(C56="","",IFERROR(SUM(E56:I56),0))</f>
        <v/>
      </c>
      <c r="K56" s="138">
        <f>IF(OR(C56="",J56=0),"",RANK(J56,$J$4:$J$103,0))</f>
        <v/>
      </c>
      <c r="L56" s="139">
        <f>IF(OR(D56="",J56=0),"",COUNTIFS($D$4:$D$103,D56,$J$4:$J$103,"&gt;"&amp;J56)+1)</f>
        <v/>
      </c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9.5" customHeight="1" s="143">
      <c r="A57" s="1" t="n"/>
      <c r="B57" s="130">
        <f>'👥 Участники'!B57</f>
        <v/>
      </c>
      <c r="C57" s="38">
        <f>'👥 Участники'!C57</f>
        <v/>
      </c>
      <c r="D57" s="130">
        <f>'👥 Участники'!D57</f>
        <v/>
      </c>
      <c r="E57" s="130">
        <f>IFERROR(IF('👥 Участники'!C57="","",'❄️ Winter'!I57),"")</f>
        <v/>
      </c>
      <c r="F57" s="130">
        <f>IFERROR(IF('👥 Участники'!C57="","",'🌸 Spring'!I57),"")</f>
        <v/>
      </c>
      <c r="G57" s="130">
        <f>IFERROR(IF('👥 Участники'!C57="","",'☀️ Summer'!I57),"")</f>
        <v/>
      </c>
      <c r="H57" s="130">
        <f>IFERROR(IF('👥 Участники'!C57="","",'🍂 Autumn'!I57),"")</f>
        <v/>
      </c>
      <c r="I57" s="130">
        <f>IFERROR(IF('👥 Участники'!C57="","",'🔥 Final'!I57),"")</f>
        <v/>
      </c>
      <c r="J57" s="137">
        <f>IF(C57="","",IFERROR(SUM(E57:I57),0))</f>
        <v/>
      </c>
      <c r="K57" s="140">
        <f>IF(OR(C57="",J57=0),"",RANK(J57,$J$4:$J$103,0))</f>
        <v/>
      </c>
      <c r="L57" s="141">
        <f>IF(OR(D57="",J57=0),"",COUNTIFS($D$4:$D$103,D57,$J$4:$J$103,"&gt;"&amp;J57)+1)</f>
        <v/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9.5" customHeight="1" s="143">
      <c r="A58" s="1" t="n"/>
      <c r="B58" s="131">
        <f>'👥 Участники'!B58</f>
        <v/>
      </c>
      <c r="C58" s="33">
        <f>'👥 Участники'!C58</f>
        <v/>
      </c>
      <c r="D58" s="131">
        <f>'👥 Участники'!D58</f>
        <v/>
      </c>
      <c r="E58" s="131">
        <f>IFERROR(IF('👥 Участники'!C58="","",'❄️ Winter'!I58),"")</f>
        <v/>
      </c>
      <c r="F58" s="131">
        <f>IFERROR(IF('👥 Участники'!C58="","",'🌸 Spring'!I58),"")</f>
        <v/>
      </c>
      <c r="G58" s="131">
        <f>IFERROR(IF('👥 Участники'!C58="","",'☀️ Summer'!I58),"")</f>
        <v/>
      </c>
      <c r="H58" s="131">
        <f>IFERROR(IF('👥 Участники'!C58="","",'🍂 Autumn'!I58),"")</f>
        <v/>
      </c>
      <c r="I58" s="131">
        <f>IFERROR(IF('👥 Участники'!C58="","",'🔥 Final'!I58),"")</f>
        <v/>
      </c>
      <c r="J58" s="36">
        <f>IF(C58="","",IFERROR(SUM(E58:I58),0))</f>
        <v/>
      </c>
      <c r="K58" s="138">
        <f>IF(OR(C58="",J58=0),"",RANK(J58,$J$4:$J$103,0))</f>
        <v/>
      </c>
      <c r="L58" s="139">
        <f>IF(OR(D58="",J58=0),"",COUNTIFS($D$4:$D$103,D58,$J$4:$J$103,"&gt;"&amp;J58)+1)</f>
        <v/>
      </c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9.5" customHeight="1" s="143">
      <c r="A59" s="1" t="n"/>
      <c r="B59" s="130">
        <f>'👥 Участники'!B59</f>
        <v/>
      </c>
      <c r="C59" s="38">
        <f>'👥 Участники'!C59</f>
        <v/>
      </c>
      <c r="D59" s="130">
        <f>'👥 Участники'!D59</f>
        <v/>
      </c>
      <c r="E59" s="130">
        <f>IFERROR(IF('👥 Участники'!C59="","",'❄️ Winter'!I59),"")</f>
        <v/>
      </c>
      <c r="F59" s="130">
        <f>IFERROR(IF('👥 Участники'!C59="","",'🌸 Spring'!I59),"")</f>
        <v/>
      </c>
      <c r="G59" s="130">
        <f>IFERROR(IF('👥 Участники'!C59="","",'☀️ Summer'!I59),"")</f>
        <v/>
      </c>
      <c r="H59" s="130">
        <f>IFERROR(IF('👥 Участники'!C59="","",'🍂 Autumn'!I59),"")</f>
        <v/>
      </c>
      <c r="I59" s="130">
        <f>IFERROR(IF('👥 Участники'!C59="","",'🔥 Final'!I59),"")</f>
        <v/>
      </c>
      <c r="J59" s="137">
        <f>IF(C59="","",IFERROR(SUM(E59:I59),0))</f>
        <v/>
      </c>
      <c r="K59" s="140">
        <f>IF(OR(C59="",J59=0),"",RANK(J59,$J$4:$J$103,0))</f>
        <v/>
      </c>
      <c r="L59" s="141">
        <f>IF(OR(D59="",J59=0),"",COUNTIFS($D$4:$D$103,D59,$J$4:$J$103,"&gt;"&amp;J59)+1)</f>
        <v/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9.5" customHeight="1" s="143">
      <c r="A60" s="1" t="n"/>
      <c r="B60" s="131">
        <f>'👥 Участники'!B60</f>
        <v/>
      </c>
      <c r="C60" s="33">
        <f>'👥 Участники'!C60</f>
        <v/>
      </c>
      <c r="D60" s="131">
        <f>'👥 Участники'!D60</f>
        <v/>
      </c>
      <c r="E60" s="131">
        <f>IFERROR(IF('👥 Участники'!C60="","",'❄️ Winter'!I60),"")</f>
        <v/>
      </c>
      <c r="F60" s="131">
        <f>IFERROR(IF('👥 Участники'!C60="","",'🌸 Spring'!I60),"")</f>
        <v/>
      </c>
      <c r="G60" s="131">
        <f>IFERROR(IF('👥 Участники'!C60="","",'☀️ Summer'!I60),"")</f>
        <v/>
      </c>
      <c r="H60" s="131">
        <f>IFERROR(IF('👥 Участники'!C60="","",'🍂 Autumn'!I60),"")</f>
        <v/>
      </c>
      <c r="I60" s="131">
        <f>IFERROR(IF('👥 Участники'!C60="","",'🔥 Final'!I60),"")</f>
        <v/>
      </c>
      <c r="J60" s="36">
        <f>IF(C60="","",IFERROR(SUM(E60:I60),0))</f>
        <v/>
      </c>
      <c r="K60" s="138">
        <f>IF(OR(C60="",J60=0),"",RANK(J60,$J$4:$J$103,0))</f>
        <v/>
      </c>
      <c r="L60" s="139">
        <f>IF(OR(D60="",J60=0),"",COUNTIFS($D$4:$D$103,D60,$J$4:$J$103,"&gt;"&amp;J60)+1)</f>
        <v/>
      </c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143">
      <c r="A61" s="1" t="n"/>
      <c r="B61" s="130">
        <f>'👥 Участники'!B61</f>
        <v/>
      </c>
      <c r="C61" s="38">
        <f>'👥 Участники'!C61</f>
        <v/>
      </c>
      <c r="D61" s="130">
        <f>'👥 Участники'!D61</f>
        <v/>
      </c>
      <c r="E61" s="130">
        <f>IFERROR(IF('👥 Участники'!C61="","",'❄️ Winter'!I61),"")</f>
        <v/>
      </c>
      <c r="F61" s="130">
        <f>IFERROR(IF('👥 Участники'!C61="","",'🌸 Spring'!I61),"")</f>
        <v/>
      </c>
      <c r="G61" s="130">
        <f>IFERROR(IF('👥 Участники'!C61="","",'☀️ Summer'!I61),"")</f>
        <v/>
      </c>
      <c r="H61" s="130">
        <f>IFERROR(IF('👥 Участники'!C61="","",'🍂 Autumn'!I61),"")</f>
        <v/>
      </c>
      <c r="I61" s="130">
        <f>IFERROR(IF('👥 Участники'!C61="","",'🔥 Final'!I61),"")</f>
        <v/>
      </c>
      <c r="J61" s="137">
        <f>IF(C61="","",IFERROR(SUM(E61:I61),0))</f>
        <v/>
      </c>
      <c r="K61" s="140">
        <f>IF(OR(C61="",J61=0),"",RANK(J61,$J$4:$J$103,0))</f>
        <v/>
      </c>
      <c r="L61" s="141">
        <f>IF(OR(D61="",J61=0),"",COUNTIFS($D$4:$D$103,D61,$J$4:$J$103,"&gt;"&amp;J61)+1)</f>
        <v/>
      </c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9.5" customHeight="1" s="143">
      <c r="A62" s="1" t="n"/>
      <c r="B62" s="131">
        <f>'👥 Участники'!B62</f>
        <v/>
      </c>
      <c r="C62" s="33">
        <f>'👥 Участники'!C62</f>
        <v/>
      </c>
      <c r="D62" s="131">
        <f>'👥 Участники'!D62</f>
        <v/>
      </c>
      <c r="E62" s="131">
        <f>IFERROR(IF('👥 Участники'!C62="","",'❄️ Winter'!I62),"")</f>
        <v/>
      </c>
      <c r="F62" s="131">
        <f>IFERROR(IF('👥 Участники'!C62="","",'🌸 Spring'!I62),"")</f>
        <v/>
      </c>
      <c r="G62" s="131">
        <f>IFERROR(IF('👥 Участники'!C62="","",'☀️ Summer'!I62),"")</f>
        <v/>
      </c>
      <c r="H62" s="131">
        <f>IFERROR(IF('👥 Участники'!C62="","",'🍂 Autumn'!I62),"")</f>
        <v/>
      </c>
      <c r="I62" s="131">
        <f>IFERROR(IF('👥 Участники'!C62="","",'🔥 Final'!I62),"")</f>
        <v/>
      </c>
      <c r="J62" s="36">
        <f>IF(C62="","",IFERROR(SUM(E62:I62),0))</f>
        <v/>
      </c>
      <c r="K62" s="138">
        <f>IF(OR(C62="",J62=0),"",RANK(J62,$J$4:$J$103,0))</f>
        <v/>
      </c>
      <c r="L62" s="139">
        <f>IF(OR(D62="",J62=0),"",COUNTIFS($D$4:$D$103,D62,$J$4:$J$103,"&gt;"&amp;J62)+1)</f>
        <v/>
      </c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9.5" customHeight="1" s="143">
      <c r="A63" s="1" t="n"/>
      <c r="B63" s="130">
        <f>'👥 Участники'!B63</f>
        <v/>
      </c>
      <c r="C63" s="38">
        <f>'👥 Участники'!C63</f>
        <v/>
      </c>
      <c r="D63" s="130">
        <f>'👥 Участники'!D63</f>
        <v/>
      </c>
      <c r="E63" s="130">
        <f>IFERROR(IF('👥 Участники'!C63="","",'❄️ Winter'!I63),"")</f>
        <v/>
      </c>
      <c r="F63" s="130">
        <f>IFERROR(IF('👥 Участники'!C63="","",'🌸 Spring'!I63),"")</f>
        <v/>
      </c>
      <c r="G63" s="130">
        <f>IFERROR(IF('👥 Участники'!C63="","",'☀️ Summer'!I63),"")</f>
        <v/>
      </c>
      <c r="H63" s="130">
        <f>IFERROR(IF('👥 Участники'!C63="","",'🍂 Autumn'!I63),"")</f>
        <v/>
      </c>
      <c r="I63" s="130">
        <f>IFERROR(IF('👥 Участники'!C63="","",'🔥 Final'!I63),"")</f>
        <v/>
      </c>
      <c r="J63" s="137">
        <f>IF(C63="","",IFERROR(SUM(E63:I63),0))</f>
        <v/>
      </c>
      <c r="K63" s="140">
        <f>IF(OR(C63="",J63=0),"",RANK(J63,$J$4:$J$103,0))</f>
        <v/>
      </c>
      <c r="L63" s="141">
        <f>IF(OR(D63="",J63=0),"",COUNTIFS($D$4:$D$103,D63,$J$4:$J$103,"&gt;"&amp;J63)+1)</f>
        <v/>
      </c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9.5" customHeight="1" s="143">
      <c r="A64" s="1" t="n"/>
      <c r="B64" s="131">
        <f>'👥 Участники'!B64</f>
        <v/>
      </c>
      <c r="C64" s="33">
        <f>'👥 Участники'!C64</f>
        <v/>
      </c>
      <c r="D64" s="131">
        <f>'👥 Участники'!D64</f>
        <v/>
      </c>
      <c r="E64" s="131">
        <f>IFERROR(IF('👥 Участники'!C64="","",'❄️ Winter'!I64),"")</f>
        <v/>
      </c>
      <c r="F64" s="131">
        <f>IFERROR(IF('👥 Участники'!C64="","",'🌸 Spring'!I64),"")</f>
        <v/>
      </c>
      <c r="G64" s="131">
        <f>IFERROR(IF('👥 Участники'!C64="","",'☀️ Summer'!I64),"")</f>
        <v/>
      </c>
      <c r="H64" s="131">
        <f>IFERROR(IF('👥 Участники'!C64="","",'🍂 Autumn'!I64),"")</f>
        <v/>
      </c>
      <c r="I64" s="131">
        <f>IFERROR(IF('👥 Участники'!C64="","",'🔥 Final'!I64),"")</f>
        <v/>
      </c>
      <c r="J64" s="36">
        <f>IF(C64="","",IFERROR(SUM(E64:I64),0))</f>
        <v/>
      </c>
      <c r="K64" s="138">
        <f>IF(OR(C64="",J64=0),"",RANK(J64,$J$4:$J$103,0))</f>
        <v/>
      </c>
      <c r="L64" s="139">
        <f>IF(OR(D64="",J64=0),"",COUNTIFS($D$4:$D$103,D64,$J$4:$J$103,"&gt;"&amp;J64)+1)</f>
        <v/>
      </c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9.5" customHeight="1" s="143">
      <c r="A65" s="1" t="n"/>
      <c r="B65" s="130">
        <f>'👥 Участники'!B65</f>
        <v/>
      </c>
      <c r="C65" s="38">
        <f>'👥 Участники'!C65</f>
        <v/>
      </c>
      <c r="D65" s="130">
        <f>'👥 Участники'!D65</f>
        <v/>
      </c>
      <c r="E65" s="130">
        <f>IFERROR(IF('👥 Участники'!C65="","",'❄️ Winter'!I65),"")</f>
        <v/>
      </c>
      <c r="F65" s="130">
        <f>IFERROR(IF('👥 Участники'!C65="","",'🌸 Spring'!I65),"")</f>
        <v/>
      </c>
      <c r="G65" s="130">
        <f>IFERROR(IF('👥 Участники'!C65="","",'☀️ Summer'!I65),"")</f>
        <v/>
      </c>
      <c r="H65" s="130">
        <f>IFERROR(IF('👥 Участники'!C65="","",'🍂 Autumn'!I65),"")</f>
        <v/>
      </c>
      <c r="I65" s="130">
        <f>IFERROR(IF('👥 Участники'!C65="","",'🔥 Final'!I65),"")</f>
        <v/>
      </c>
      <c r="J65" s="137">
        <f>IF(C65="","",IFERROR(SUM(E65:I65),0))</f>
        <v/>
      </c>
      <c r="K65" s="140">
        <f>IF(OR(C65="",J65=0),"",RANK(J65,$J$4:$J$103,0))</f>
        <v/>
      </c>
      <c r="L65" s="141">
        <f>IF(OR(D65="",J65=0),"",COUNTIFS($D$4:$D$103,D65,$J$4:$J$103,"&gt;"&amp;J65)+1)</f>
        <v/>
      </c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9.5" customHeight="1" s="143">
      <c r="A66" s="1" t="n"/>
      <c r="B66" s="131">
        <f>'👥 Участники'!B66</f>
        <v/>
      </c>
      <c r="C66" s="33">
        <f>'👥 Участники'!C66</f>
        <v/>
      </c>
      <c r="D66" s="131">
        <f>'👥 Участники'!D66</f>
        <v/>
      </c>
      <c r="E66" s="131">
        <f>IFERROR(IF('👥 Участники'!C66="","",'❄️ Winter'!I66),"")</f>
        <v/>
      </c>
      <c r="F66" s="131">
        <f>IFERROR(IF('👥 Участники'!C66="","",'🌸 Spring'!I66),"")</f>
        <v/>
      </c>
      <c r="G66" s="131">
        <f>IFERROR(IF('👥 Участники'!C66="","",'☀️ Summer'!I66),"")</f>
        <v/>
      </c>
      <c r="H66" s="131">
        <f>IFERROR(IF('👥 Участники'!C66="","",'🍂 Autumn'!I66),"")</f>
        <v/>
      </c>
      <c r="I66" s="131">
        <f>IFERROR(IF('👥 Участники'!C66="","",'🔥 Final'!I66),"")</f>
        <v/>
      </c>
      <c r="J66" s="36">
        <f>IF(C66="","",IFERROR(SUM(E66:I66),0))</f>
        <v/>
      </c>
      <c r="K66" s="138">
        <f>IF(OR(C66="",J66=0),"",RANK(J66,$J$4:$J$103,0))</f>
        <v/>
      </c>
      <c r="L66" s="139">
        <f>IF(OR(D66="",J66=0),"",COUNTIFS($D$4:$D$103,D66,$J$4:$J$103,"&gt;"&amp;J66)+1)</f>
        <v/>
      </c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9.5" customHeight="1" s="143">
      <c r="A67" s="1" t="n"/>
      <c r="B67" s="130">
        <f>'👥 Участники'!B67</f>
        <v/>
      </c>
      <c r="C67" s="38">
        <f>'👥 Участники'!C67</f>
        <v/>
      </c>
      <c r="D67" s="130">
        <f>'👥 Участники'!D67</f>
        <v/>
      </c>
      <c r="E67" s="130">
        <f>IFERROR(IF('👥 Участники'!C67="","",'❄️ Winter'!I67),"")</f>
        <v/>
      </c>
      <c r="F67" s="130">
        <f>IFERROR(IF('👥 Участники'!C67="","",'🌸 Spring'!I67),"")</f>
        <v/>
      </c>
      <c r="G67" s="130">
        <f>IFERROR(IF('👥 Участники'!C67="","",'☀️ Summer'!I67),"")</f>
        <v/>
      </c>
      <c r="H67" s="130">
        <f>IFERROR(IF('👥 Участники'!C67="","",'🍂 Autumn'!I67),"")</f>
        <v/>
      </c>
      <c r="I67" s="130">
        <f>IFERROR(IF('👥 Участники'!C67="","",'🔥 Final'!I67),"")</f>
        <v/>
      </c>
      <c r="J67" s="137">
        <f>IF(C67="","",IFERROR(SUM(E67:I67),0))</f>
        <v/>
      </c>
      <c r="K67" s="140">
        <f>IF(OR(C67="",J67=0),"",RANK(J67,$J$4:$J$103,0))</f>
        <v/>
      </c>
      <c r="L67" s="141">
        <f>IF(OR(D67="",J67=0),"",COUNTIFS($D$4:$D$103,D67,$J$4:$J$103,"&gt;"&amp;J67)+1)</f>
        <v/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9.5" customHeight="1" s="143">
      <c r="A68" s="1" t="n"/>
      <c r="B68" s="131">
        <f>'👥 Участники'!B68</f>
        <v/>
      </c>
      <c r="C68" s="33">
        <f>'👥 Участники'!C68</f>
        <v/>
      </c>
      <c r="D68" s="131">
        <f>'👥 Участники'!D68</f>
        <v/>
      </c>
      <c r="E68" s="131">
        <f>IFERROR(IF('👥 Участники'!C68="","",'❄️ Winter'!I68),"")</f>
        <v/>
      </c>
      <c r="F68" s="131">
        <f>IFERROR(IF('👥 Участники'!C68="","",'🌸 Spring'!I68),"")</f>
        <v/>
      </c>
      <c r="G68" s="131">
        <f>IFERROR(IF('👥 Участники'!C68="","",'☀️ Summer'!I68),"")</f>
        <v/>
      </c>
      <c r="H68" s="131">
        <f>IFERROR(IF('👥 Участники'!C68="","",'🍂 Autumn'!I68),"")</f>
        <v/>
      </c>
      <c r="I68" s="131">
        <f>IFERROR(IF('👥 Участники'!C68="","",'🔥 Final'!I68),"")</f>
        <v/>
      </c>
      <c r="J68" s="36">
        <f>IF(C68="","",IFERROR(SUM(E68:I68),0))</f>
        <v/>
      </c>
      <c r="K68" s="138">
        <f>IF(OR(C68="",J68=0),"",RANK(J68,$J$4:$J$103,0))</f>
        <v/>
      </c>
      <c r="L68" s="139">
        <f>IF(OR(D68="",J68=0),"",COUNTIFS($D$4:$D$103,D68,$J$4:$J$103,"&gt;"&amp;J68)+1)</f>
        <v/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9.5" customHeight="1" s="143">
      <c r="A69" s="1" t="n"/>
      <c r="B69" s="130">
        <f>'👥 Участники'!B69</f>
        <v/>
      </c>
      <c r="C69" s="38">
        <f>'👥 Участники'!C69</f>
        <v/>
      </c>
      <c r="D69" s="130">
        <f>'👥 Участники'!D69</f>
        <v/>
      </c>
      <c r="E69" s="130">
        <f>IFERROR(IF('👥 Участники'!C69="","",'❄️ Winter'!I69),"")</f>
        <v/>
      </c>
      <c r="F69" s="130">
        <f>IFERROR(IF('👥 Участники'!C69="","",'🌸 Spring'!I69),"")</f>
        <v/>
      </c>
      <c r="G69" s="130">
        <f>IFERROR(IF('👥 Участники'!C69="","",'☀️ Summer'!I69),"")</f>
        <v/>
      </c>
      <c r="H69" s="130">
        <f>IFERROR(IF('👥 Участники'!C69="","",'🍂 Autumn'!I69),"")</f>
        <v/>
      </c>
      <c r="I69" s="130">
        <f>IFERROR(IF('👥 Участники'!C69="","",'🔥 Final'!I69),"")</f>
        <v/>
      </c>
      <c r="J69" s="137">
        <f>IF(C69="","",IFERROR(SUM(E69:I69),0))</f>
        <v/>
      </c>
      <c r="K69" s="140">
        <f>IF(OR(C69="",J69=0),"",RANK(J69,$J$4:$J$103,0))</f>
        <v/>
      </c>
      <c r="L69" s="141">
        <f>IF(OR(D69="",J69=0),"",COUNTIFS($D$4:$D$103,D69,$J$4:$J$103,"&gt;"&amp;J69)+1)</f>
        <v/>
      </c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9.5" customHeight="1" s="143">
      <c r="A70" s="1" t="n"/>
      <c r="B70" s="131">
        <f>'👥 Участники'!B70</f>
        <v/>
      </c>
      <c r="C70" s="33">
        <f>'👥 Участники'!C70</f>
        <v/>
      </c>
      <c r="D70" s="131">
        <f>'👥 Участники'!D70</f>
        <v/>
      </c>
      <c r="E70" s="131">
        <f>IFERROR(IF('👥 Участники'!C70="","",'❄️ Winter'!I70),"")</f>
        <v/>
      </c>
      <c r="F70" s="131">
        <f>IFERROR(IF('👥 Участники'!C70="","",'🌸 Spring'!I70),"")</f>
        <v/>
      </c>
      <c r="G70" s="131">
        <f>IFERROR(IF('👥 Участники'!C70="","",'☀️ Summer'!I70),"")</f>
        <v/>
      </c>
      <c r="H70" s="131">
        <f>IFERROR(IF('👥 Участники'!C70="","",'🍂 Autumn'!I70),"")</f>
        <v/>
      </c>
      <c r="I70" s="131">
        <f>IFERROR(IF('👥 Участники'!C70="","",'🔥 Final'!I70),"")</f>
        <v/>
      </c>
      <c r="J70" s="36">
        <f>IF(C70="","",IFERROR(SUM(E70:I70),0))</f>
        <v/>
      </c>
      <c r="K70" s="138">
        <f>IF(OR(C70="",J70=0),"",RANK(J70,$J$4:$J$103,0))</f>
        <v/>
      </c>
      <c r="L70" s="139">
        <f>IF(OR(D70="",J70=0),"",COUNTIFS($D$4:$D$103,D70,$J$4:$J$103,"&gt;"&amp;J70)+1)</f>
        <v/>
      </c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9.5" customHeight="1" s="143">
      <c r="A71" s="1" t="n"/>
      <c r="B71" s="130">
        <f>'👥 Участники'!B71</f>
        <v/>
      </c>
      <c r="C71" s="38">
        <f>'👥 Участники'!C71</f>
        <v/>
      </c>
      <c r="D71" s="130">
        <f>'👥 Участники'!D71</f>
        <v/>
      </c>
      <c r="E71" s="130">
        <f>IFERROR(IF('👥 Участники'!C71="","",'❄️ Winter'!I71),"")</f>
        <v/>
      </c>
      <c r="F71" s="130">
        <f>IFERROR(IF('👥 Участники'!C71="","",'🌸 Spring'!I71),"")</f>
        <v/>
      </c>
      <c r="G71" s="130">
        <f>IFERROR(IF('👥 Участники'!C71="","",'☀️ Summer'!I71),"")</f>
        <v/>
      </c>
      <c r="H71" s="130">
        <f>IFERROR(IF('👥 Участники'!C71="","",'🍂 Autumn'!I71),"")</f>
        <v/>
      </c>
      <c r="I71" s="130">
        <f>IFERROR(IF('👥 Участники'!C71="","",'🔥 Final'!I71),"")</f>
        <v/>
      </c>
      <c r="J71" s="137">
        <f>IF(C71="","",IFERROR(SUM(E71:I71),0))</f>
        <v/>
      </c>
      <c r="K71" s="140">
        <f>IF(OR(C71="",J71=0),"",RANK(J71,$J$4:$J$103,0))</f>
        <v/>
      </c>
      <c r="L71" s="141">
        <f>IF(OR(D71="",J71=0),"",COUNTIFS($D$4:$D$103,D71,$J$4:$J$103,"&gt;"&amp;J71)+1)</f>
        <v/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9.5" customHeight="1" s="143">
      <c r="A72" s="1" t="n"/>
      <c r="B72" s="131">
        <f>'👥 Участники'!B72</f>
        <v/>
      </c>
      <c r="C72" s="33">
        <f>'👥 Участники'!C72</f>
        <v/>
      </c>
      <c r="D72" s="131">
        <f>'👥 Участники'!D72</f>
        <v/>
      </c>
      <c r="E72" s="131">
        <f>IFERROR(IF('👥 Участники'!C72="","",'❄️ Winter'!I72),"")</f>
        <v/>
      </c>
      <c r="F72" s="131">
        <f>IFERROR(IF('👥 Участники'!C72="","",'🌸 Spring'!I72),"")</f>
        <v/>
      </c>
      <c r="G72" s="131">
        <f>IFERROR(IF('👥 Участники'!C72="","",'☀️ Summer'!I72),"")</f>
        <v/>
      </c>
      <c r="H72" s="131">
        <f>IFERROR(IF('👥 Участники'!C72="","",'🍂 Autumn'!I72),"")</f>
        <v/>
      </c>
      <c r="I72" s="131">
        <f>IFERROR(IF('👥 Участники'!C72="","",'🔥 Final'!I72),"")</f>
        <v/>
      </c>
      <c r="J72" s="36">
        <f>IF(C72="","",IFERROR(SUM(E72:I72),0))</f>
        <v/>
      </c>
      <c r="K72" s="138">
        <f>IF(OR(C72="",J72=0),"",RANK(J72,$J$4:$J$103,0))</f>
        <v/>
      </c>
      <c r="L72" s="139">
        <f>IF(OR(D72="",J72=0),"",COUNTIFS($D$4:$D$103,D72,$J$4:$J$103,"&gt;"&amp;J72)+1)</f>
        <v/>
      </c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9.5" customHeight="1" s="143">
      <c r="A73" s="1" t="n"/>
      <c r="B73" s="130">
        <f>'👥 Участники'!B73</f>
        <v/>
      </c>
      <c r="C73" s="38">
        <f>'👥 Участники'!C73</f>
        <v/>
      </c>
      <c r="D73" s="130">
        <f>'👥 Участники'!D73</f>
        <v/>
      </c>
      <c r="E73" s="130">
        <f>IFERROR(IF('👥 Участники'!C73="","",'❄️ Winter'!I73),"")</f>
        <v/>
      </c>
      <c r="F73" s="130">
        <f>IFERROR(IF('👥 Участники'!C73="","",'🌸 Spring'!I73),"")</f>
        <v/>
      </c>
      <c r="G73" s="130">
        <f>IFERROR(IF('👥 Участники'!C73="","",'☀️ Summer'!I73),"")</f>
        <v/>
      </c>
      <c r="H73" s="130">
        <f>IFERROR(IF('👥 Участники'!C73="","",'🍂 Autumn'!I73),"")</f>
        <v/>
      </c>
      <c r="I73" s="130">
        <f>IFERROR(IF('👥 Участники'!C73="","",'🔥 Final'!I73),"")</f>
        <v/>
      </c>
      <c r="J73" s="137">
        <f>IF(C73="","",IFERROR(SUM(E73:I73),0))</f>
        <v/>
      </c>
      <c r="K73" s="140">
        <f>IF(OR(C73="",J73=0),"",RANK(J73,$J$4:$J$103,0))</f>
        <v/>
      </c>
      <c r="L73" s="141">
        <f>IF(OR(D73="",J73=0),"",COUNTIFS($D$4:$D$103,D73,$J$4:$J$103,"&gt;"&amp;J73)+1)</f>
        <v/>
      </c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9.5" customHeight="1" s="143">
      <c r="A74" s="1" t="n"/>
      <c r="B74" s="131">
        <f>'👥 Участники'!B74</f>
        <v/>
      </c>
      <c r="C74" s="33">
        <f>'👥 Участники'!C74</f>
        <v/>
      </c>
      <c r="D74" s="131">
        <f>'👥 Участники'!D74</f>
        <v/>
      </c>
      <c r="E74" s="131">
        <f>IFERROR(IF('👥 Участники'!C74="","",'❄️ Winter'!I74),"")</f>
        <v/>
      </c>
      <c r="F74" s="131">
        <f>IFERROR(IF('👥 Участники'!C74="","",'🌸 Spring'!I74),"")</f>
        <v/>
      </c>
      <c r="G74" s="131">
        <f>IFERROR(IF('👥 Участники'!C74="","",'☀️ Summer'!I74),"")</f>
        <v/>
      </c>
      <c r="H74" s="131">
        <f>IFERROR(IF('👥 Участники'!C74="","",'🍂 Autumn'!I74),"")</f>
        <v/>
      </c>
      <c r="I74" s="131">
        <f>IFERROR(IF('👥 Участники'!C74="","",'🔥 Final'!I74),"")</f>
        <v/>
      </c>
      <c r="J74" s="36">
        <f>IF(C74="","",IFERROR(SUM(E74:I74),0))</f>
        <v/>
      </c>
      <c r="K74" s="138">
        <f>IF(OR(C74="",J74=0),"",RANK(J74,$J$4:$J$103,0))</f>
        <v/>
      </c>
      <c r="L74" s="139">
        <f>IF(OR(D74="",J74=0),"",COUNTIFS($D$4:$D$103,D74,$J$4:$J$103,"&gt;"&amp;J74)+1)</f>
        <v/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9.5" customHeight="1" s="143">
      <c r="A75" s="1" t="n"/>
      <c r="B75" s="130">
        <f>'👥 Участники'!B75</f>
        <v/>
      </c>
      <c r="C75" s="38">
        <f>'👥 Участники'!C75</f>
        <v/>
      </c>
      <c r="D75" s="130">
        <f>'👥 Участники'!D75</f>
        <v/>
      </c>
      <c r="E75" s="130">
        <f>IFERROR(IF('👥 Участники'!C75="","",'❄️ Winter'!I75),"")</f>
        <v/>
      </c>
      <c r="F75" s="130">
        <f>IFERROR(IF('👥 Участники'!C75="","",'🌸 Spring'!I75),"")</f>
        <v/>
      </c>
      <c r="G75" s="130">
        <f>IFERROR(IF('👥 Участники'!C75="","",'☀️ Summer'!I75),"")</f>
        <v/>
      </c>
      <c r="H75" s="130">
        <f>IFERROR(IF('👥 Участники'!C75="","",'🍂 Autumn'!I75),"")</f>
        <v/>
      </c>
      <c r="I75" s="130">
        <f>IFERROR(IF('👥 Участники'!C75="","",'🔥 Final'!I75),"")</f>
        <v/>
      </c>
      <c r="J75" s="137">
        <f>IF(C75="","",IFERROR(SUM(E75:I75),0))</f>
        <v/>
      </c>
      <c r="K75" s="140">
        <f>IF(OR(C75="",J75=0),"",RANK(J75,$J$4:$J$103,0))</f>
        <v/>
      </c>
      <c r="L75" s="141">
        <f>IF(OR(D75="",J75=0),"",COUNTIFS($D$4:$D$103,D75,$J$4:$J$103,"&gt;"&amp;J75)+1)</f>
        <v/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143">
      <c r="A76" s="1" t="n"/>
      <c r="B76" s="131">
        <f>'👥 Участники'!B76</f>
        <v/>
      </c>
      <c r="C76" s="33">
        <f>'👥 Участники'!C76</f>
        <v/>
      </c>
      <c r="D76" s="131">
        <f>'👥 Участники'!D76</f>
        <v/>
      </c>
      <c r="E76" s="131">
        <f>IFERROR(IF('👥 Участники'!C76="","",'❄️ Winter'!I76),"")</f>
        <v/>
      </c>
      <c r="F76" s="131">
        <f>IFERROR(IF('👥 Участники'!C76="","",'🌸 Spring'!I76),"")</f>
        <v/>
      </c>
      <c r="G76" s="131">
        <f>IFERROR(IF('👥 Участники'!C76="","",'☀️ Summer'!I76),"")</f>
        <v/>
      </c>
      <c r="H76" s="131">
        <f>IFERROR(IF('👥 Участники'!C76="","",'🍂 Autumn'!I76),"")</f>
        <v/>
      </c>
      <c r="I76" s="131">
        <f>IFERROR(IF('👥 Участники'!C76="","",'🔥 Final'!I76),"")</f>
        <v/>
      </c>
      <c r="J76" s="36">
        <f>IF(C76="","",IFERROR(SUM(E76:I76),0))</f>
        <v/>
      </c>
      <c r="K76" s="138">
        <f>IF(OR(C76="",J76=0),"",RANK(J76,$J$4:$J$103,0))</f>
        <v/>
      </c>
      <c r="L76" s="139">
        <f>IF(OR(D76="",J76=0),"",COUNTIFS($D$4:$D$103,D76,$J$4:$J$103,"&gt;"&amp;J76)+1)</f>
        <v/>
      </c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143">
      <c r="A77" s="1" t="n"/>
      <c r="B77" s="130">
        <f>'👥 Участники'!B77</f>
        <v/>
      </c>
      <c r="C77" s="38">
        <f>'👥 Участники'!C77</f>
        <v/>
      </c>
      <c r="D77" s="130">
        <f>'👥 Участники'!D77</f>
        <v/>
      </c>
      <c r="E77" s="130">
        <f>IFERROR(IF('👥 Участники'!C77="","",'❄️ Winter'!I77),"")</f>
        <v/>
      </c>
      <c r="F77" s="130">
        <f>IFERROR(IF('👥 Участники'!C77="","",'🌸 Spring'!I77),"")</f>
        <v/>
      </c>
      <c r="G77" s="130">
        <f>IFERROR(IF('👥 Участники'!C77="","",'☀️ Summer'!I77),"")</f>
        <v/>
      </c>
      <c r="H77" s="130">
        <f>IFERROR(IF('👥 Участники'!C77="","",'🍂 Autumn'!I77),"")</f>
        <v/>
      </c>
      <c r="I77" s="130">
        <f>IFERROR(IF('👥 Участники'!C77="","",'🔥 Final'!I77),"")</f>
        <v/>
      </c>
      <c r="J77" s="137">
        <f>IF(C77="","",IFERROR(SUM(E77:I77),0))</f>
        <v/>
      </c>
      <c r="K77" s="140">
        <f>IF(OR(C77="",J77=0),"",RANK(J77,$J$4:$J$103,0))</f>
        <v/>
      </c>
      <c r="L77" s="141">
        <f>IF(OR(D77="",J77=0),"",COUNTIFS($D$4:$D$103,D77,$J$4:$J$103,"&gt;"&amp;J77)+1)</f>
        <v/>
      </c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143">
      <c r="A78" s="1" t="n"/>
      <c r="B78" s="131">
        <f>'👥 Участники'!B78</f>
        <v/>
      </c>
      <c r="C78" s="33">
        <f>'👥 Участники'!C78</f>
        <v/>
      </c>
      <c r="D78" s="131">
        <f>'👥 Участники'!D78</f>
        <v/>
      </c>
      <c r="E78" s="131">
        <f>IFERROR(IF('👥 Участники'!C78="","",'❄️ Winter'!I78),"")</f>
        <v/>
      </c>
      <c r="F78" s="131">
        <f>IFERROR(IF('👥 Участники'!C78="","",'🌸 Spring'!I78),"")</f>
        <v/>
      </c>
      <c r="G78" s="131">
        <f>IFERROR(IF('👥 Участники'!C78="","",'☀️ Summer'!I78),"")</f>
        <v/>
      </c>
      <c r="H78" s="131">
        <f>IFERROR(IF('👥 Участники'!C78="","",'🍂 Autumn'!I78),"")</f>
        <v/>
      </c>
      <c r="I78" s="131">
        <f>IFERROR(IF('👥 Участники'!C78="","",'🔥 Final'!I78),"")</f>
        <v/>
      </c>
      <c r="J78" s="36">
        <f>IF(C78="","",IFERROR(SUM(E78:I78),0))</f>
        <v/>
      </c>
      <c r="K78" s="138">
        <f>IF(OR(C78="",J78=0),"",RANK(J78,$J$4:$J$103,0))</f>
        <v/>
      </c>
      <c r="L78" s="139">
        <f>IF(OR(D78="",J78=0),"",COUNTIFS($D$4:$D$103,D78,$J$4:$J$103,"&gt;"&amp;J78)+1)</f>
        <v/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143">
      <c r="A79" s="1" t="n"/>
      <c r="B79" s="130">
        <f>'👥 Участники'!B79</f>
        <v/>
      </c>
      <c r="C79" s="38">
        <f>'👥 Участники'!C79</f>
        <v/>
      </c>
      <c r="D79" s="130">
        <f>'👥 Участники'!D79</f>
        <v/>
      </c>
      <c r="E79" s="130">
        <f>IFERROR(IF('👥 Участники'!C79="","",'❄️ Winter'!I79),"")</f>
        <v/>
      </c>
      <c r="F79" s="130">
        <f>IFERROR(IF('👥 Участники'!C79="","",'🌸 Spring'!I79),"")</f>
        <v/>
      </c>
      <c r="G79" s="130">
        <f>IFERROR(IF('👥 Участники'!C79="","",'☀️ Summer'!I79),"")</f>
        <v/>
      </c>
      <c r="H79" s="130">
        <f>IFERROR(IF('👥 Участники'!C79="","",'🍂 Autumn'!I79),"")</f>
        <v/>
      </c>
      <c r="I79" s="130">
        <f>IFERROR(IF('👥 Участники'!C79="","",'🔥 Final'!I79),"")</f>
        <v/>
      </c>
      <c r="J79" s="137">
        <f>IF(C79="","",IFERROR(SUM(E79:I79),0))</f>
        <v/>
      </c>
      <c r="K79" s="140">
        <f>IF(OR(C79="",J79=0),"",RANK(J79,$J$4:$J$103,0))</f>
        <v/>
      </c>
      <c r="L79" s="141">
        <f>IF(OR(D79="",J79=0),"",COUNTIFS($D$4:$D$103,D79,$J$4:$J$103,"&gt;"&amp;J79)+1)</f>
        <v/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143">
      <c r="A80" s="1" t="n"/>
      <c r="B80" s="131">
        <f>'👥 Участники'!B80</f>
        <v/>
      </c>
      <c r="C80" s="33">
        <f>'👥 Участники'!C80</f>
        <v/>
      </c>
      <c r="D80" s="131">
        <f>'👥 Участники'!D80</f>
        <v/>
      </c>
      <c r="E80" s="131">
        <f>IFERROR(IF('👥 Участники'!C80="","",'❄️ Winter'!I80),"")</f>
        <v/>
      </c>
      <c r="F80" s="131">
        <f>IFERROR(IF('👥 Участники'!C80="","",'🌸 Spring'!I80),"")</f>
        <v/>
      </c>
      <c r="G80" s="131">
        <f>IFERROR(IF('👥 Участники'!C80="","",'☀️ Summer'!I80),"")</f>
        <v/>
      </c>
      <c r="H80" s="131">
        <f>IFERROR(IF('👥 Участники'!C80="","",'🍂 Autumn'!I80),"")</f>
        <v/>
      </c>
      <c r="I80" s="131">
        <f>IFERROR(IF('👥 Участники'!C80="","",'🔥 Final'!I80),"")</f>
        <v/>
      </c>
      <c r="J80" s="36">
        <f>IF(C80="","",IFERROR(SUM(E80:I80),0))</f>
        <v/>
      </c>
      <c r="K80" s="138">
        <f>IF(OR(C80="",J80=0),"",RANK(J80,$J$4:$J$103,0))</f>
        <v/>
      </c>
      <c r="L80" s="139">
        <f>IF(OR(D80="",J80=0),"",COUNTIFS($D$4:$D$103,D80,$J$4:$J$103,"&gt;"&amp;J80)+1)</f>
        <v/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143">
      <c r="A81" s="1" t="n"/>
      <c r="B81" s="130">
        <f>'👥 Участники'!B81</f>
        <v/>
      </c>
      <c r="C81" s="38">
        <f>'👥 Участники'!C81</f>
        <v/>
      </c>
      <c r="D81" s="130">
        <f>'👥 Участники'!D81</f>
        <v/>
      </c>
      <c r="E81" s="130">
        <f>IFERROR(IF('👥 Участники'!C81="","",'❄️ Winter'!I81),"")</f>
        <v/>
      </c>
      <c r="F81" s="130">
        <f>IFERROR(IF('👥 Участники'!C81="","",'🌸 Spring'!I81),"")</f>
        <v/>
      </c>
      <c r="G81" s="130">
        <f>IFERROR(IF('👥 Участники'!C81="","",'☀️ Summer'!I81),"")</f>
        <v/>
      </c>
      <c r="H81" s="130">
        <f>IFERROR(IF('👥 Участники'!C81="","",'🍂 Autumn'!I81),"")</f>
        <v/>
      </c>
      <c r="I81" s="130">
        <f>IFERROR(IF('👥 Участники'!C81="","",'🔥 Final'!I81),"")</f>
        <v/>
      </c>
      <c r="J81" s="137">
        <f>IF(C81="","",IFERROR(SUM(E81:I81),0))</f>
        <v/>
      </c>
      <c r="K81" s="140">
        <f>IF(OR(C81="",J81=0),"",RANK(J81,$J$4:$J$103,0))</f>
        <v/>
      </c>
      <c r="L81" s="141">
        <f>IF(OR(D81="",J81=0),"",COUNTIFS($D$4:$D$103,D81,$J$4:$J$103,"&gt;"&amp;J81)+1)</f>
        <v/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9.5" customHeight="1" s="143">
      <c r="A82" s="1" t="n"/>
      <c r="B82" s="131">
        <f>'👥 Участники'!B82</f>
        <v/>
      </c>
      <c r="C82" s="33">
        <f>'👥 Участники'!C82</f>
        <v/>
      </c>
      <c r="D82" s="131">
        <f>'👥 Участники'!D82</f>
        <v/>
      </c>
      <c r="E82" s="131">
        <f>IFERROR(IF('👥 Участники'!C82="","",'❄️ Winter'!I82),"")</f>
        <v/>
      </c>
      <c r="F82" s="131">
        <f>IFERROR(IF('👥 Участники'!C82="","",'🌸 Spring'!I82),"")</f>
        <v/>
      </c>
      <c r="G82" s="131">
        <f>IFERROR(IF('👥 Участники'!C82="","",'☀️ Summer'!I82),"")</f>
        <v/>
      </c>
      <c r="H82" s="131">
        <f>IFERROR(IF('👥 Участники'!C82="","",'🍂 Autumn'!I82),"")</f>
        <v/>
      </c>
      <c r="I82" s="131">
        <f>IFERROR(IF('👥 Участники'!C82="","",'🔥 Final'!I82),"")</f>
        <v/>
      </c>
      <c r="J82" s="36">
        <f>IF(C82="","",IFERROR(SUM(E82:I82),0))</f>
        <v/>
      </c>
      <c r="K82" s="138">
        <f>IF(OR(C82="",J82=0),"",RANK(J82,$J$4:$J$103,0))</f>
        <v/>
      </c>
      <c r="L82" s="139">
        <f>IF(OR(D82="",J82=0),"",COUNTIFS($D$4:$D$103,D82,$J$4:$J$103,"&gt;"&amp;J82)+1)</f>
        <v/>
      </c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143">
      <c r="A83" s="1" t="n"/>
      <c r="B83" s="130">
        <f>'👥 Участники'!B83</f>
        <v/>
      </c>
      <c r="C83" s="38">
        <f>'👥 Участники'!C83</f>
        <v/>
      </c>
      <c r="D83" s="130">
        <f>'👥 Участники'!D83</f>
        <v/>
      </c>
      <c r="E83" s="130">
        <f>IFERROR(IF('👥 Участники'!C83="","",'❄️ Winter'!I83),"")</f>
        <v/>
      </c>
      <c r="F83" s="130">
        <f>IFERROR(IF('👥 Участники'!C83="","",'🌸 Spring'!I83),"")</f>
        <v/>
      </c>
      <c r="G83" s="130">
        <f>IFERROR(IF('👥 Участники'!C83="","",'☀️ Summer'!I83),"")</f>
        <v/>
      </c>
      <c r="H83" s="130">
        <f>IFERROR(IF('👥 Участники'!C83="","",'🍂 Autumn'!I83),"")</f>
        <v/>
      </c>
      <c r="I83" s="130">
        <f>IFERROR(IF('👥 Участники'!C83="","",'🔥 Final'!I83),"")</f>
        <v/>
      </c>
      <c r="J83" s="137">
        <f>IF(C83="","",IFERROR(SUM(E83:I83),0))</f>
        <v/>
      </c>
      <c r="K83" s="140">
        <f>IF(OR(C83="",J83=0),"",RANK(J83,$J$4:$J$103,0))</f>
        <v/>
      </c>
      <c r="L83" s="141">
        <f>IF(OR(D83="",J83=0),"",COUNTIFS($D$4:$D$103,D83,$J$4:$J$103,"&gt;"&amp;J83)+1)</f>
        <v/>
      </c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143">
      <c r="A84" s="1" t="n"/>
      <c r="B84" s="131">
        <f>'👥 Участники'!B84</f>
        <v/>
      </c>
      <c r="C84" s="33">
        <f>'👥 Участники'!C84</f>
        <v/>
      </c>
      <c r="D84" s="131">
        <f>'👥 Участники'!D84</f>
        <v/>
      </c>
      <c r="E84" s="131">
        <f>IFERROR(IF('👥 Участники'!C84="","",'❄️ Winter'!I84),"")</f>
        <v/>
      </c>
      <c r="F84" s="131">
        <f>IFERROR(IF('👥 Участники'!C84="","",'🌸 Spring'!I84),"")</f>
        <v/>
      </c>
      <c r="G84" s="131">
        <f>IFERROR(IF('👥 Участники'!C84="","",'☀️ Summer'!I84),"")</f>
        <v/>
      </c>
      <c r="H84" s="131">
        <f>IFERROR(IF('👥 Участники'!C84="","",'🍂 Autumn'!I84),"")</f>
        <v/>
      </c>
      <c r="I84" s="131">
        <f>IFERROR(IF('👥 Участники'!C84="","",'🔥 Final'!I84),"")</f>
        <v/>
      </c>
      <c r="J84" s="36">
        <f>IF(C84="","",IFERROR(SUM(E84:I84),0))</f>
        <v/>
      </c>
      <c r="K84" s="138">
        <f>IF(OR(C84="",J84=0),"",RANK(J84,$J$4:$J$103,0))</f>
        <v/>
      </c>
      <c r="L84" s="139">
        <f>IF(OR(D84="",J84=0),"",COUNTIFS($D$4:$D$103,D84,$J$4:$J$103,"&gt;"&amp;J84)+1)</f>
        <v/>
      </c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9.5" customHeight="1" s="143">
      <c r="A85" s="1" t="n"/>
      <c r="B85" s="130">
        <f>'👥 Участники'!B85</f>
        <v/>
      </c>
      <c r="C85" s="38">
        <f>'👥 Участники'!C85</f>
        <v/>
      </c>
      <c r="D85" s="130">
        <f>'👥 Участники'!D85</f>
        <v/>
      </c>
      <c r="E85" s="130">
        <f>IFERROR(IF('👥 Участники'!C85="","",'❄️ Winter'!I85),"")</f>
        <v/>
      </c>
      <c r="F85" s="130">
        <f>IFERROR(IF('👥 Участники'!C85="","",'🌸 Spring'!I85),"")</f>
        <v/>
      </c>
      <c r="G85" s="130">
        <f>IFERROR(IF('👥 Участники'!C85="","",'☀️ Summer'!I85),"")</f>
        <v/>
      </c>
      <c r="H85" s="130">
        <f>IFERROR(IF('👥 Участники'!C85="","",'🍂 Autumn'!I85),"")</f>
        <v/>
      </c>
      <c r="I85" s="130">
        <f>IFERROR(IF('👥 Участники'!C85="","",'🔥 Final'!I85),"")</f>
        <v/>
      </c>
      <c r="J85" s="137">
        <f>IF(C85="","",IFERROR(SUM(E85:I85),0))</f>
        <v/>
      </c>
      <c r="K85" s="140">
        <f>IF(OR(C85="",J85=0),"",RANK(J85,$J$4:$J$103,0))</f>
        <v/>
      </c>
      <c r="L85" s="141">
        <f>IF(OR(D85="",J85=0),"",COUNTIFS($D$4:$D$103,D85,$J$4:$J$103,"&gt;"&amp;J85)+1)</f>
        <v/>
      </c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9.5" customHeight="1" s="143">
      <c r="A86" s="1" t="n"/>
      <c r="B86" s="131">
        <f>'👥 Участники'!B86</f>
        <v/>
      </c>
      <c r="C86" s="33">
        <f>'👥 Участники'!C86</f>
        <v/>
      </c>
      <c r="D86" s="131">
        <f>'👥 Участники'!D86</f>
        <v/>
      </c>
      <c r="E86" s="131">
        <f>IFERROR(IF('👥 Участники'!C86="","",'❄️ Winter'!I86),"")</f>
        <v/>
      </c>
      <c r="F86" s="131">
        <f>IFERROR(IF('👥 Участники'!C86="","",'🌸 Spring'!I86),"")</f>
        <v/>
      </c>
      <c r="G86" s="131">
        <f>IFERROR(IF('👥 Участники'!C86="","",'☀️ Summer'!I86),"")</f>
        <v/>
      </c>
      <c r="H86" s="131">
        <f>IFERROR(IF('👥 Участники'!C86="","",'🍂 Autumn'!I86),"")</f>
        <v/>
      </c>
      <c r="I86" s="131">
        <f>IFERROR(IF('👥 Участники'!C86="","",'🔥 Final'!I86),"")</f>
        <v/>
      </c>
      <c r="J86" s="36">
        <f>IF(C86="","",IFERROR(SUM(E86:I86),0))</f>
        <v/>
      </c>
      <c r="K86" s="138">
        <f>IF(OR(C86="",J86=0),"",RANK(J86,$J$4:$J$103,0))</f>
        <v/>
      </c>
      <c r="L86" s="139">
        <f>IF(OR(D86="",J86=0),"",COUNTIFS($D$4:$D$103,D86,$J$4:$J$103,"&gt;"&amp;J86)+1)</f>
        <v/>
      </c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9.5" customHeight="1" s="143">
      <c r="A87" s="1" t="n"/>
      <c r="B87" s="130">
        <f>'👥 Участники'!B87</f>
        <v/>
      </c>
      <c r="C87" s="38">
        <f>'👥 Участники'!C87</f>
        <v/>
      </c>
      <c r="D87" s="130">
        <f>'👥 Участники'!D87</f>
        <v/>
      </c>
      <c r="E87" s="130">
        <f>IFERROR(IF('👥 Участники'!C87="","",'❄️ Winter'!I87),"")</f>
        <v/>
      </c>
      <c r="F87" s="130">
        <f>IFERROR(IF('👥 Участники'!C87="","",'🌸 Spring'!I87),"")</f>
        <v/>
      </c>
      <c r="G87" s="130">
        <f>IFERROR(IF('👥 Участники'!C87="","",'☀️ Summer'!I87),"")</f>
        <v/>
      </c>
      <c r="H87" s="130">
        <f>IFERROR(IF('👥 Участники'!C87="","",'🍂 Autumn'!I87),"")</f>
        <v/>
      </c>
      <c r="I87" s="130">
        <f>IFERROR(IF('👥 Участники'!C87="","",'🔥 Final'!I87),"")</f>
        <v/>
      </c>
      <c r="J87" s="137">
        <f>IF(C87="","",IFERROR(SUM(E87:I87),0))</f>
        <v/>
      </c>
      <c r="K87" s="140">
        <f>IF(OR(C87="",J87=0),"",RANK(J87,$J$4:$J$103,0))</f>
        <v/>
      </c>
      <c r="L87" s="141">
        <f>IF(OR(D87="",J87=0),"",COUNTIFS($D$4:$D$103,D87,$J$4:$J$103,"&gt;"&amp;J87)+1)</f>
        <v/>
      </c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9.5" customHeight="1" s="143">
      <c r="A88" s="1" t="n"/>
      <c r="B88" s="131">
        <f>'👥 Участники'!B88</f>
        <v/>
      </c>
      <c r="C88" s="33">
        <f>'👥 Участники'!C88</f>
        <v/>
      </c>
      <c r="D88" s="131">
        <f>'👥 Участники'!D88</f>
        <v/>
      </c>
      <c r="E88" s="131">
        <f>IFERROR(IF('👥 Участники'!C88="","",'❄️ Winter'!I88),"")</f>
        <v/>
      </c>
      <c r="F88" s="131">
        <f>IFERROR(IF('👥 Участники'!C88="","",'🌸 Spring'!I88),"")</f>
        <v/>
      </c>
      <c r="G88" s="131">
        <f>IFERROR(IF('👥 Участники'!C88="","",'☀️ Summer'!I88),"")</f>
        <v/>
      </c>
      <c r="H88" s="131">
        <f>IFERROR(IF('👥 Участники'!C88="","",'🍂 Autumn'!I88),"")</f>
        <v/>
      </c>
      <c r="I88" s="131">
        <f>IFERROR(IF('👥 Участники'!C88="","",'🔥 Final'!I88),"")</f>
        <v/>
      </c>
      <c r="J88" s="36">
        <f>IF(C88="","",IFERROR(SUM(E88:I88),0))</f>
        <v/>
      </c>
      <c r="K88" s="138">
        <f>IF(OR(C88="",J88=0),"",RANK(J88,$J$4:$J$103,0))</f>
        <v/>
      </c>
      <c r="L88" s="139">
        <f>IF(OR(D88="",J88=0),"",COUNTIFS($D$4:$D$103,D88,$J$4:$J$103,"&gt;"&amp;J88)+1)</f>
        <v/>
      </c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9.5" customHeight="1" s="143">
      <c r="A89" s="1" t="n"/>
      <c r="B89" s="130">
        <f>'👥 Участники'!B89</f>
        <v/>
      </c>
      <c r="C89" s="38">
        <f>'👥 Участники'!C89</f>
        <v/>
      </c>
      <c r="D89" s="130">
        <f>'👥 Участники'!D89</f>
        <v/>
      </c>
      <c r="E89" s="130">
        <f>IFERROR(IF('👥 Участники'!C89="","",'❄️ Winter'!I89),"")</f>
        <v/>
      </c>
      <c r="F89" s="130">
        <f>IFERROR(IF('👥 Участники'!C89="","",'🌸 Spring'!I89),"")</f>
        <v/>
      </c>
      <c r="G89" s="130">
        <f>IFERROR(IF('👥 Участники'!C89="","",'☀️ Summer'!I89),"")</f>
        <v/>
      </c>
      <c r="H89" s="130">
        <f>IFERROR(IF('👥 Участники'!C89="","",'🍂 Autumn'!I89),"")</f>
        <v/>
      </c>
      <c r="I89" s="130">
        <f>IFERROR(IF('👥 Участники'!C89="","",'🔥 Final'!I89),"")</f>
        <v/>
      </c>
      <c r="J89" s="137">
        <f>IF(C89="","",IFERROR(SUM(E89:I89),0))</f>
        <v/>
      </c>
      <c r="K89" s="140">
        <f>IF(OR(C89="",J89=0),"",RANK(J89,$J$4:$J$103,0))</f>
        <v/>
      </c>
      <c r="L89" s="141">
        <f>IF(OR(D89="",J89=0),"",COUNTIFS($D$4:$D$103,D89,$J$4:$J$103,"&gt;"&amp;J89)+1)</f>
        <v/>
      </c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9.5" customHeight="1" s="143">
      <c r="A90" s="1" t="n"/>
      <c r="B90" s="131">
        <f>'👥 Участники'!B90</f>
        <v/>
      </c>
      <c r="C90" s="33">
        <f>'👥 Участники'!C90</f>
        <v/>
      </c>
      <c r="D90" s="131">
        <f>'👥 Участники'!D90</f>
        <v/>
      </c>
      <c r="E90" s="131">
        <f>IFERROR(IF('👥 Участники'!C90="","",'❄️ Winter'!I90),"")</f>
        <v/>
      </c>
      <c r="F90" s="131">
        <f>IFERROR(IF('👥 Участники'!C90="","",'🌸 Spring'!I90),"")</f>
        <v/>
      </c>
      <c r="G90" s="131">
        <f>IFERROR(IF('👥 Участники'!C90="","",'☀️ Summer'!I90),"")</f>
        <v/>
      </c>
      <c r="H90" s="131">
        <f>IFERROR(IF('👥 Участники'!C90="","",'🍂 Autumn'!I90),"")</f>
        <v/>
      </c>
      <c r="I90" s="131">
        <f>IFERROR(IF('👥 Участники'!C90="","",'🔥 Final'!I90),"")</f>
        <v/>
      </c>
      <c r="J90" s="36">
        <f>IF(C90="","",IFERROR(SUM(E90:I90),0))</f>
        <v/>
      </c>
      <c r="K90" s="138">
        <f>IF(OR(C90="",J90=0),"",RANK(J90,$J$4:$J$103,0))</f>
        <v/>
      </c>
      <c r="L90" s="139">
        <f>IF(OR(D90="",J90=0),"",COUNTIFS($D$4:$D$103,D90,$J$4:$J$103,"&gt;"&amp;J90)+1)</f>
        <v/>
      </c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9.5" customHeight="1" s="143">
      <c r="A91" s="1" t="n"/>
      <c r="B91" s="130">
        <f>'👥 Участники'!B91</f>
        <v/>
      </c>
      <c r="C91" s="38">
        <f>'👥 Участники'!C91</f>
        <v/>
      </c>
      <c r="D91" s="130">
        <f>'👥 Участники'!D91</f>
        <v/>
      </c>
      <c r="E91" s="130">
        <f>IFERROR(IF('👥 Участники'!C91="","",'❄️ Winter'!I91),"")</f>
        <v/>
      </c>
      <c r="F91" s="130">
        <f>IFERROR(IF('👥 Участники'!C91="","",'🌸 Spring'!I91),"")</f>
        <v/>
      </c>
      <c r="G91" s="130">
        <f>IFERROR(IF('👥 Участники'!C91="","",'☀️ Summer'!I91),"")</f>
        <v/>
      </c>
      <c r="H91" s="130">
        <f>IFERROR(IF('👥 Участники'!C91="","",'🍂 Autumn'!I91),"")</f>
        <v/>
      </c>
      <c r="I91" s="130">
        <f>IFERROR(IF('👥 Участники'!C91="","",'🔥 Final'!I91),"")</f>
        <v/>
      </c>
      <c r="J91" s="137">
        <f>IF(C91="","",IFERROR(SUM(E91:I91),0))</f>
        <v/>
      </c>
      <c r="K91" s="140">
        <f>IF(OR(C91="",J91=0),"",RANK(J91,$J$4:$J$103,0))</f>
        <v/>
      </c>
      <c r="L91" s="141">
        <f>IF(OR(D91="",J91=0),"",COUNTIFS($D$4:$D$103,D91,$J$4:$J$103,"&gt;"&amp;J91)+1)</f>
        <v/>
      </c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9.5" customHeight="1" s="143">
      <c r="A92" s="1" t="n"/>
      <c r="B92" s="131">
        <f>'👥 Участники'!B92</f>
        <v/>
      </c>
      <c r="C92" s="33">
        <f>'👥 Участники'!C92</f>
        <v/>
      </c>
      <c r="D92" s="131">
        <f>'👥 Участники'!D92</f>
        <v/>
      </c>
      <c r="E92" s="131">
        <f>IFERROR(IF('👥 Участники'!C92="","",'❄️ Winter'!I92),"")</f>
        <v/>
      </c>
      <c r="F92" s="131">
        <f>IFERROR(IF('👥 Участники'!C92="","",'🌸 Spring'!I92),"")</f>
        <v/>
      </c>
      <c r="G92" s="131">
        <f>IFERROR(IF('👥 Участники'!C92="","",'☀️ Summer'!I92),"")</f>
        <v/>
      </c>
      <c r="H92" s="131">
        <f>IFERROR(IF('👥 Участники'!C92="","",'🍂 Autumn'!I92),"")</f>
        <v/>
      </c>
      <c r="I92" s="131">
        <f>IFERROR(IF('👥 Участники'!C92="","",'🔥 Final'!I92),"")</f>
        <v/>
      </c>
      <c r="J92" s="36">
        <f>IF(C92="","",IFERROR(SUM(E92:I92),0))</f>
        <v/>
      </c>
      <c r="K92" s="138">
        <f>IF(OR(C92="",J92=0),"",RANK(J92,$J$4:$J$103,0))</f>
        <v/>
      </c>
      <c r="L92" s="139">
        <f>IF(OR(D92="",J92=0),"",COUNTIFS($D$4:$D$103,D92,$J$4:$J$103,"&gt;"&amp;J92)+1)</f>
        <v/>
      </c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9.5" customHeight="1" s="143">
      <c r="A93" s="1" t="n"/>
      <c r="B93" s="130">
        <f>'👥 Участники'!B93</f>
        <v/>
      </c>
      <c r="C93" s="38">
        <f>'👥 Участники'!C93</f>
        <v/>
      </c>
      <c r="D93" s="130">
        <f>'👥 Участники'!D93</f>
        <v/>
      </c>
      <c r="E93" s="130">
        <f>IFERROR(IF('👥 Участники'!C93="","",'❄️ Winter'!I93),"")</f>
        <v/>
      </c>
      <c r="F93" s="130">
        <f>IFERROR(IF('👥 Участники'!C93="","",'🌸 Spring'!I93),"")</f>
        <v/>
      </c>
      <c r="G93" s="130">
        <f>IFERROR(IF('👥 Участники'!C93="","",'☀️ Summer'!I93),"")</f>
        <v/>
      </c>
      <c r="H93" s="130">
        <f>IFERROR(IF('👥 Участники'!C93="","",'🍂 Autumn'!I93),"")</f>
        <v/>
      </c>
      <c r="I93" s="130">
        <f>IFERROR(IF('👥 Участники'!C93="","",'🔥 Final'!I93),"")</f>
        <v/>
      </c>
      <c r="J93" s="137">
        <f>IF(C93="","",IFERROR(SUM(E93:I93),0))</f>
        <v/>
      </c>
      <c r="K93" s="140">
        <f>IF(OR(C93="",J93=0),"",RANK(J93,$J$4:$J$103,0))</f>
        <v/>
      </c>
      <c r="L93" s="141">
        <f>IF(OR(D93="",J93=0),"",COUNTIFS($D$4:$D$103,D93,$J$4:$J$103,"&gt;"&amp;J93)+1)</f>
        <v/>
      </c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9.5" customHeight="1" s="143">
      <c r="A94" s="1" t="n"/>
      <c r="B94" s="131">
        <f>'👥 Участники'!B94</f>
        <v/>
      </c>
      <c r="C94" s="33">
        <f>'👥 Участники'!C94</f>
        <v/>
      </c>
      <c r="D94" s="131">
        <f>'👥 Участники'!D94</f>
        <v/>
      </c>
      <c r="E94" s="131">
        <f>IFERROR(IF('👥 Участники'!C94="","",'❄️ Winter'!I94),"")</f>
        <v/>
      </c>
      <c r="F94" s="131">
        <f>IFERROR(IF('👥 Участники'!C94="","",'🌸 Spring'!I94),"")</f>
        <v/>
      </c>
      <c r="G94" s="131">
        <f>IFERROR(IF('👥 Участники'!C94="","",'☀️ Summer'!I94),"")</f>
        <v/>
      </c>
      <c r="H94" s="131">
        <f>IFERROR(IF('👥 Участники'!C94="","",'🍂 Autumn'!I94),"")</f>
        <v/>
      </c>
      <c r="I94" s="131">
        <f>IFERROR(IF('👥 Участники'!C94="","",'🔥 Final'!I94),"")</f>
        <v/>
      </c>
      <c r="J94" s="36">
        <f>IF(C94="","",IFERROR(SUM(E94:I94),0))</f>
        <v/>
      </c>
      <c r="K94" s="138">
        <f>IF(OR(C94="",J94=0),"",RANK(J94,$J$4:$J$103,0))</f>
        <v/>
      </c>
      <c r="L94" s="139">
        <f>IF(OR(D94="",J94=0),"",COUNTIFS($D$4:$D$103,D94,$J$4:$J$103,"&gt;"&amp;J94)+1)</f>
        <v/>
      </c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9.5" customHeight="1" s="143">
      <c r="A95" s="1" t="n"/>
      <c r="B95" s="130">
        <f>'👥 Участники'!B95</f>
        <v/>
      </c>
      <c r="C95" s="38">
        <f>'👥 Участники'!C95</f>
        <v/>
      </c>
      <c r="D95" s="130">
        <f>'👥 Участники'!D95</f>
        <v/>
      </c>
      <c r="E95" s="130">
        <f>IFERROR(IF('👥 Участники'!C95="","",'❄️ Winter'!I95),"")</f>
        <v/>
      </c>
      <c r="F95" s="130">
        <f>IFERROR(IF('👥 Участники'!C95="","",'🌸 Spring'!I95),"")</f>
        <v/>
      </c>
      <c r="G95" s="130">
        <f>IFERROR(IF('👥 Участники'!C95="","",'☀️ Summer'!I95),"")</f>
        <v/>
      </c>
      <c r="H95" s="130">
        <f>IFERROR(IF('👥 Участники'!C95="","",'🍂 Autumn'!I95),"")</f>
        <v/>
      </c>
      <c r="I95" s="130">
        <f>IFERROR(IF('👥 Участники'!C95="","",'🔥 Final'!I95),"")</f>
        <v/>
      </c>
      <c r="J95" s="137">
        <f>IF(C95="","",IFERROR(SUM(E95:I95),0))</f>
        <v/>
      </c>
      <c r="K95" s="140">
        <f>IF(OR(C95="",J95=0),"",RANK(J95,$J$4:$J$103,0))</f>
        <v/>
      </c>
      <c r="L95" s="141">
        <f>IF(OR(D95="",J95=0),"",COUNTIFS($D$4:$D$103,D95,$J$4:$J$103,"&gt;"&amp;J95)+1)</f>
        <v/>
      </c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9.5" customHeight="1" s="143">
      <c r="A96" s="1" t="n"/>
      <c r="B96" s="131">
        <f>'👥 Участники'!B96</f>
        <v/>
      </c>
      <c r="C96" s="33">
        <f>'👥 Участники'!C96</f>
        <v/>
      </c>
      <c r="D96" s="131">
        <f>'👥 Участники'!D96</f>
        <v/>
      </c>
      <c r="E96" s="131">
        <f>IFERROR(IF('👥 Участники'!C96="","",'❄️ Winter'!I96),"")</f>
        <v/>
      </c>
      <c r="F96" s="131">
        <f>IFERROR(IF('👥 Участники'!C96="","",'🌸 Spring'!I96),"")</f>
        <v/>
      </c>
      <c r="G96" s="131">
        <f>IFERROR(IF('👥 Участники'!C96="","",'☀️ Summer'!I96),"")</f>
        <v/>
      </c>
      <c r="H96" s="131">
        <f>IFERROR(IF('👥 Участники'!C96="","",'🍂 Autumn'!I96),"")</f>
        <v/>
      </c>
      <c r="I96" s="131">
        <f>IFERROR(IF('👥 Участники'!C96="","",'🔥 Final'!I96),"")</f>
        <v/>
      </c>
      <c r="J96" s="36">
        <f>IF(C96="","",IFERROR(SUM(E96:I96),0))</f>
        <v/>
      </c>
      <c r="K96" s="138">
        <f>IF(OR(C96="",J96=0),"",RANK(J96,$J$4:$J$103,0))</f>
        <v/>
      </c>
      <c r="L96" s="139">
        <f>IF(OR(D96="",J96=0),"",COUNTIFS($D$4:$D$103,D96,$J$4:$J$103,"&gt;"&amp;J96)+1)</f>
        <v/>
      </c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9.5" customHeight="1" s="143">
      <c r="A97" s="1" t="n"/>
      <c r="B97" s="130">
        <f>'👥 Участники'!B97</f>
        <v/>
      </c>
      <c r="C97" s="38">
        <f>'👥 Участники'!C97</f>
        <v/>
      </c>
      <c r="D97" s="130">
        <f>'👥 Участники'!D97</f>
        <v/>
      </c>
      <c r="E97" s="130">
        <f>IFERROR(IF('👥 Участники'!C97="","",'❄️ Winter'!I97),"")</f>
        <v/>
      </c>
      <c r="F97" s="130">
        <f>IFERROR(IF('👥 Участники'!C97="","",'🌸 Spring'!I97),"")</f>
        <v/>
      </c>
      <c r="G97" s="130">
        <f>IFERROR(IF('👥 Участники'!C97="","",'☀️ Summer'!I97),"")</f>
        <v/>
      </c>
      <c r="H97" s="130">
        <f>IFERROR(IF('👥 Участники'!C97="","",'🍂 Autumn'!I97),"")</f>
        <v/>
      </c>
      <c r="I97" s="130">
        <f>IFERROR(IF('👥 Участники'!C97="","",'🔥 Final'!I97),"")</f>
        <v/>
      </c>
      <c r="J97" s="137">
        <f>IF(C97="","",IFERROR(SUM(E97:I97),0))</f>
        <v/>
      </c>
      <c r="K97" s="140">
        <f>IF(OR(C97="",J97=0),"",RANK(J97,$J$4:$J$103,0))</f>
        <v/>
      </c>
      <c r="L97" s="141">
        <f>IF(OR(D97="",J97=0),"",COUNTIFS($D$4:$D$103,D97,$J$4:$J$103,"&gt;"&amp;J97)+1)</f>
        <v/>
      </c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9.5" customHeight="1" s="143">
      <c r="A98" s="1" t="n"/>
      <c r="B98" s="131">
        <f>'👥 Участники'!B98</f>
        <v/>
      </c>
      <c r="C98" s="33">
        <f>'👥 Участники'!C98</f>
        <v/>
      </c>
      <c r="D98" s="131">
        <f>'👥 Участники'!D98</f>
        <v/>
      </c>
      <c r="E98" s="131">
        <f>IFERROR(IF('👥 Участники'!C98="","",'❄️ Winter'!I98),"")</f>
        <v/>
      </c>
      <c r="F98" s="131">
        <f>IFERROR(IF('👥 Участники'!C98="","",'🌸 Spring'!I98),"")</f>
        <v/>
      </c>
      <c r="G98" s="131">
        <f>IFERROR(IF('👥 Участники'!C98="","",'☀️ Summer'!I98),"")</f>
        <v/>
      </c>
      <c r="H98" s="131">
        <f>IFERROR(IF('👥 Участники'!C98="","",'🍂 Autumn'!I98),"")</f>
        <v/>
      </c>
      <c r="I98" s="131">
        <f>IFERROR(IF('👥 Участники'!C98="","",'🔥 Final'!I98),"")</f>
        <v/>
      </c>
      <c r="J98" s="36">
        <f>IF(C98="","",IFERROR(SUM(E98:I98),0))</f>
        <v/>
      </c>
      <c r="K98" s="138">
        <f>IF(OR(C98="",J98=0),"",RANK(J98,$J$4:$J$103,0))</f>
        <v/>
      </c>
      <c r="L98" s="139">
        <f>IF(OR(D98="",J98=0),"",COUNTIFS($D$4:$D$103,D98,$J$4:$J$103,"&gt;"&amp;J98)+1)</f>
        <v/>
      </c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9.5" customHeight="1" s="143">
      <c r="A99" s="1" t="n"/>
      <c r="B99" s="130">
        <f>'👥 Участники'!B99</f>
        <v/>
      </c>
      <c r="C99" s="38">
        <f>'👥 Участники'!C99</f>
        <v/>
      </c>
      <c r="D99" s="130">
        <f>'👥 Участники'!D99</f>
        <v/>
      </c>
      <c r="E99" s="130">
        <f>IFERROR(IF('👥 Участники'!C99="","",'❄️ Winter'!I99),"")</f>
        <v/>
      </c>
      <c r="F99" s="130">
        <f>IFERROR(IF('👥 Участники'!C99="","",'🌸 Spring'!I99),"")</f>
        <v/>
      </c>
      <c r="G99" s="130">
        <f>IFERROR(IF('👥 Участники'!C99="","",'☀️ Summer'!I99),"")</f>
        <v/>
      </c>
      <c r="H99" s="130">
        <f>IFERROR(IF('👥 Участники'!C99="","",'🍂 Autumn'!I99),"")</f>
        <v/>
      </c>
      <c r="I99" s="130">
        <f>IFERROR(IF('👥 Участники'!C99="","",'🔥 Final'!I99),"")</f>
        <v/>
      </c>
      <c r="J99" s="137">
        <f>IF(C99="","",IFERROR(SUM(E99:I99),0))</f>
        <v/>
      </c>
      <c r="K99" s="140">
        <f>IF(OR(C99="",J99=0),"",RANK(J99,$J$4:$J$103,0))</f>
        <v/>
      </c>
      <c r="L99" s="141">
        <f>IF(OR(D99="",J99=0),"",COUNTIFS($D$4:$D$103,D99,$J$4:$J$103,"&gt;"&amp;J99)+1)</f>
        <v/>
      </c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9.5" customHeight="1" s="143">
      <c r="A100" s="1" t="n"/>
      <c r="B100" s="131">
        <f>'👥 Участники'!B100</f>
        <v/>
      </c>
      <c r="C100" s="33">
        <f>'👥 Участники'!C100</f>
        <v/>
      </c>
      <c r="D100" s="131">
        <f>'👥 Участники'!D100</f>
        <v/>
      </c>
      <c r="E100" s="131">
        <f>IFERROR(IF('👥 Участники'!C100="","",'❄️ Winter'!I100),"")</f>
        <v/>
      </c>
      <c r="F100" s="131">
        <f>IFERROR(IF('👥 Участники'!C100="","",'🌸 Spring'!I100),"")</f>
        <v/>
      </c>
      <c r="G100" s="131">
        <f>IFERROR(IF('👥 Участники'!C100="","",'☀️ Summer'!I100),"")</f>
        <v/>
      </c>
      <c r="H100" s="131">
        <f>IFERROR(IF('👥 Участники'!C100="","",'🍂 Autumn'!I100),"")</f>
        <v/>
      </c>
      <c r="I100" s="131">
        <f>IFERROR(IF('👥 Участники'!C100="","",'🔥 Final'!I100),"")</f>
        <v/>
      </c>
      <c r="J100" s="36">
        <f>IF(C100="","",IFERROR(SUM(E100:I100),0))</f>
        <v/>
      </c>
      <c r="K100" s="138">
        <f>IF(OR(C100="",J100=0),"",RANK(J100,$J$4:$J$103,0))</f>
        <v/>
      </c>
      <c r="L100" s="139">
        <f>IF(OR(D100="",J100=0),"",COUNTIFS($D$4:$D$103,D100,$J$4:$J$103,"&gt;"&amp;J100)+1)</f>
        <v/>
      </c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9.5" customHeight="1" s="143">
      <c r="A101" s="1" t="n"/>
      <c r="B101" s="130">
        <f>'👥 Участники'!B101</f>
        <v/>
      </c>
      <c r="C101" s="38">
        <f>'👥 Участники'!C101</f>
        <v/>
      </c>
      <c r="D101" s="130">
        <f>'👥 Участники'!D101</f>
        <v/>
      </c>
      <c r="E101" s="130">
        <f>IFERROR(IF('👥 Участники'!C101="","",'❄️ Winter'!I101),"")</f>
        <v/>
      </c>
      <c r="F101" s="130">
        <f>IFERROR(IF('👥 Участники'!C101="","",'🌸 Spring'!I101),"")</f>
        <v/>
      </c>
      <c r="G101" s="130">
        <f>IFERROR(IF('👥 Участники'!C101="","",'☀️ Summer'!I101),"")</f>
        <v/>
      </c>
      <c r="H101" s="130">
        <f>IFERROR(IF('👥 Участники'!C101="","",'🍂 Autumn'!I101),"")</f>
        <v/>
      </c>
      <c r="I101" s="130">
        <f>IFERROR(IF('👥 Участники'!C101="","",'🔥 Final'!I101),"")</f>
        <v/>
      </c>
      <c r="J101" s="137">
        <f>IF(C101="","",IFERROR(SUM(E101:I101),0))</f>
        <v/>
      </c>
      <c r="K101" s="140">
        <f>IF(OR(C101="",J101=0),"",RANK(J101,$J$4:$J$103,0))</f>
        <v/>
      </c>
      <c r="L101" s="141">
        <f>IF(OR(D101="",J101=0),"",COUNTIFS($D$4:$D$103,D101,$J$4:$J$103,"&gt;"&amp;J101)+1)</f>
        <v/>
      </c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9.5" customHeight="1" s="143">
      <c r="A102" s="1" t="n"/>
      <c r="B102" s="131">
        <f>'👥 Участники'!B102</f>
        <v/>
      </c>
      <c r="C102" s="33">
        <f>'👥 Участники'!C102</f>
        <v/>
      </c>
      <c r="D102" s="131">
        <f>'👥 Участники'!D102</f>
        <v/>
      </c>
      <c r="E102" s="131">
        <f>IFERROR(IF('👥 Участники'!C102="","",'❄️ Winter'!I102),"")</f>
        <v/>
      </c>
      <c r="F102" s="131">
        <f>IFERROR(IF('👥 Участники'!C102="","",'🌸 Spring'!I102),"")</f>
        <v/>
      </c>
      <c r="G102" s="131">
        <f>IFERROR(IF('👥 Участники'!C102="","",'☀️ Summer'!I102),"")</f>
        <v/>
      </c>
      <c r="H102" s="131">
        <f>IFERROR(IF('👥 Участники'!C102="","",'🍂 Autumn'!I102),"")</f>
        <v/>
      </c>
      <c r="I102" s="131">
        <f>IFERROR(IF('👥 Участники'!C102="","",'🔥 Final'!I102),"")</f>
        <v/>
      </c>
      <c r="J102" s="36">
        <f>IF(C102="","",IFERROR(SUM(E102:I102),0))</f>
        <v/>
      </c>
      <c r="K102" s="138">
        <f>IF(OR(C102="",J102=0),"",RANK(J102,$J$4:$J$103,0))</f>
        <v/>
      </c>
      <c r="L102" s="139">
        <f>IF(OR(D102="",J102=0),"",COUNTIFS($D$4:$D$103,D102,$J$4:$J$103,"&gt;"&amp;J102)+1)</f>
        <v/>
      </c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9.5" customHeight="1" s="143">
      <c r="A103" s="1" t="n"/>
      <c r="B103" s="130">
        <f>'👥 Участники'!B103</f>
        <v/>
      </c>
      <c r="C103" s="38">
        <f>'👥 Участники'!C103</f>
        <v/>
      </c>
      <c r="D103" s="130">
        <f>'👥 Участники'!D103</f>
        <v/>
      </c>
      <c r="E103" s="130">
        <f>IFERROR(IF('👥 Участники'!C103="","",'❄️ Winter'!I103),"")</f>
        <v/>
      </c>
      <c r="F103" s="130">
        <f>IFERROR(IF('👥 Участники'!C103="","",'🌸 Spring'!I103),"")</f>
        <v/>
      </c>
      <c r="G103" s="130">
        <f>IFERROR(IF('👥 Участники'!C103="","",'☀️ Summer'!I103),"")</f>
        <v/>
      </c>
      <c r="H103" s="130">
        <f>IFERROR(IF('👥 Участники'!C103="","",'🍂 Autumn'!I103),"")</f>
        <v/>
      </c>
      <c r="I103" s="130">
        <f>IFERROR(IF('👥 Участники'!C103="","",'🔥 Final'!I103),"")</f>
        <v/>
      </c>
      <c r="J103" s="137">
        <f>IF(C103="","",IFERROR(SUM(E103:I103),0))</f>
        <v/>
      </c>
      <c r="K103" s="140">
        <f>IF(OR(C103="",J103=0),"",RANK(J103,$J$4:$J$103,0))</f>
        <v/>
      </c>
      <c r="L103" s="141">
        <f>IF(OR(D103="",J103=0),"",COUNTIFS($D$4:$D$103,D103,$J$4:$J$103,"&gt;"&amp;J103)+1)</f>
        <v/>
      </c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42">
        <f>IF(OR(C104="",J104=0),"",RANK(J104,$J$6:$J$105,0))</f>
        <v/>
      </c>
      <c r="L104" s="142">
        <f>IF(OR(D104="",J104=0),"",COUNTIFS($D$6:$D$105,D104,$J$6:$J$105,"&gt;"&amp;J104)+1)</f>
        <v/>
      </c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42">
        <f>IF(OR(C105="",J105=0),"",RANK(J105,$J$6:$J$105,0))</f>
        <v/>
      </c>
      <c r="L105" s="142">
        <f>IF(OR(D105="",J105=0),"",COUNTIFS($D$6:$D$105,D105,$J$6:$J$105,"&gt;"&amp;J105)+1)</f>
        <v/>
      </c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4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4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4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4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4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4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4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4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4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4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4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4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4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4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4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4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4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4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4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4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4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4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4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4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4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4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4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4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4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4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4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4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4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4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4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4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4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4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4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4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4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4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4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4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4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4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4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4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4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4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4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4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4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4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4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14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14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14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14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14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14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14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14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14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14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14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14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14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14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14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14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14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14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14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14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14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14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14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14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14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14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14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14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14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14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14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14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14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14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14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14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14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14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14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14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14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14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14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14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14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14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14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14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14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14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14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14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14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14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14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14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14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14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14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14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14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14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14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1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14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14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14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14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14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14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14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14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14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14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14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14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14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14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14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14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14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14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14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14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14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14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14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14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14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14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14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14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14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14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14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14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14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14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14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14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14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14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14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14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14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14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14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14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14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14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14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14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14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14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14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14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14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14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14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14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14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14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14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14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14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14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14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14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14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14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14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14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14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14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14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14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14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14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14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14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14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14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14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14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14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14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14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14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14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14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14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14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14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14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14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14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14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14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14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14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14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14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14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1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14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14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14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14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14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14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14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14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14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14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14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14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14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14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14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14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14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14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14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14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14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14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14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14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14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14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14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14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14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14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14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14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14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14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14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14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14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14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14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14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14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14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14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14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14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14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14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14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14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14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14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14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14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14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14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14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14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14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14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14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14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14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14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14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14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14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14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14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14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14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14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14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14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14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14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14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14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14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14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14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14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14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14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14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14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14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14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14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14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14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14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14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14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14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14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14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14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14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14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1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14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14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14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14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14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14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14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14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14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14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14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14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14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14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14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14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14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14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14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14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14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14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14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14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14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14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14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14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14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14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14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14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14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14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14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14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14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14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14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14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14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14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14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14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14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14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14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14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14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14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14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14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14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14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14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14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14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14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14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14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14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14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14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14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14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14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14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14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14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14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14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14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14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14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14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14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14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14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14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14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14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14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14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14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14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14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14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14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14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14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14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14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14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14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14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14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14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14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14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1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14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14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14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14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14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14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14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14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14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14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14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14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14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14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14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14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14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14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14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14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14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14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14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14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14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14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14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14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14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14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14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14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14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14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14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14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14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14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14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14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14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14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14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14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14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14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14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14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14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14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14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14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14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14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14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14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14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14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14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14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14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14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14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14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14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14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14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14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14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14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14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14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14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14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14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14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14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14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14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14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14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14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14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14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14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14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14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14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14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14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14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14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14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14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14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14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14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14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14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1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14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14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14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14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14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14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14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14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14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14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14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14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14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14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14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14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14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14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14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14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14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14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14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14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14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14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14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14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14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14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14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14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14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14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14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14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14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14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14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14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14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14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14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14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14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14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14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14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14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14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14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14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14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14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14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14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14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14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14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14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14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14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14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14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14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14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14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14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14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14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14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14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14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14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14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14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14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14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14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14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14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14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14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14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14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14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14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14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14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14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14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14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14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14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14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14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14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14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14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1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14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14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14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14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14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14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14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14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14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14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14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14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14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14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14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14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14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14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14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14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14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14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14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14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14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14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14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14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14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14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14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14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14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14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14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14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14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14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14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14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14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14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14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14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14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14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14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14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14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14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14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14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14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14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14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14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14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14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14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14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14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14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14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14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14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14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14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14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14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14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14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14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14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14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14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14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14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14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14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14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14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14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14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14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14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14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14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14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14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14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14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14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14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14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14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14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14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14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14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1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14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14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14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14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14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14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14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14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14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14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14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14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14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14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14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14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14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14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14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14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14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14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14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14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14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14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14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14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14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14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14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14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14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14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14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14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14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14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14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14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14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14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14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14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14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14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14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14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14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14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14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14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14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14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14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14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14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B$3:$L$103"/>
  <mergeCells count="1">
    <mergeCell ref="B2:L2"/>
  </mergeCells>
  <conditionalFormatting sqref="K4:K103">
    <cfRule type="expression" priority="1" dxfId="1">
      <formula>$K4=1</formula>
    </cfRule>
    <cfRule type="expression" priority="2" dxfId="2">
      <formula>$K4=2</formula>
    </cfRule>
    <cfRule type="expression" priority="3" dxfId="3">
      <formula>$K4=3</formula>
    </cfRule>
    <cfRule type="notContainsBlanks" priority="9" dxfId="4">
      <formula>LEN(TRIM(K4))&gt;0</formula>
    </cfRule>
  </conditionalFormatting>
  <conditionalFormatting sqref="L4:L103">
    <cfRule type="expression" priority="4" dxfId="1">
      <formula>$L4=1</formula>
    </cfRule>
    <cfRule type="expression" priority="5" dxfId="2">
      <formula>$L4=2</formula>
    </cfRule>
    <cfRule type="expression" priority="6" dxfId="3">
      <formula>$L4=3</formula>
    </cfRule>
    <cfRule type="notContainsBlanks" priority="7" dxfId="4">
      <formula>LEN(TRIM(L4))&gt;0</formula>
    </cfRule>
  </conditionalFormatting>
  <conditionalFormatting sqref="K6">
    <cfRule type="notContainsBlanks" priority="8" dxfId="5">
      <formula>LEN(TRIM(K6))&gt;0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2026-03-08T10:03:54Z</dcterms:created>
  <dcterms:modified xmlns:dcterms="http://purl.org/dc/terms/" xmlns:xsi="http://www.w3.org/2001/XMLSchema-instance" xsi:type="dcterms:W3CDTF">2026-04-09T20:50:32Z</dcterms:modified>
</cp:coreProperties>
</file>